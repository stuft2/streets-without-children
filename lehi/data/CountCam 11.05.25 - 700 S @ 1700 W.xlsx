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munity Development\Planning Division\Misc\Staff Research\Bike Ped Data\Count Cam\Data Sheets\2025\"/>
    </mc:Choice>
  </mc:AlternateContent>
  <xr:revisionPtr revIDLastSave="0" documentId="13_ncr:1_{C162902B-22CF-41CA-9403-7A6F9B2F9F53}" xr6:coauthVersionLast="47" xr6:coauthVersionMax="47" xr10:uidLastSave="{00000000-0000-0000-0000-000000000000}"/>
  <bookViews>
    <workbookView xWindow="-120" yWindow="-120" windowWidth="38640" windowHeight="21120" xr2:uid="{5A0C25E7-6350-4337-B5FC-9C2ED4158F48}"/>
  </bookViews>
  <sheets>
    <sheet name="Hourly Bike-Ped Counts" sheetId="1" r:id="rId1"/>
    <sheet name="Count Summary" sheetId="2" r:id="rId2"/>
    <sheet name="Char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876" i="1" l="1"/>
  <c r="AQ876" i="1"/>
  <c r="AR876" i="1"/>
  <c r="AS876" i="1"/>
  <c r="AQ877" i="1"/>
  <c r="AR877" i="1"/>
  <c r="AS877" i="1"/>
  <c r="AQ878" i="1"/>
  <c r="AR878" i="1"/>
  <c r="AS878" i="1"/>
  <c r="AR875" i="1"/>
  <c r="AS875" i="1"/>
  <c r="AR879" i="1" l="1"/>
  <c r="AS879" i="1"/>
  <c r="AT876" i="1"/>
  <c r="AT877" i="1"/>
  <c r="AT878" i="1"/>
  <c r="AT875" i="1"/>
  <c r="AX876" i="1"/>
  <c r="AX877" i="1"/>
  <c r="AX878" i="1"/>
  <c r="AX875" i="1"/>
  <c r="C867" i="1"/>
  <c r="C866" i="1"/>
  <c r="C865" i="1"/>
  <c r="C864" i="1"/>
  <c r="C858" i="1"/>
  <c r="C857" i="1"/>
  <c r="C856" i="1"/>
  <c r="C855" i="1"/>
  <c r="C849" i="1"/>
  <c r="C848" i="1"/>
  <c r="C847" i="1"/>
  <c r="C846" i="1"/>
  <c r="C840" i="1"/>
  <c r="C839" i="1"/>
  <c r="C838" i="1"/>
  <c r="C837" i="1"/>
  <c r="C831" i="1"/>
  <c r="C830" i="1"/>
  <c r="C829" i="1"/>
  <c r="C828" i="1"/>
  <c r="C822" i="1"/>
  <c r="C821" i="1"/>
  <c r="C820" i="1"/>
  <c r="C819" i="1"/>
  <c r="C813" i="1"/>
  <c r="C812" i="1"/>
  <c r="C811" i="1"/>
  <c r="C810" i="1"/>
  <c r="C804" i="1"/>
  <c r="C803" i="1"/>
  <c r="C802" i="1"/>
  <c r="C801" i="1"/>
  <c r="C795" i="1"/>
  <c r="C794" i="1"/>
  <c r="C793" i="1"/>
  <c r="C792" i="1"/>
  <c r="C786" i="1"/>
  <c r="C785" i="1"/>
  <c r="C784" i="1"/>
  <c r="C783" i="1"/>
  <c r="C777" i="1"/>
  <c r="C776" i="1"/>
  <c r="C775" i="1"/>
  <c r="C774" i="1"/>
  <c r="C768" i="1"/>
  <c r="C767" i="1"/>
  <c r="C766" i="1"/>
  <c r="C765" i="1"/>
  <c r="C759" i="1"/>
  <c r="C758" i="1"/>
  <c r="C757" i="1"/>
  <c r="C756" i="1"/>
  <c r="C750" i="1"/>
  <c r="C749" i="1"/>
  <c r="C748" i="1"/>
  <c r="C747" i="1"/>
  <c r="C741" i="1"/>
  <c r="C740" i="1"/>
  <c r="C739" i="1"/>
  <c r="C738" i="1"/>
  <c r="C732" i="1"/>
  <c r="C731" i="1"/>
  <c r="C730" i="1"/>
  <c r="C729" i="1"/>
  <c r="C723" i="1"/>
  <c r="C722" i="1"/>
  <c r="C721" i="1"/>
  <c r="C720" i="1"/>
  <c r="C714" i="1"/>
  <c r="C713" i="1"/>
  <c r="C712" i="1"/>
  <c r="C711" i="1"/>
  <c r="C705" i="1"/>
  <c r="C704" i="1"/>
  <c r="C703" i="1"/>
  <c r="C702" i="1"/>
  <c r="C696" i="1"/>
  <c r="C695" i="1"/>
  <c r="C694" i="1"/>
  <c r="C693" i="1"/>
  <c r="C687" i="1"/>
  <c r="C686" i="1"/>
  <c r="C685" i="1"/>
  <c r="C684" i="1"/>
  <c r="C678" i="1"/>
  <c r="C677" i="1"/>
  <c r="C676" i="1"/>
  <c r="C675" i="1"/>
  <c r="C669" i="1"/>
  <c r="C668" i="1"/>
  <c r="C667" i="1"/>
  <c r="C666" i="1"/>
  <c r="C660" i="1"/>
  <c r="C659" i="1"/>
  <c r="C658" i="1"/>
  <c r="C657" i="1"/>
  <c r="C651" i="1"/>
  <c r="C650" i="1"/>
  <c r="C649" i="1"/>
  <c r="C648" i="1"/>
  <c r="C642" i="1"/>
  <c r="C641" i="1"/>
  <c r="C640" i="1"/>
  <c r="C639" i="1"/>
  <c r="C633" i="1"/>
  <c r="C632" i="1"/>
  <c r="C631" i="1"/>
  <c r="C630" i="1"/>
  <c r="C624" i="1"/>
  <c r="C623" i="1"/>
  <c r="C622" i="1"/>
  <c r="C621" i="1"/>
  <c r="C615" i="1"/>
  <c r="C614" i="1"/>
  <c r="C613" i="1"/>
  <c r="C612" i="1"/>
  <c r="C606" i="1"/>
  <c r="C605" i="1"/>
  <c r="C604" i="1"/>
  <c r="C603" i="1"/>
  <c r="C597" i="1"/>
  <c r="C596" i="1"/>
  <c r="C595" i="1"/>
  <c r="C594" i="1"/>
  <c r="C588" i="1"/>
  <c r="C587" i="1"/>
  <c r="C586" i="1"/>
  <c r="C585" i="1"/>
  <c r="C579" i="1"/>
  <c r="C578" i="1"/>
  <c r="C577" i="1"/>
  <c r="C576" i="1"/>
  <c r="C570" i="1"/>
  <c r="C569" i="1"/>
  <c r="C568" i="1"/>
  <c r="C567" i="1"/>
  <c r="C561" i="1"/>
  <c r="C560" i="1"/>
  <c r="C559" i="1"/>
  <c r="C558" i="1"/>
  <c r="C552" i="1"/>
  <c r="C551" i="1"/>
  <c r="C550" i="1"/>
  <c r="C549" i="1"/>
  <c r="C543" i="1"/>
  <c r="C542" i="1"/>
  <c r="C541" i="1"/>
  <c r="C540" i="1"/>
  <c r="C534" i="1"/>
  <c r="C533" i="1"/>
  <c r="C532" i="1"/>
  <c r="C531" i="1"/>
  <c r="C525" i="1"/>
  <c r="C524" i="1"/>
  <c r="C523" i="1"/>
  <c r="C522" i="1"/>
  <c r="C516" i="1"/>
  <c r="C515" i="1"/>
  <c r="C514" i="1"/>
  <c r="C513" i="1"/>
  <c r="C507" i="1"/>
  <c r="C506" i="1"/>
  <c r="C505" i="1"/>
  <c r="C504" i="1"/>
  <c r="C498" i="1"/>
  <c r="C497" i="1"/>
  <c r="C496" i="1"/>
  <c r="C495" i="1"/>
  <c r="C489" i="1"/>
  <c r="C488" i="1"/>
  <c r="C487" i="1"/>
  <c r="C486" i="1"/>
  <c r="C480" i="1"/>
  <c r="C479" i="1"/>
  <c r="C478" i="1"/>
  <c r="C477" i="1"/>
  <c r="C471" i="1"/>
  <c r="C470" i="1"/>
  <c r="C469" i="1"/>
  <c r="C468" i="1"/>
  <c r="C462" i="1"/>
  <c r="C461" i="1"/>
  <c r="C460" i="1"/>
  <c r="C459" i="1"/>
  <c r="C453" i="1"/>
  <c r="C452" i="1"/>
  <c r="C451" i="1"/>
  <c r="C450" i="1"/>
  <c r="C444" i="1"/>
  <c r="C443" i="1"/>
  <c r="C442" i="1"/>
  <c r="C441" i="1"/>
  <c r="C435" i="1"/>
  <c r="C434" i="1"/>
  <c r="C433" i="1"/>
  <c r="C432" i="1"/>
  <c r="C426" i="1"/>
  <c r="C425" i="1"/>
  <c r="C424" i="1"/>
  <c r="C423" i="1"/>
  <c r="C417" i="1"/>
  <c r="C416" i="1"/>
  <c r="C415" i="1"/>
  <c r="C414" i="1"/>
  <c r="C408" i="1"/>
  <c r="C407" i="1"/>
  <c r="C406" i="1"/>
  <c r="C405" i="1"/>
  <c r="C399" i="1"/>
  <c r="C398" i="1"/>
  <c r="C397" i="1"/>
  <c r="C396" i="1"/>
  <c r="C390" i="1"/>
  <c r="C389" i="1"/>
  <c r="C388" i="1"/>
  <c r="C387" i="1"/>
  <c r="C381" i="1"/>
  <c r="C380" i="1"/>
  <c r="C379" i="1"/>
  <c r="C378" i="1"/>
  <c r="C372" i="1"/>
  <c r="C371" i="1"/>
  <c r="C370" i="1"/>
  <c r="C369" i="1"/>
  <c r="C363" i="1"/>
  <c r="C362" i="1"/>
  <c r="C361" i="1"/>
  <c r="C360" i="1"/>
  <c r="C354" i="1"/>
  <c r="C353" i="1"/>
  <c r="C352" i="1"/>
  <c r="C351" i="1"/>
  <c r="C345" i="1"/>
  <c r="C344" i="1"/>
  <c r="C343" i="1"/>
  <c r="C342" i="1"/>
  <c r="C336" i="1"/>
  <c r="C335" i="1"/>
  <c r="C334" i="1"/>
  <c r="C333" i="1"/>
  <c r="C327" i="1"/>
  <c r="C326" i="1"/>
  <c r="C325" i="1"/>
  <c r="C324" i="1"/>
  <c r="C318" i="1"/>
  <c r="C317" i="1"/>
  <c r="C316" i="1"/>
  <c r="C315" i="1"/>
  <c r="C309" i="1"/>
  <c r="C308" i="1"/>
  <c r="C307" i="1"/>
  <c r="C306" i="1"/>
  <c r="C300" i="1"/>
  <c r="C299" i="1"/>
  <c r="C298" i="1"/>
  <c r="C297" i="1"/>
  <c r="C291" i="1"/>
  <c r="C290" i="1"/>
  <c r="C289" i="1"/>
  <c r="C288" i="1"/>
  <c r="C282" i="1"/>
  <c r="C281" i="1"/>
  <c r="C280" i="1"/>
  <c r="C279" i="1"/>
  <c r="C273" i="1"/>
  <c r="C272" i="1"/>
  <c r="C271" i="1"/>
  <c r="C270" i="1"/>
  <c r="C264" i="1"/>
  <c r="C263" i="1"/>
  <c r="C262" i="1"/>
  <c r="C261" i="1"/>
  <c r="C255" i="1"/>
  <c r="C254" i="1"/>
  <c r="C253" i="1"/>
  <c r="C252" i="1"/>
  <c r="C246" i="1"/>
  <c r="C245" i="1"/>
  <c r="C244" i="1"/>
  <c r="C243" i="1"/>
  <c r="C237" i="1"/>
  <c r="C236" i="1"/>
  <c r="C235" i="1"/>
  <c r="C234" i="1"/>
  <c r="C228" i="1"/>
  <c r="C227" i="1"/>
  <c r="C226" i="1"/>
  <c r="C225" i="1"/>
  <c r="C219" i="1"/>
  <c r="C218" i="1"/>
  <c r="C217" i="1"/>
  <c r="C216" i="1"/>
  <c r="C210" i="1"/>
  <c r="C209" i="1"/>
  <c r="C208" i="1"/>
  <c r="C207" i="1"/>
  <c r="C201" i="1"/>
  <c r="C200" i="1"/>
  <c r="C199" i="1"/>
  <c r="C198" i="1"/>
  <c r="C192" i="1"/>
  <c r="C191" i="1"/>
  <c r="C190" i="1"/>
  <c r="C189" i="1"/>
  <c r="C183" i="1"/>
  <c r="C182" i="1"/>
  <c r="C181" i="1"/>
  <c r="C180" i="1"/>
  <c r="C174" i="1"/>
  <c r="C173" i="1"/>
  <c r="C172" i="1"/>
  <c r="C171" i="1"/>
  <c r="C165" i="1"/>
  <c r="C164" i="1"/>
  <c r="C163" i="1"/>
  <c r="C162" i="1"/>
  <c r="C156" i="1"/>
  <c r="C155" i="1"/>
  <c r="C154" i="1"/>
  <c r="C153" i="1"/>
  <c r="C147" i="1"/>
  <c r="C146" i="1"/>
  <c r="C145" i="1"/>
  <c r="C144" i="1"/>
  <c r="C138" i="1"/>
  <c r="C137" i="1"/>
  <c r="C136" i="1"/>
  <c r="C135" i="1"/>
  <c r="C129" i="1"/>
  <c r="C128" i="1"/>
  <c r="C127" i="1"/>
  <c r="C126" i="1"/>
  <c r="C120" i="1"/>
  <c r="C119" i="1"/>
  <c r="C118" i="1"/>
  <c r="C117" i="1"/>
  <c r="C111" i="1"/>
  <c r="C110" i="1"/>
  <c r="C109" i="1"/>
  <c r="C108" i="1"/>
  <c r="C102" i="1"/>
  <c r="C101" i="1"/>
  <c r="C100" i="1"/>
  <c r="C99" i="1"/>
  <c r="C93" i="1"/>
  <c r="C92" i="1"/>
  <c r="C91" i="1"/>
  <c r="C90" i="1"/>
  <c r="C84" i="1"/>
  <c r="C83" i="1"/>
  <c r="C82" i="1"/>
  <c r="C81" i="1"/>
  <c r="C75" i="1"/>
  <c r="C74" i="1"/>
  <c r="C73" i="1"/>
  <c r="C72" i="1"/>
  <c r="C66" i="1"/>
  <c r="C65" i="1"/>
  <c r="C64" i="1"/>
  <c r="C63" i="1"/>
  <c r="C57" i="1"/>
  <c r="C56" i="1"/>
  <c r="C55" i="1"/>
  <c r="C54" i="1"/>
  <c r="C48" i="1"/>
  <c r="C47" i="1"/>
  <c r="C46" i="1"/>
  <c r="C45" i="1"/>
  <c r="C39" i="1"/>
  <c r="C38" i="1"/>
  <c r="C37" i="1"/>
  <c r="C36" i="1"/>
  <c r="C30" i="1"/>
  <c r="C29" i="1"/>
  <c r="C28" i="1"/>
  <c r="C27" i="1"/>
  <c r="C21" i="1"/>
  <c r="C20" i="1"/>
  <c r="C19" i="1"/>
  <c r="C18" i="1"/>
  <c r="C10" i="1"/>
  <c r="C11" i="1"/>
  <c r="C12" i="1"/>
  <c r="C9" i="1"/>
  <c r="AP882" i="1" l="1"/>
  <c r="AT879" i="1"/>
  <c r="AX879" i="1"/>
  <c r="C103" i="1"/>
  <c r="C112" i="1"/>
  <c r="BC876" i="1" l="1"/>
  <c r="BD876" i="1"/>
  <c r="BC877" i="1"/>
  <c r="BD877" i="1"/>
  <c r="BC878" i="1"/>
  <c r="BD878" i="1"/>
  <c r="BD875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K876" i="1"/>
  <c r="AL876" i="1"/>
  <c r="AM876" i="1"/>
  <c r="AN876" i="1"/>
  <c r="AO876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K877" i="1"/>
  <c r="AL877" i="1"/>
  <c r="AM877" i="1"/>
  <c r="AN877" i="1"/>
  <c r="AO877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K878" i="1"/>
  <c r="AL878" i="1"/>
  <c r="AM878" i="1"/>
  <c r="AN878" i="1"/>
  <c r="AO878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K875" i="1"/>
  <c r="AL875" i="1"/>
  <c r="AM875" i="1"/>
  <c r="AN875" i="1"/>
  <c r="AO875" i="1"/>
  <c r="X875" i="1"/>
  <c r="AP878" i="1"/>
  <c r="AU878" i="1"/>
  <c r="AV878" i="1"/>
  <c r="AW878" i="1"/>
  <c r="AY878" i="1"/>
  <c r="AZ878" i="1"/>
  <c r="AQ875" i="1"/>
  <c r="BB877" i="1"/>
  <c r="BB878" i="1"/>
  <c r="BC875" i="1"/>
  <c r="BA876" i="1"/>
  <c r="BA877" i="1"/>
  <c r="BA878" i="1"/>
  <c r="BB875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AP876" i="1"/>
  <c r="AU876" i="1"/>
  <c r="AV876" i="1"/>
  <c r="AW876" i="1"/>
  <c r="AY876" i="1"/>
  <c r="AZ876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AP877" i="1"/>
  <c r="AU877" i="1"/>
  <c r="AV877" i="1"/>
  <c r="AW877" i="1"/>
  <c r="AY877" i="1"/>
  <c r="AZ877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AP875" i="1"/>
  <c r="AU875" i="1"/>
  <c r="AV875" i="1"/>
  <c r="AW875" i="1"/>
  <c r="AY875" i="1"/>
  <c r="AZ875" i="1"/>
  <c r="BA875" i="1"/>
  <c r="F875" i="1"/>
  <c r="C48" i="2"/>
  <c r="C1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E9" i="2"/>
  <c r="F9" i="2"/>
  <c r="D9" i="2"/>
  <c r="C9" i="2"/>
  <c r="F8" i="2"/>
  <c r="E8" i="2"/>
  <c r="D8" i="2"/>
  <c r="C8" i="2"/>
  <c r="E7" i="2"/>
  <c r="D7" i="2"/>
  <c r="C7" i="2"/>
  <c r="F6" i="2"/>
  <c r="E6" i="2"/>
  <c r="D6" i="2"/>
  <c r="C6" i="2"/>
  <c r="F5" i="2"/>
  <c r="E5" i="2"/>
  <c r="D5" i="2"/>
  <c r="C5" i="2"/>
  <c r="D4" i="2"/>
  <c r="E4" i="2"/>
  <c r="F4" i="2"/>
  <c r="C4" i="2"/>
  <c r="AW879" i="1" l="1"/>
  <c r="BD879" i="1"/>
  <c r="AA879" i="1"/>
  <c r="AD33" i="4" s="1"/>
  <c r="Y879" i="1"/>
  <c r="BA879" i="1"/>
  <c r="AM879" i="1"/>
  <c r="AL29" i="4" s="1"/>
  <c r="AU879" i="1"/>
  <c r="AZ879" i="1"/>
  <c r="K879" i="1"/>
  <c r="M20" i="4" s="1"/>
  <c r="AL879" i="1"/>
  <c r="AL24" i="4" s="1"/>
  <c r="M879" i="1"/>
  <c r="I33" i="4" s="1"/>
  <c r="J879" i="1"/>
  <c r="I20" i="4" s="1"/>
  <c r="AE879" i="1"/>
  <c r="AC33" i="4" s="1"/>
  <c r="S879" i="1"/>
  <c r="N20" i="4" s="1"/>
  <c r="T879" i="1"/>
  <c r="R24" i="4" s="1"/>
  <c r="AP879" i="1"/>
  <c r="AQ879" i="1"/>
  <c r="AK879" i="1"/>
  <c r="AH20" i="4" s="1"/>
  <c r="P879" i="1"/>
  <c r="D29" i="4" s="1"/>
  <c r="AD879" i="1"/>
  <c r="AG33" i="4" s="1"/>
  <c r="AB879" i="1"/>
  <c r="AC20" i="4" s="1"/>
  <c r="I879" i="1"/>
  <c r="J33" i="4" s="1"/>
  <c r="Z879" i="1"/>
  <c r="AL27" i="4" s="1"/>
  <c r="G879" i="1"/>
  <c r="J20" i="4" s="1"/>
  <c r="AN879" i="1"/>
  <c r="AH33" i="4" s="1"/>
  <c r="V879" i="1"/>
  <c r="N33" i="4" s="1"/>
  <c r="Q879" i="1"/>
  <c r="D24" i="4" s="1"/>
  <c r="AH879" i="1"/>
  <c r="X29" i="4" s="1"/>
  <c r="F879" i="1"/>
  <c r="D27" i="4" s="1"/>
  <c r="AY879" i="1"/>
  <c r="AV879" i="1"/>
  <c r="AD20" i="4"/>
  <c r="L879" i="1"/>
  <c r="M33" i="4" s="1"/>
  <c r="W879" i="1"/>
  <c r="H33" i="4" s="1"/>
  <c r="R879" i="1"/>
  <c r="H20" i="4" s="1"/>
  <c r="U879" i="1"/>
  <c r="R29" i="4" s="1"/>
  <c r="X879" i="1"/>
  <c r="X27" i="4" s="1"/>
  <c r="H879" i="1"/>
  <c r="R27" i="4" s="1"/>
  <c r="AG879" i="1"/>
  <c r="AL25" i="4" s="1"/>
  <c r="N879" i="1"/>
  <c r="D25" i="4" s="1"/>
  <c r="AI879" i="1"/>
  <c r="X24" i="4" s="1"/>
  <c r="AO879" i="1"/>
  <c r="AB33" i="4" s="1"/>
  <c r="BC879" i="1"/>
  <c r="AC879" i="1"/>
  <c r="AG20" i="4" s="1"/>
  <c r="BB879" i="1"/>
  <c r="AF879" i="1"/>
  <c r="X25" i="4" s="1"/>
  <c r="O879" i="1"/>
  <c r="R25" i="4" s="1"/>
  <c r="AJ879" i="1"/>
  <c r="AB20" i="4" s="1"/>
  <c r="G38" i="2"/>
  <c r="C202" i="1"/>
  <c r="G98" i="2"/>
  <c r="M18" i="2"/>
  <c r="M13" i="2"/>
  <c r="J6" i="2"/>
  <c r="G19" i="2"/>
  <c r="G11" i="2"/>
  <c r="L27" i="2"/>
  <c r="K26" i="2"/>
  <c r="M27" i="2"/>
  <c r="G79" i="2"/>
  <c r="G88" i="2"/>
  <c r="G48" i="2"/>
  <c r="G91" i="2"/>
  <c r="G5" i="2"/>
  <c r="G15" i="2"/>
  <c r="L24" i="2"/>
  <c r="G96" i="2"/>
  <c r="M16" i="2"/>
  <c r="K8" i="2"/>
  <c r="L14" i="2"/>
  <c r="K7" i="2"/>
  <c r="G75" i="2"/>
  <c r="L15" i="2"/>
  <c r="G95" i="2"/>
  <c r="G6" i="2"/>
  <c r="G61" i="2"/>
  <c r="L8" i="2"/>
  <c r="M26" i="2"/>
  <c r="L25" i="2"/>
  <c r="G93" i="2"/>
  <c r="M25" i="2"/>
  <c r="G94" i="2"/>
  <c r="G21" i="2"/>
  <c r="M7" i="2"/>
  <c r="M17" i="2"/>
  <c r="K27" i="2"/>
  <c r="G89" i="2"/>
  <c r="G22" i="2"/>
  <c r="K4" i="2"/>
  <c r="M9" i="2"/>
  <c r="L26" i="2"/>
  <c r="G16" i="2"/>
  <c r="J7" i="2"/>
  <c r="K16" i="2"/>
  <c r="M8" i="2"/>
  <c r="L16" i="2"/>
  <c r="L17" i="2"/>
  <c r="J5" i="2"/>
  <c r="G8" i="2"/>
  <c r="L6" i="2"/>
  <c r="K25" i="2"/>
  <c r="K5" i="2"/>
  <c r="K9" i="2"/>
  <c r="J24" i="2"/>
  <c r="G85" i="2"/>
  <c r="K22" i="2"/>
  <c r="M23" i="2"/>
  <c r="M22" i="2"/>
  <c r="M5" i="2"/>
  <c r="G13" i="2"/>
  <c r="M14" i="2"/>
  <c r="J8" i="2"/>
  <c r="G20" i="2"/>
  <c r="L7" i="2"/>
  <c r="G57" i="2"/>
  <c r="K6" i="2"/>
  <c r="M21" i="2"/>
  <c r="L10" i="2"/>
  <c r="M19" i="2"/>
  <c r="M24" i="2"/>
  <c r="M6" i="2"/>
  <c r="L23" i="2"/>
  <c r="J4" i="2"/>
  <c r="L4" i="2"/>
  <c r="G9" i="2"/>
  <c r="L5" i="2"/>
  <c r="G99" i="2"/>
  <c r="G23" i="2"/>
  <c r="M11" i="2"/>
  <c r="K20" i="2"/>
  <c r="C454" i="1"/>
  <c r="C535" i="1"/>
  <c r="C616" i="1"/>
  <c r="C859" i="1"/>
  <c r="G12" i="2"/>
  <c r="J13" i="2"/>
  <c r="K14" i="2"/>
  <c r="M12" i="2"/>
  <c r="L20" i="2"/>
  <c r="L9" i="2"/>
  <c r="G51" i="2"/>
  <c r="G35" i="2"/>
  <c r="M15" i="2"/>
  <c r="L21" i="2"/>
  <c r="G86" i="2"/>
  <c r="G74" i="2"/>
  <c r="G39" i="2"/>
  <c r="J21" i="2"/>
  <c r="G50" i="2"/>
  <c r="K21" i="2"/>
  <c r="K12" i="2"/>
  <c r="L18" i="2"/>
  <c r="G77" i="2"/>
  <c r="L12" i="2"/>
  <c r="C53" i="2"/>
  <c r="G53" i="2" s="1"/>
  <c r="G56" i="2"/>
  <c r="J26" i="2"/>
  <c r="G37" i="2"/>
  <c r="M20" i="2"/>
  <c r="G42" i="2"/>
  <c r="G87" i="2"/>
  <c r="K13" i="2"/>
  <c r="L13" i="2"/>
  <c r="J22" i="2"/>
  <c r="J14" i="2"/>
  <c r="G80" i="2"/>
  <c r="G55" i="2"/>
  <c r="J19" i="2"/>
  <c r="C62" i="2"/>
  <c r="G62" i="2" s="1"/>
  <c r="G65" i="2"/>
  <c r="G83" i="2"/>
  <c r="K24" i="2"/>
  <c r="G84" i="2"/>
  <c r="G90" i="2"/>
  <c r="J25" i="2"/>
  <c r="G68" i="2"/>
  <c r="K23" i="2"/>
  <c r="G78" i="2"/>
  <c r="L22" i="2"/>
  <c r="K19" i="2"/>
  <c r="G67" i="2"/>
  <c r="L19" i="2"/>
  <c r="K18" i="2"/>
  <c r="G76" i="2"/>
  <c r="J23" i="2"/>
  <c r="C71" i="2"/>
  <c r="G71" i="2" s="1"/>
  <c r="G64" i="2"/>
  <c r="G72" i="2"/>
  <c r="G92" i="2"/>
  <c r="G60" i="2"/>
  <c r="J15" i="2"/>
  <c r="G49" i="2"/>
  <c r="J17" i="2"/>
  <c r="G58" i="2"/>
  <c r="K15" i="2"/>
  <c r="G59" i="2"/>
  <c r="G54" i="2"/>
  <c r="K17" i="2"/>
  <c r="G52" i="2"/>
  <c r="G36" i="2"/>
  <c r="J12" i="2"/>
  <c r="G41" i="2"/>
  <c r="L11" i="2"/>
  <c r="G34" i="2"/>
  <c r="K11" i="2"/>
  <c r="G40" i="2"/>
  <c r="C364" i="1"/>
  <c r="G43" i="2"/>
  <c r="G44" i="2"/>
  <c r="G33" i="2"/>
  <c r="J11" i="2"/>
  <c r="G32" i="2"/>
  <c r="G31" i="2"/>
  <c r="G30" i="2"/>
  <c r="K10" i="2"/>
  <c r="J10" i="2"/>
  <c r="M10" i="2"/>
  <c r="G29" i="2"/>
  <c r="G28" i="2"/>
  <c r="G27" i="2"/>
  <c r="G26" i="2"/>
  <c r="C25" i="2"/>
  <c r="J9" i="2" s="1"/>
  <c r="G97" i="2"/>
  <c r="J27" i="2"/>
  <c r="G17" i="2"/>
  <c r="G47" i="2"/>
  <c r="G46" i="2"/>
  <c r="G14" i="2"/>
  <c r="G70" i="2"/>
  <c r="G24" i="2"/>
  <c r="G73" i="2"/>
  <c r="G18" i="2"/>
  <c r="G45" i="2"/>
  <c r="G63" i="2"/>
  <c r="G81" i="2"/>
  <c r="E100" i="2"/>
  <c r="G82" i="2"/>
  <c r="G66" i="2"/>
  <c r="G10" i="2"/>
  <c r="G69" i="2"/>
  <c r="D100" i="2"/>
  <c r="C130" i="1"/>
  <c r="C49" i="1"/>
  <c r="C373" i="1"/>
  <c r="C292" i="1"/>
  <c r="C283" i="1"/>
  <c r="C76" i="1"/>
  <c r="C562" i="1"/>
  <c r="C643" i="1"/>
  <c r="C211" i="1"/>
  <c r="C445" i="1"/>
  <c r="C607" i="1"/>
  <c r="C526" i="1"/>
  <c r="C724" i="1"/>
  <c r="C409" i="1"/>
  <c r="C490" i="1"/>
  <c r="C571" i="1"/>
  <c r="C652" i="1"/>
  <c r="C814" i="1"/>
  <c r="C733" i="1"/>
  <c r="C193" i="1"/>
  <c r="C355" i="1"/>
  <c r="C598" i="1"/>
  <c r="C760" i="1"/>
  <c r="C679" i="1"/>
  <c r="C670" i="1"/>
  <c r="C13" i="1"/>
  <c r="C94" i="1"/>
  <c r="C175" i="1"/>
  <c r="C256" i="1"/>
  <c r="C337" i="1"/>
  <c r="C58" i="1"/>
  <c r="C139" i="1"/>
  <c r="C220" i="1"/>
  <c r="C301" i="1"/>
  <c r="C625" i="1"/>
  <c r="C805" i="1"/>
  <c r="C31" i="1"/>
  <c r="C85" i="1"/>
  <c r="C166" i="1"/>
  <c r="C247" i="1"/>
  <c r="C328" i="1"/>
  <c r="C688" i="1"/>
  <c r="C769" i="1"/>
  <c r="C850" i="1"/>
  <c r="C418" i="1"/>
  <c r="C499" i="1"/>
  <c r="C580" i="1"/>
  <c r="C661" i="1"/>
  <c r="C22" i="1"/>
  <c r="C265" i="1"/>
  <c r="C346" i="1"/>
  <c r="C706" i="1"/>
  <c r="C787" i="1"/>
  <c r="C868" i="1"/>
  <c r="C508" i="1"/>
  <c r="C841" i="1"/>
  <c r="C229" i="1"/>
  <c r="C310" i="1"/>
  <c r="C517" i="1"/>
  <c r="C472" i="1"/>
  <c r="C67" i="1"/>
  <c r="C184" i="1"/>
  <c r="C382" i="1"/>
  <c r="C463" i="1"/>
  <c r="C697" i="1"/>
  <c r="C778" i="1"/>
  <c r="C148" i="1"/>
  <c r="C427" i="1"/>
  <c r="C544" i="1"/>
  <c r="C742" i="1"/>
  <c r="C823" i="1"/>
  <c r="C391" i="1"/>
  <c r="C481" i="1"/>
  <c r="C40" i="1"/>
  <c r="F7" i="2" s="1"/>
  <c r="M4" i="2" s="1"/>
  <c r="C274" i="1"/>
  <c r="C589" i="1"/>
  <c r="C157" i="1"/>
  <c r="C436" i="1"/>
  <c r="C553" i="1"/>
  <c r="C751" i="1"/>
  <c r="C832" i="1"/>
  <c r="C238" i="1"/>
  <c r="C319" i="1"/>
  <c r="C634" i="1"/>
  <c r="C878" i="1"/>
  <c r="C121" i="1"/>
  <c r="C400" i="1"/>
  <c r="C715" i="1"/>
  <c r="C796" i="1"/>
  <c r="C877" i="1"/>
  <c r="C875" i="1"/>
  <c r="C876" i="1"/>
  <c r="G4" i="2"/>
  <c r="AP883" i="1" l="1"/>
  <c r="AP881" i="1"/>
  <c r="J16" i="2"/>
  <c r="N16" i="2" s="1"/>
  <c r="F881" i="1"/>
  <c r="N34" i="4" s="1"/>
  <c r="X881" i="1"/>
  <c r="AB19" i="4" s="1"/>
  <c r="C100" i="2"/>
  <c r="J18" i="2"/>
  <c r="N18" i="2" s="1"/>
  <c r="N26" i="2"/>
  <c r="N8" i="2"/>
  <c r="N24" i="2"/>
  <c r="N14" i="2"/>
  <c r="N11" i="2"/>
  <c r="N15" i="2"/>
  <c r="N23" i="2"/>
  <c r="J20" i="2"/>
  <c r="N20" i="2" s="1"/>
  <c r="N27" i="2"/>
  <c r="N21" i="2"/>
  <c r="M28" i="2"/>
  <c r="N19" i="2"/>
  <c r="N22" i="2"/>
  <c r="L28" i="2"/>
  <c r="N9" i="2"/>
  <c r="N10" i="2"/>
  <c r="N6" i="2"/>
  <c r="N13" i="2"/>
  <c r="N25" i="2"/>
  <c r="N5" i="2"/>
  <c r="F100" i="2"/>
  <c r="N12" i="2"/>
  <c r="N4" i="2"/>
  <c r="N7" i="2"/>
  <c r="G7" i="2"/>
  <c r="N17" i="2"/>
  <c r="K28" i="2"/>
  <c r="G25" i="2"/>
  <c r="C879" i="1"/>
  <c r="D876" i="1" s="1"/>
  <c r="D878" i="1" l="1"/>
  <c r="D875" i="1"/>
  <c r="D877" i="1"/>
  <c r="M19" i="4"/>
  <c r="S29" i="4"/>
  <c r="C29" i="4"/>
  <c r="M34" i="4"/>
  <c r="C27" i="4"/>
  <c r="N19" i="4"/>
  <c r="S27" i="4"/>
  <c r="AH34" i="4"/>
  <c r="AG34" i="4"/>
  <c r="AD34" i="4"/>
  <c r="AC34" i="4"/>
  <c r="AB34" i="4"/>
  <c r="AM29" i="4"/>
  <c r="AM27" i="4"/>
  <c r="AM25" i="4"/>
  <c r="AM24" i="4"/>
  <c r="AH19" i="4"/>
  <c r="AG19" i="4"/>
  <c r="AC19" i="4"/>
  <c r="W29" i="4"/>
  <c r="W27" i="4"/>
  <c r="W25" i="4"/>
  <c r="W24" i="4"/>
  <c r="AD19" i="4"/>
  <c r="J28" i="2"/>
  <c r="G100" i="2"/>
  <c r="N28" i="2"/>
  <c r="H19" i="4"/>
  <c r="H34" i="4"/>
  <c r="I34" i="4"/>
  <c r="J34" i="4"/>
  <c r="S24" i="4"/>
  <c r="J19" i="4"/>
  <c r="C25" i="4"/>
  <c r="S25" i="4"/>
  <c r="C24" i="4"/>
  <c r="I19" i="4"/>
</calcChain>
</file>

<file path=xl/sharedStrings.xml><?xml version="1.0" encoding="utf-8"?>
<sst xmlns="http://schemas.openxmlformats.org/spreadsheetml/2006/main" count="6856" uniqueCount="78">
  <si>
    <t>Pedestrian</t>
  </si>
  <si>
    <t>Bike</t>
  </si>
  <si>
    <t>Scooter</t>
  </si>
  <si>
    <t>Other</t>
  </si>
  <si>
    <t>Total</t>
  </si>
  <si>
    <t>Totals</t>
  </si>
  <si>
    <t>Time</t>
  </si>
  <si>
    <t>Hourly Total</t>
  </si>
  <si>
    <t>Daily Total</t>
  </si>
  <si>
    <t>Road</t>
  </si>
  <si>
    <t>Bike Lane</t>
  </si>
  <si>
    <t>Sidewalk</t>
  </si>
  <si>
    <t>N</t>
  </si>
  <si>
    <t>S</t>
  </si>
  <si>
    <t>E</t>
  </si>
  <si>
    <t>W</t>
  </si>
  <si>
    <t>To</t>
  </si>
  <si>
    <t>From</t>
  </si>
  <si>
    <t>DAILY TOTALS</t>
  </si>
  <si>
    <t>Ped Out of Crosswalk</t>
  </si>
  <si>
    <t>15-Minute Intervals</t>
  </si>
  <si>
    <t>1-Hour Intervals</t>
  </si>
  <si>
    <t>15-min Total</t>
  </si>
  <si>
    <t>Road N</t>
  </si>
  <si>
    <t>Road S</t>
  </si>
  <si>
    <t>Road W</t>
  </si>
  <si>
    <t>Road E</t>
  </si>
  <si>
    <t>Sidewalk W-N</t>
  </si>
  <si>
    <t>Sidewalk W-S</t>
  </si>
  <si>
    <t>Sidewalk E-N</t>
  </si>
  <si>
    <t>Sidewalk N-W</t>
  </si>
  <si>
    <t>Sidewalk S-W</t>
  </si>
  <si>
    <t>Sidewalk S-E</t>
  </si>
  <si>
    <t>Sidewalk N-E</t>
  </si>
  <si>
    <t>Trail E-S</t>
  </si>
  <si>
    <t>Bikeway W</t>
  </si>
  <si>
    <t>Bikeway E</t>
  </si>
  <si>
    <t>Bike Lane N-W</t>
  </si>
  <si>
    <t>Bike Lane N-E</t>
  </si>
  <si>
    <t>Bike Lane S-E</t>
  </si>
  <si>
    <t>Bike Lane S-W</t>
  </si>
  <si>
    <t>N-E</t>
  </si>
  <si>
    <t>N-W</t>
  </si>
  <si>
    <t>S-E</t>
  </si>
  <si>
    <t>S-W</t>
  </si>
  <si>
    <t>W-S</t>
  </si>
  <si>
    <t>W-N</t>
  </si>
  <si>
    <t>E-N</t>
  </si>
  <si>
    <t>E-S</t>
  </si>
  <si>
    <t>Bikeway</t>
  </si>
  <si>
    <t>Car No Yield</t>
  </si>
  <si>
    <t>Bike Passenger</t>
  </si>
  <si>
    <t>Jogger</t>
  </si>
  <si>
    <t>Stroller</t>
  </si>
  <si>
    <t>Car in Bikeway</t>
  </si>
  <si>
    <t>Dog</t>
  </si>
  <si>
    <t>Backpack</t>
  </si>
  <si>
    <t>Car Yield</t>
  </si>
  <si>
    <t>Cargo Bike</t>
  </si>
  <si>
    <t>Panniers</t>
  </si>
  <si>
    <t>Bike Trailer</t>
  </si>
  <si>
    <t>Bike No Yield</t>
  </si>
  <si>
    <t>700 S @ 1700 W - Intersection Count</t>
  </si>
  <si>
    <t>CG Car No Yield</t>
  </si>
  <si>
    <t>CG Car Yield</t>
  </si>
  <si>
    <t>No Guard Yield Rate</t>
  </si>
  <si>
    <t>Guard Yield Rate</t>
  </si>
  <si>
    <t>Total Yield Rate</t>
  </si>
  <si>
    <t xml:space="preserve">Other </t>
  </si>
  <si>
    <t>Other - skateboard</t>
  </si>
  <si>
    <t>Date: 11.05.25</t>
  </si>
  <si>
    <t>Weather: Partly Cloudy/Cloudy - 70 H 49 L</t>
  </si>
  <si>
    <t>Passenger</t>
  </si>
  <si>
    <t>White van does bad U-turn from SB 1700 W and almost hits the blowoff @12:31:21</t>
  </si>
  <si>
    <t>Dirt bike motorcycle in bikeway @15:06:44</t>
  </si>
  <si>
    <t>Cars parking in the bike lane/shoulder - makes person riding in bike lane go up onto the sidewalk @15:30:30</t>
  </si>
  <si>
    <t>Other - roller blades</t>
  </si>
  <si>
    <t>Bronco does a u-turn in the intersection @23:24:38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</si>
</sst>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FFFF00"/>
      </bottom>
      <diagonal/>
    </border>
    <border>
      <left style="double">
        <color rgb="FFFFFF00"/>
      </left>
      <right style="thin">
        <color theme="0"/>
      </right>
      <top/>
      <bottom/>
      <diagonal/>
    </border>
    <border>
      <left style="thin">
        <color theme="0"/>
      </left>
      <right style="double">
        <color rgb="FFFFFF0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thin">
        <color theme="0"/>
      </top>
      <bottom style="thin">
        <color rgb="FFFFFF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/>
      <right style="thick">
        <color rgb="FFFFFF00"/>
      </right>
      <top style="thick">
        <color rgb="FFFFFF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164" fontId="0" fillId="0" borderId="0" xfId="0" applyNumberFormat="1"/>
    <xf numFmtId="0" fontId="3" fillId="0" borderId="5" xfId="0" applyFont="1" applyBorder="1"/>
    <xf numFmtId="0" fontId="0" fillId="0" borderId="6" xfId="0" applyBorder="1"/>
    <xf numFmtId="0" fontId="2" fillId="0" borderId="6" xfId="0" applyFont="1" applyBorder="1" applyAlignment="1">
      <alignment vertical="center" wrapText="1"/>
    </xf>
    <xf numFmtId="0" fontId="4" fillId="0" borderId="0" xfId="0" applyFont="1"/>
    <xf numFmtId="0" fontId="0" fillId="0" borderId="5" xfId="0" applyBorder="1"/>
    <xf numFmtId="0" fontId="1" fillId="0" borderId="1" xfId="0" applyFont="1" applyBorder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19" fontId="1" fillId="4" borderId="1" xfId="0" applyNumberFormat="1" applyFont="1" applyFill="1" applyBorder="1" applyAlignment="1">
      <alignment vertical="center" wrapText="1"/>
    </xf>
    <xf numFmtId="19" fontId="1" fillId="5" borderId="1" xfId="0" applyNumberFormat="1" applyFont="1" applyFill="1" applyBorder="1" applyAlignment="1">
      <alignment vertical="center" wrapText="1"/>
    </xf>
    <xf numFmtId="0" fontId="3" fillId="0" borderId="6" xfId="0" applyFont="1" applyBorder="1"/>
    <xf numFmtId="0" fontId="4" fillId="6" borderId="1" xfId="0" applyFont="1" applyFill="1" applyBorder="1"/>
    <xf numFmtId="0" fontId="1" fillId="7" borderId="0" xfId="0" applyFont="1" applyFill="1" applyAlignment="1">
      <alignment vertical="center" wrapText="1"/>
    </xf>
    <xf numFmtId="0" fontId="4" fillId="7" borderId="0" xfId="0" applyFont="1" applyFill="1"/>
    <xf numFmtId="0" fontId="0" fillId="7" borderId="0" xfId="0" applyFill="1"/>
    <xf numFmtId="0" fontId="6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164" fontId="0" fillId="0" borderId="12" xfId="0" applyNumberFormat="1" applyBorder="1"/>
    <xf numFmtId="0" fontId="3" fillId="0" borderId="12" xfId="0" applyFont="1" applyBorder="1"/>
    <xf numFmtId="1" fontId="0" fillId="0" borderId="0" xfId="0" applyNumberFormat="1"/>
    <xf numFmtId="1" fontId="3" fillId="0" borderId="0" xfId="0" applyNumberFormat="1" applyFont="1"/>
    <xf numFmtId="1" fontId="0" fillId="0" borderId="12" xfId="0" applyNumberFormat="1" applyBorder="1"/>
    <xf numFmtId="1" fontId="3" fillId="0" borderId="12" xfId="0" applyNumberFormat="1" applyFont="1" applyBorder="1"/>
    <xf numFmtId="0" fontId="0" fillId="8" borderId="0" xfId="0" applyFill="1"/>
    <xf numFmtId="0" fontId="0" fillId="10" borderId="0" xfId="0" applyFill="1"/>
    <xf numFmtId="0" fontId="0" fillId="0" borderId="0" xfId="0" applyAlignment="1">
      <alignment textRotation="90"/>
    </xf>
    <xf numFmtId="0" fontId="0" fillId="0" borderId="5" xfId="0" applyBorder="1" applyAlignment="1">
      <alignment textRotation="90"/>
    </xf>
    <xf numFmtId="0" fontId="0" fillId="0" borderId="15" xfId="0" applyBorder="1"/>
    <xf numFmtId="0" fontId="0" fillId="0" borderId="16" xfId="0" applyBorder="1" applyAlignment="1">
      <alignment horizontal="right"/>
    </xf>
    <xf numFmtId="0" fontId="0" fillId="0" borderId="0" xfId="0" applyAlignment="1">
      <alignment horizontal="center" vertical="top" textRotation="90"/>
    </xf>
    <xf numFmtId="165" fontId="0" fillId="0" borderId="0" xfId="1" applyNumberFormat="1" applyFont="1" applyAlignment="1">
      <alignment textRotation="90"/>
    </xf>
    <xf numFmtId="0" fontId="0" fillId="9" borderId="18" xfId="0" applyFill="1" applyBorder="1"/>
    <xf numFmtId="0" fontId="0" fillId="0" borderId="0" xfId="0" applyAlignment="1">
      <alignment horizontal="center"/>
    </xf>
    <xf numFmtId="0" fontId="0" fillId="0" borderId="19" xfId="0" applyBorder="1" applyAlignment="1">
      <alignment textRotation="90"/>
    </xf>
    <xf numFmtId="0" fontId="0" fillId="10" borderId="17" xfId="0" applyFill="1" applyBorder="1"/>
    <xf numFmtId="0" fontId="0" fillId="9" borderId="0" xfId="0" applyFill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11" borderId="25" xfId="0" applyFill="1" applyBorder="1"/>
    <xf numFmtId="0" fontId="0" fillId="9" borderId="26" xfId="0" applyFill="1" applyBorder="1"/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8" borderId="27" xfId="0" applyFill="1" applyBorder="1"/>
    <xf numFmtId="0" fontId="0" fillId="8" borderId="28" xfId="0" applyFill="1" applyBorder="1"/>
    <xf numFmtId="0" fontId="0" fillId="8" borderId="29" xfId="0" applyFill="1" applyBorder="1"/>
    <xf numFmtId="0" fontId="0" fillId="8" borderId="30" xfId="0" applyFill="1" applyBorder="1"/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5" fontId="0" fillId="0" borderId="0" xfId="1" applyNumberFormat="1" applyFont="1"/>
    <xf numFmtId="0" fontId="9" fillId="12" borderId="0" xfId="0" applyFont="1" applyFill="1" applyAlignment="1">
      <alignment horizontal="center"/>
    </xf>
    <xf numFmtId="20" fontId="0" fillId="0" borderId="0" xfId="0" applyNumberFormat="1"/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 textRotation="90"/>
    </xf>
    <xf numFmtId="0" fontId="0" fillId="0" borderId="5" xfId="0" applyBorder="1" applyAlignment="1">
      <alignment horizontal="center" textRotation="90"/>
    </xf>
    <xf numFmtId="165" fontId="0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top" textRotation="90"/>
    </xf>
    <xf numFmtId="0" fontId="0" fillId="0" borderId="15" xfId="0" applyBorder="1" applyAlignment="1">
      <alignment horizontal="left" vertical="center"/>
    </xf>
    <xf numFmtId="165" fontId="0" fillId="0" borderId="16" xfId="1" applyNumberFormat="1" applyFont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4" fillId="3" borderId="0" xfId="0" applyFont="1" applyFill="1"/>
    <xf numFmtId="0" fontId="4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15-Minute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Summary'!$C$3</c:f>
              <c:strCache>
                <c:ptCount val="1"/>
                <c:pt idx="0">
                  <c:v>Pedestrian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Summary'!$C$4:$C$99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6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18</c:v>
                </c:pt>
                <c:pt idx="36">
                  <c:v>28</c:v>
                </c:pt>
                <c:pt idx="37">
                  <c:v>4</c:v>
                </c:pt>
                <c:pt idx="38">
                  <c:v>1</c:v>
                </c:pt>
                <c:pt idx="39">
                  <c:v>9</c:v>
                </c:pt>
                <c:pt idx="40">
                  <c:v>4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5</c:v>
                </c:pt>
                <c:pt idx="50">
                  <c:v>4</c:v>
                </c:pt>
                <c:pt idx="51">
                  <c:v>2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3</c:v>
                </c:pt>
                <c:pt idx="56">
                  <c:v>0</c:v>
                </c:pt>
                <c:pt idx="57">
                  <c:v>4</c:v>
                </c:pt>
                <c:pt idx="58">
                  <c:v>2</c:v>
                </c:pt>
                <c:pt idx="59">
                  <c:v>0</c:v>
                </c:pt>
                <c:pt idx="60">
                  <c:v>4</c:v>
                </c:pt>
                <c:pt idx="61">
                  <c:v>7</c:v>
                </c:pt>
                <c:pt idx="62">
                  <c:v>83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11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3</c:v>
                </c:pt>
                <c:pt idx="72">
                  <c:v>1</c:v>
                </c:pt>
                <c:pt idx="73">
                  <c:v>0</c:v>
                </c:pt>
                <c:pt idx="74">
                  <c:v>3</c:v>
                </c:pt>
                <c:pt idx="75">
                  <c:v>4</c:v>
                </c:pt>
                <c:pt idx="76">
                  <c:v>1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C-4D6A-ACD3-70FCF790FE03}"/>
            </c:ext>
          </c:extLst>
        </c:ser>
        <c:ser>
          <c:idx val="1"/>
          <c:order val="1"/>
          <c:tx>
            <c:strRef>
              <c:f>'Count Summary'!$D$3</c:f>
              <c:strCache>
                <c:ptCount val="1"/>
                <c:pt idx="0">
                  <c:v>Bike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Summary'!$D$4:$D$99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2</c:v>
                </c:pt>
                <c:pt idx="34">
                  <c:v>7</c:v>
                </c:pt>
                <c:pt idx="35">
                  <c:v>41</c:v>
                </c:pt>
                <c:pt idx="36">
                  <c:v>25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0</c:v>
                </c:pt>
                <c:pt idx="60">
                  <c:v>0</c:v>
                </c:pt>
                <c:pt idx="61">
                  <c:v>3</c:v>
                </c:pt>
                <c:pt idx="62">
                  <c:v>74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C-4D6A-ACD3-70FCF790FE03}"/>
            </c:ext>
          </c:extLst>
        </c:ser>
        <c:ser>
          <c:idx val="2"/>
          <c:order val="2"/>
          <c:tx>
            <c:strRef>
              <c:f>'Count Summary'!$E$3</c:f>
              <c:strCache>
                <c:ptCount val="1"/>
                <c:pt idx="0">
                  <c:v>Scooter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Summary'!$E$4:$E$99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</c:v>
                </c:pt>
                <c:pt idx="35">
                  <c:v>63</c:v>
                </c:pt>
                <c:pt idx="36">
                  <c:v>18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60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2C-4D6A-ACD3-70FCF790FE03}"/>
            </c:ext>
          </c:extLst>
        </c:ser>
        <c:ser>
          <c:idx val="3"/>
          <c:order val="3"/>
          <c:tx>
            <c:strRef>
              <c:f>'Count Summary'!$F$3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Summary'!$F$4:$F$99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C-4D6A-ACD3-70FCF790FE03}"/>
            </c:ext>
          </c:extLst>
        </c:ser>
        <c:ser>
          <c:idx val="4"/>
          <c:order val="4"/>
          <c:tx>
            <c:strRef>
              <c:f>'Count Summary'!$G$3</c:f>
              <c:strCache>
                <c:ptCount val="1"/>
                <c:pt idx="0">
                  <c:v>15-min 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Summary'!$B$4:$B$99</c:f>
              <c:numCache>
                <c:formatCode>[$-409]h:mm\ AM/PM;@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'Count Summary'!$G$4:$G$99</c:f>
              <c:numCache>
                <c:formatCode>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6</c:v>
                </c:pt>
                <c:pt idx="26">
                  <c:v>8</c:v>
                </c:pt>
                <c:pt idx="27">
                  <c:v>4</c:v>
                </c:pt>
                <c:pt idx="28">
                  <c:v>6</c:v>
                </c:pt>
                <c:pt idx="29">
                  <c:v>9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7</c:v>
                </c:pt>
                <c:pt idx="34">
                  <c:v>16</c:v>
                </c:pt>
                <c:pt idx="35">
                  <c:v>122</c:v>
                </c:pt>
                <c:pt idx="36">
                  <c:v>71</c:v>
                </c:pt>
                <c:pt idx="37">
                  <c:v>4</c:v>
                </c:pt>
                <c:pt idx="38">
                  <c:v>1</c:v>
                </c:pt>
                <c:pt idx="39">
                  <c:v>9</c:v>
                </c:pt>
                <c:pt idx="40">
                  <c:v>5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7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6</c:v>
                </c:pt>
                <c:pt idx="50">
                  <c:v>5</c:v>
                </c:pt>
                <c:pt idx="51">
                  <c:v>4</c:v>
                </c:pt>
                <c:pt idx="52">
                  <c:v>0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8</c:v>
                </c:pt>
                <c:pt idx="58">
                  <c:v>4</c:v>
                </c:pt>
                <c:pt idx="59">
                  <c:v>0</c:v>
                </c:pt>
                <c:pt idx="60">
                  <c:v>4</c:v>
                </c:pt>
                <c:pt idx="61">
                  <c:v>14</c:v>
                </c:pt>
                <c:pt idx="62">
                  <c:v>218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4</c:v>
                </c:pt>
                <c:pt idx="67">
                  <c:v>12</c:v>
                </c:pt>
                <c:pt idx="68">
                  <c:v>5</c:v>
                </c:pt>
                <c:pt idx="69">
                  <c:v>6</c:v>
                </c:pt>
                <c:pt idx="70">
                  <c:v>4</c:v>
                </c:pt>
                <c:pt idx="71">
                  <c:v>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1</c:v>
                </c:pt>
                <c:pt idx="77">
                  <c:v>0</c:v>
                </c:pt>
                <c:pt idx="78">
                  <c:v>2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C-4D6A-ACD3-70FCF790F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97887"/>
        <c:axId val="32498367"/>
      </c:lineChart>
      <c:catAx>
        <c:axId val="32497887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8367"/>
        <c:crosses val="autoZero"/>
        <c:auto val="1"/>
        <c:lblAlgn val="ctr"/>
        <c:lblOffset val="100"/>
        <c:noMultiLvlLbl val="0"/>
      </c:catAx>
      <c:valAx>
        <c:axId val="324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Intervals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'Count Summary'!$J$3</c:f>
              <c:strCache>
                <c:ptCount val="1"/>
                <c:pt idx="0">
                  <c:v>Pedestrian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Summary'!$J$4:$J$27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17</c:v>
                </c:pt>
                <c:pt idx="7">
                  <c:v>12</c:v>
                </c:pt>
                <c:pt idx="8">
                  <c:v>27</c:v>
                </c:pt>
                <c:pt idx="9">
                  <c:v>42</c:v>
                </c:pt>
                <c:pt idx="10">
                  <c:v>6</c:v>
                </c:pt>
                <c:pt idx="11">
                  <c:v>5</c:v>
                </c:pt>
                <c:pt idx="12">
                  <c:v>12</c:v>
                </c:pt>
                <c:pt idx="13">
                  <c:v>6</c:v>
                </c:pt>
                <c:pt idx="14">
                  <c:v>6</c:v>
                </c:pt>
                <c:pt idx="15">
                  <c:v>95</c:v>
                </c:pt>
                <c:pt idx="16">
                  <c:v>15</c:v>
                </c:pt>
                <c:pt idx="17">
                  <c:v>14</c:v>
                </c:pt>
                <c:pt idx="18">
                  <c:v>8</c:v>
                </c:pt>
                <c:pt idx="19">
                  <c:v>3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3-437D-A8CD-DF790F376EBD}"/>
            </c:ext>
          </c:extLst>
        </c:ser>
        <c:ser>
          <c:idx val="1"/>
          <c:order val="1"/>
          <c:tx>
            <c:strRef>
              <c:f>'Count Summary'!$K$3</c:f>
              <c:strCache>
                <c:ptCount val="1"/>
                <c:pt idx="0">
                  <c:v>Bike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Summary'!$K$4:$K$27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51</c:v>
                </c:pt>
                <c:pt idx="9">
                  <c:v>25</c:v>
                </c:pt>
                <c:pt idx="10">
                  <c:v>2</c:v>
                </c:pt>
                <c:pt idx="11">
                  <c:v>2</c:v>
                </c:pt>
                <c:pt idx="12">
                  <c:v>5</c:v>
                </c:pt>
                <c:pt idx="13">
                  <c:v>2</c:v>
                </c:pt>
                <c:pt idx="14">
                  <c:v>8</c:v>
                </c:pt>
                <c:pt idx="15">
                  <c:v>78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3-437D-A8CD-DF790F376EBD}"/>
            </c:ext>
          </c:extLst>
        </c:ser>
        <c:ser>
          <c:idx val="2"/>
          <c:order val="2"/>
          <c:tx>
            <c:strRef>
              <c:f>'Count Summary'!$L$3</c:f>
              <c:strCache>
                <c:ptCount val="1"/>
                <c:pt idx="0">
                  <c:v>Scooter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Summary'!$L$4:$L$27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69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64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3-437D-A8CD-DF790F376EBD}"/>
            </c:ext>
          </c:extLst>
        </c:ser>
        <c:ser>
          <c:idx val="3"/>
          <c:order val="3"/>
          <c:tx>
            <c:strRef>
              <c:f>'Count Summary'!$M$3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Summary'!$M$4:$M$27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3-437D-A8CD-DF790F376EBD}"/>
            </c:ext>
          </c:extLst>
        </c:ser>
        <c:ser>
          <c:idx val="4"/>
          <c:order val="4"/>
          <c:tx>
            <c:strRef>
              <c:f>'Count Summary'!$N$3</c:f>
              <c:strCache>
                <c:ptCount val="1"/>
                <c:pt idx="0">
                  <c:v>Hourly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'Count Summary'!$I$4:$I$27</c:f>
              <c:numCache>
                <c:formatCode>[$-409]h:mm\ AM/PM;@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'Count Summary'!$N$4:$N$27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19</c:v>
                </c:pt>
                <c:pt idx="7">
                  <c:v>18</c:v>
                </c:pt>
                <c:pt idx="8">
                  <c:v>147</c:v>
                </c:pt>
                <c:pt idx="9">
                  <c:v>85</c:v>
                </c:pt>
                <c:pt idx="10">
                  <c:v>8</c:v>
                </c:pt>
                <c:pt idx="11">
                  <c:v>7</c:v>
                </c:pt>
                <c:pt idx="12">
                  <c:v>17</c:v>
                </c:pt>
                <c:pt idx="13">
                  <c:v>9</c:v>
                </c:pt>
                <c:pt idx="14">
                  <c:v>15</c:v>
                </c:pt>
                <c:pt idx="15">
                  <c:v>238</c:v>
                </c:pt>
                <c:pt idx="16">
                  <c:v>18</c:v>
                </c:pt>
                <c:pt idx="17">
                  <c:v>19</c:v>
                </c:pt>
                <c:pt idx="18">
                  <c:v>10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63-437D-A8CD-DF790F376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5695"/>
        <c:axId val="1944312287"/>
      </c:lineChart>
      <c:catAx>
        <c:axId val="46815695"/>
        <c:scaling>
          <c:orientation val="minMax"/>
        </c:scaling>
        <c:delete val="0"/>
        <c:axPos val="b"/>
        <c:numFmt formatCode="[$-409]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12287"/>
        <c:crosses val="autoZero"/>
        <c:auto val="1"/>
        <c:lblAlgn val="ctr"/>
        <c:lblOffset val="100"/>
        <c:noMultiLvlLbl val="0"/>
      </c:catAx>
      <c:valAx>
        <c:axId val="194431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385761</xdr:colOff>
      <xdr:row>37</xdr:row>
      <xdr:rowOff>33336</xdr:rowOff>
    </xdr:from>
    <xdr:to>
      <xdr:col>17</xdr:col>
      <xdr:colOff>600074</xdr:colOff>
      <xdr:row>64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25DF-EBBF-777C-8A0D-054F6B53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211591</xdr:colOff>
      <xdr:row>8</xdr:row>
      <xdr:rowOff>90486</xdr:rowOff>
    </xdr:from>
    <xdr:to>
      <xdr:col>26</xdr:col>
      <xdr:colOff>176893</xdr:colOff>
      <xdr:row>32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2A185-573D-664C-801F-6F18A60C7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599C-FE09-4208-A4FE-F7E68BE6ED1F}">
  <dimension ref="B2:BE883"/>
  <sheetViews>
    <sheetView tabSelected="1" topLeftCell="A832" zoomScale="70" zoomScaleNormal="70" workbookViewId="0">
      <selection activeCell="P887" sqref="P887"/>
    </sheetView>
  </sheetViews>
  <sheetFormatPr defaultRowHeight="15" x14ac:dyDescent="0.25"/>
  <cols>
    <col min="1" max="1" width="2.85546875" customWidth="1"/>
    <col min="2" max="2" width="17" customWidth="1"/>
    <col min="3" max="3" width="10.7109375" style="3" customWidth="1"/>
    <col min="5" max="5" width="14.5703125" customWidth="1"/>
    <col min="6" max="6" width="5.28515625" customWidth="1"/>
    <col min="7" max="9" width="4.42578125" customWidth="1"/>
    <col min="10" max="10" width="5.5703125" bestFit="1" customWidth="1"/>
    <col min="11" max="11" width="4.7109375" bestFit="1" customWidth="1"/>
    <col min="12" max="12" width="4.42578125" customWidth="1"/>
    <col min="13" max="13" width="5.28515625" bestFit="1" customWidth="1"/>
    <col min="14" max="15" width="5.28515625" customWidth="1"/>
    <col min="16" max="16" width="5.28515625" bestFit="1" customWidth="1"/>
    <col min="17" max="18" width="5.5703125" bestFit="1" customWidth="1"/>
    <col min="19" max="20" width="4.7109375" bestFit="1" customWidth="1"/>
    <col min="21" max="22" width="4.42578125" customWidth="1"/>
    <col min="23" max="23" width="5.28515625" bestFit="1" customWidth="1"/>
    <col min="24" max="24" width="6" customWidth="1"/>
    <col min="25" max="27" width="4.42578125" customWidth="1"/>
    <col min="28" max="28" width="5.5703125" bestFit="1" customWidth="1"/>
    <col min="29" max="29" width="4.7109375" bestFit="1" customWidth="1"/>
    <col min="30" max="30" width="4.42578125" customWidth="1"/>
    <col min="31" max="31" width="5.28515625" bestFit="1" customWidth="1"/>
    <col min="32" max="33" width="6" bestFit="1" customWidth="1"/>
    <col min="34" max="34" width="5.28515625" bestFit="1" customWidth="1"/>
    <col min="35" max="36" width="5.5703125" bestFit="1" customWidth="1"/>
    <col min="37" max="40" width="4.42578125" customWidth="1"/>
    <col min="41" max="41" width="5.28515625" bestFit="1" customWidth="1"/>
    <col min="42" max="42" width="9.42578125" customWidth="1"/>
    <col min="43" max="43" width="7.28515625" customWidth="1"/>
    <col min="44" max="44" width="11.42578125" customWidth="1"/>
    <col min="45" max="45" width="9.42578125" customWidth="1"/>
    <col min="46" max="46" width="10.28515625" customWidth="1"/>
    <col min="47" max="47" width="9.85546875" customWidth="1"/>
    <col min="48" max="48" width="11.7109375" customWidth="1"/>
    <col min="49" max="49" width="11.5703125" customWidth="1"/>
    <col min="50" max="50" width="12.28515625" customWidth="1"/>
    <col min="51" max="51" width="10.28515625" customWidth="1"/>
    <col min="52" max="52" width="8.7109375" customWidth="1"/>
    <col min="53" max="53" width="8" customWidth="1"/>
    <col min="54" max="54" width="10.85546875" customWidth="1"/>
    <col min="55" max="55" width="11.140625" customWidth="1"/>
  </cols>
  <sheetData>
    <row r="2" spans="2:56" x14ac:dyDescent="0.25">
      <c r="B2" s="3" t="s">
        <v>62</v>
      </c>
    </row>
    <row r="3" spans="2:56" x14ac:dyDescent="0.25">
      <c r="B3" t="s">
        <v>70</v>
      </c>
    </row>
    <row r="4" spans="2:56" x14ac:dyDescent="0.25">
      <c r="B4" t="s">
        <v>71</v>
      </c>
    </row>
    <row r="6" spans="2:56" ht="15.75" x14ac:dyDescent="0.25">
      <c r="F6" s="82" t="s">
        <v>17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3" t="s">
        <v>16</v>
      </c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79"/>
      <c r="AQ6" s="79"/>
      <c r="AR6" s="79"/>
      <c r="AS6" s="79"/>
      <c r="AT6" s="79"/>
      <c r="AU6" s="41"/>
      <c r="AV6" s="41"/>
      <c r="AW6" s="41"/>
      <c r="AX6" s="41"/>
      <c r="AY6" s="41"/>
      <c r="AZ6" s="41"/>
      <c r="BA6" s="41"/>
    </row>
    <row r="7" spans="2:56" ht="32.25" thickBot="1" x14ac:dyDescent="0.3">
      <c r="F7" s="81" t="s">
        <v>9</v>
      </c>
      <c r="G7" s="81"/>
      <c r="H7" s="81"/>
      <c r="I7" s="81"/>
      <c r="J7" s="81" t="s">
        <v>10</v>
      </c>
      <c r="K7" s="81"/>
      <c r="L7" s="81"/>
      <c r="M7" s="81"/>
      <c r="N7" s="81" t="s">
        <v>49</v>
      </c>
      <c r="O7" s="81"/>
      <c r="P7" s="81" t="s">
        <v>11</v>
      </c>
      <c r="Q7" s="81"/>
      <c r="R7" s="81"/>
      <c r="S7" s="81"/>
      <c r="T7" s="81"/>
      <c r="U7" s="81"/>
      <c r="V7" s="81"/>
      <c r="W7" s="81"/>
      <c r="X7" s="81" t="s">
        <v>9</v>
      </c>
      <c r="Y7" s="81"/>
      <c r="Z7" s="81"/>
      <c r="AA7" s="81"/>
      <c r="AB7" s="81" t="s">
        <v>10</v>
      </c>
      <c r="AC7" s="81"/>
      <c r="AD7" s="81"/>
      <c r="AE7" s="81"/>
      <c r="AF7" s="81" t="s">
        <v>49</v>
      </c>
      <c r="AG7" s="81"/>
      <c r="AH7" s="81" t="s">
        <v>11</v>
      </c>
      <c r="AI7" s="81"/>
      <c r="AJ7" s="81"/>
      <c r="AK7" s="81"/>
      <c r="AL7" s="81"/>
      <c r="AM7" s="81"/>
      <c r="AN7" s="81"/>
      <c r="AO7" s="81"/>
      <c r="AP7" s="70" t="s">
        <v>50</v>
      </c>
      <c r="AQ7" s="70" t="s">
        <v>57</v>
      </c>
      <c r="AR7" s="70" t="s">
        <v>63</v>
      </c>
      <c r="AS7" s="70" t="s">
        <v>64</v>
      </c>
      <c r="AT7" s="70" t="s">
        <v>61</v>
      </c>
      <c r="AU7" s="70" t="s">
        <v>54</v>
      </c>
      <c r="AV7" s="70" t="s">
        <v>19</v>
      </c>
      <c r="AW7" s="70" t="s">
        <v>58</v>
      </c>
      <c r="AX7" s="70" t="s">
        <v>51</v>
      </c>
      <c r="AY7" s="70" t="s">
        <v>53</v>
      </c>
      <c r="AZ7" s="70" t="s">
        <v>52</v>
      </c>
      <c r="BA7" s="70" t="s">
        <v>55</v>
      </c>
      <c r="BB7" s="70" t="s">
        <v>56</v>
      </c>
      <c r="BC7" s="70" t="s">
        <v>59</v>
      </c>
      <c r="BD7" s="70" t="s">
        <v>60</v>
      </c>
    </row>
    <row r="8" spans="2:56" ht="16.5" thickBot="1" x14ac:dyDescent="0.3">
      <c r="B8" s="16">
        <v>0</v>
      </c>
      <c r="C8" s="7" t="s">
        <v>5</v>
      </c>
      <c r="E8" s="11"/>
      <c r="F8" s="75" t="s">
        <v>15</v>
      </c>
      <c r="G8" s="58" t="s">
        <v>12</v>
      </c>
      <c r="H8" s="58" t="s">
        <v>14</v>
      </c>
      <c r="I8" s="58" t="s">
        <v>13</v>
      </c>
      <c r="J8" s="58" t="s">
        <v>42</v>
      </c>
      <c r="K8" s="58" t="s">
        <v>41</v>
      </c>
      <c r="L8" s="58" t="s">
        <v>43</v>
      </c>
      <c r="M8" s="58" t="s">
        <v>44</v>
      </c>
      <c r="N8" s="58" t="s">
        <v>15</v>
      </c>
      <c r="O8" s="58" t="s">
        <v>14</v>
      </c>
      <c r="P8" s="58" t="s">
        <v>45</v>
      </c>
      <c r="Q8" s="58" t="s">
        <v>46</v>
      </c>
      <c r="R8" s="58" t="s">
        <v>42</v>
      </c>
      <c r="S8" s="58" t="s">
        <v>41</v>
      </c>
      <c r="T8" s="58" t="s">
        <v>47</v>
      </c>
      <c r="U8" s="58" t="s">
        <v>48</v>
      </c>
      <c r="V8" s="58" t="s">
        <v>43</v>
      </c>
      <c r="W8" s="58" t="s">
        <v>44</v>
      </c>
      <c r="X8" s="75" t="s">
        <v>15</v>
      </c>
      <c r="Y8" s="58" t="s">
        <v>12</v>
      </c>
      <c r="Z8" s="58" t="s">
        <v>14</v>
      </c>
      <c r="AA8" s="58" t="s">
        <v>13</v>
      </c>
      <c r="AB8" s="58" t="s">
        <v>42</v>
      </c>
      <c r="AC8" s="58" t="s">
        <v>41</v>
      </c>
      <c r="AD8" s="58" t="s">
        <v>43</v>
      </c>
      <c r="AE8" s="58" t="s">
        <v>44</v>
      </c>
      <c r="AF8" s="58" t="s">
        <v>15</v>
      </c>
      <c r="AG8" s="58" t="s">
        <v>14</v>
      </c>
      <c r="AH8" s="58" t="s">
        <v>45</v>
      </c>
      <c r="AI8" s="58" t="s">
        <v>46</v>
      </c>
      <c r="AJ8" s="58" t="s">
        <v>42</v>
      </c>
      <c r="AK8" s="58" t="s">
        <v>41</v>
      </c>
      <c r="AL8" s="58" t="s">
        <v>47</v>
      </c>
      <c r="AM8" s="58" t="s">
        <v>48</v>
      </c>
      <c r="AN8" s="58" t="s">
        <v>43</v>
      </c>
      <c r="AO8" s="58" t="s">
        <v>44</v>
      </c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</row>
    <row r="9" spans="2:56" ht="16.5" customHeight="1" thickBot="1" x14ac:dyDescent="0.3">
      <c r="B9" s="1" t="s">
        <v>0</v>
      </c>
      <c r="C9" s="13">
        <f>SUM(F9:W9)</f>
        <v>0</v>
      </c>
      <c r="E9" s="10" t="s">
        <v>0</v>
      </c>
      <c r="F9" s="71"/>
      <c r="G9" s="60"/>
      <c r="H9" s="60"/>
      <c r="I9" s="61"/>
      <c r="J9" s="59"/>
      <c r="K9" s="60"/>
      <c r="L9" s="60"/>
      <c r="M9" s="60"/>
      <c r="N9" s="59"/>
      <c r="O9" s="61"/>
      <c r="P9" s="59"/>
      <c r="Q9" s="60"/>
      <c r="R9" s="60"/>
      <c r="S9" s="60"/>
      <c r="T9" s="60"/>
      <c r="U9" s="60"/>
      <c r="V9" s="60"/>
      <c r="W9" s="61"/>
      <c r="X9" s="71"/>
      <c r="Y9" s="60"/>
      <c r="Z9" s="60"/>
      <c r="AA9" s="60"/>
      <c r="AB9" s="59"/>
      <c r="AC9" s="60"/>
      <c r="AD9" s="60"/>
      <c r="AE9" s="61"/>
      <c r="AF9" s="60"/>
      <c r="AG9" s="61"/>
      <c r="AH9" s="60"/>
      <c r="AI9" s="60"/>
      <c r="AJ9" s="60"/>
      <c r="AK9" s="60"/>
      <c r="AL9" s="60"/>
      <c r="AM9" s="60"/>
      <c r="AN9" s="60"/>
      <c r="AO9" s="60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62"/>
      <c r="BB9" s="62"/>
      <c r="BC9" s="62"/>
      <c r="BD9" s="62"/>
    </row>
    <row r="10" spans="2:56" ht="16.5" customHeight="1" thickBot="1" x14ac:dyDescent="0.3">
      <c r="B10" s="1" t="s">
        <v>1</v>
      </c>
      <c r="C10" s="14">
        <f t="shared" ref="C10:C12" si="0">SUM(F10:W10)</f>
        <v>0</v>
      </c>
      <c r="E10" s="1" t="s">
        <v>1</v>
      </c>
      <c r="F10" s="72"/>
      <c r="G10" s="41"/>
      <c r="H10" s="41"/>
      <c r="I10" s="64"/>
      <c r="J10" s="63"/>
      <c r="K10" s="41"/>
      <c r="L10" s="41"/>
      <c r="M10" s="41"/>
      <c r="N10" s="63"/>
      <c r="O10" s="64"/>
      <c r="P10" s="63"/>
      <c r="Q10" s="41"/>
      <c r="R10" s="41"/>
      <c r="S10" s="41"/>
      <c r="T10" s="41"/>
      <c r="U10" s="41"/>
      <c r="V10" s="41"/>
      <c r="W10" s="64"/>
      <c r="X10" s="72"/>
      <c r="Y10" s="41"/>
      <c r="Z10" s="41"/>
      <c r="AA10" s="41"/>
      <c r="AB10" s="63"/>
      <c r="AC10" s="41"/>
      <c r="AD10" s="41"/>
      <c r="AE10" s="64"/>
      <c r="AF10" s="41"/>
      <c r="AG10" s="64"/>
      <c r="AH10" s="41"/>
      <c r="AI10" s="41"/>
      <c r="AJ10" s="41"/>
      <c r="AK10" s="41"/>
      <c r="AL10" s="41"/>
      <c r="AM10" s="41"/>
      <c r="AN10" s="41"/>
      <c r="AO10" s="41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5"/>
      <c r="BB10" s="65"/>
      <c r="BC10" s="65"/>
      <c r="BD10" s="65"/>
    </row>
    <row r="11" spans="2:56" ht="16.5" customHeight="1" thickBot="1" x14ac:dyDescent="0.3">
      <c r="B11" s="1" t="s">
        <v>2</v>
      </c>
      <c r="C11" s="14">
        <f t="shared" si="0"/>
        <v>0</v>
      </c>
      <c r="E11" s="1" t="s">
        <v>2</v>
      </c>
      <c r="F11" s="72"/>
      <c r="G11" s="41"/>
      <c r="H11" s="41"/>
      <c r="I11" s="64"/>
      <c r="J11" s="63"/>
      <c r="K11" s="41"/>
      <c r="L11" s="41"/>
      <c r="M11" s="41"/>
      <c r="N11" s="63"/>
      <c r="O11" s="64"/>
      <c r="P11" s="63"/>
      <c r="Q11" s="41"/>
      <c r="R11" s="41"/>
      <c r="S11" s="41"/>
      <c r="T11" s="41"/>
      <c r="U11" s="41"/>
      <c r="V11" s="41"/>
      <c r="W11" s="64"/>
      <c r="X11" s="72"/>
      <c r="Y11" s="41"/>
      <c r="Z11" s="41"/>
      <c r="AA11" s="41"/>
      <c r="AB11" s="63"/>
      <c r="AC11" s="41"/>
      <c r="AD11" s="41"/>
      <c r="AE11" s="64"/>
      <c r="AF11" s="41"/>
      <c r="AG11" s="64"/>
      <c r="AH11" s="41"/>
      <c r="AI11" s="41"/>
      <c r="AJ11" s="41"/>
      <c r="AK11" s="41"/>
      <c r="AL11" s="41"/>
      <c r="AM11" s="41"/>
      <c r="AN11" s="41"/>
      <c r="AO11" s="41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5"/>
      <c r="BB11" s="65"/>
      <c r="BC11" s="65"/>
      <c r="BD11" s="65"/>
    </row>
    <row r="12" spans="2:56" ht="16.5" customHeight="1" thickBot="1" x14ac:dyDescent="0.3">
      <c r="B12" s="1" t="s">
        <v>3</v>
      </c>
      <c r="C12" s="15">
        <f t="shared" si="0"/>
        <v>0</v>
      </c>
      <c r="E12" s="1" t="s">
        <v>3</v>
      </c>
      <c r="F12" s="73"/>
      <c r="G12" s="67"/>
      <c r="H12" s="67"/>
      <c r="I12" s="68"/>
      <c r="J12" s="66"/>
      <c r="K12" s="67"/>
      <c r="L12" s="67"/>
      <c r="M12" s="67"/>
      <c r="N12" s="66"/>
      <c r="O12" s="68"/>
      <c r="P12" s="66"/>
      <c r="Q12" s="67"/>
      <c r="R12" s="67"/>
      <c r="S12" s="67"/>
      <c r="T12" s="67"/>
      <c r="U12" s="67"/>
      <c r="V12" s="67"/>
      <c r="W12" s="68"/>
      <c r="X12" s="73"/>
      <c r="Y12" s="67"/>
      <c r="Z12" s="67"/>
      <c r="AA12" s="67"/>
      <c r="AB12" s="66"/>
      <c r="AC12" s="67"/>
      <c r="AD12" s="67"/>
      <c r="AE12" s="68"/>
      <c r="AF12" s="67"/>
      <c r="AG12" s="68"/>
      <c r="AH12" s="67"/>
      <c r="AI12" s="67"/>
      <c r="AJ12" s="67"/>
      <c r="AK12" s="67"/>
      <c r="AL12" s="67"/>
      <c r="AM12" s="67"/>
      <c r="AN12" s="67"/>
      <c r="AO12" s="67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9"/>
      <c r="BB12" s="69"/>
      <c r="BC12" s="69"/>
      <c r="BD12" s="69"/>
    </row>
    <row r="13" spans="2:56" ht="21" customHeight="1" x14ac:dyDescent="0.25">
      <c r="B13" s="2"/>
      <c r="C13" s="8">
        <f>SUM(C9:C12)</f>
        <v>0</v>
      </c>
      <c r="F13" s="74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74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</row>
    <row r="14" spans="2:56" x14ac:dyDescent="0.25"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</row>
    <row r="15" spans="2:56" ht="15.75" x14ac:dyDescent="0.25">
      <c r="F15" s="82" t="s">
        <v>17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3" t="s">
        <v>16</v>
      </c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79"/>
      <c r="AQ15" s="79"/>
      <c r="AR15" s="79"/>
      <c r="AS15" s="79"/>
      <c r="AT15" s="79"/>
      <c r="AU15" s="41"/>
      <c r="AV15" s="41"/>
      <c r="AW15" s="41"/>
      <c r="AX15" s="41"/>
      <c r="AY15" s="41"/>
      <c r="AZ15" s="41"/>
      <c r="BA15" s="41"/>
    </row>
    <row r="16" spans="2:56" ht="32.25" thickBot="1" x14ac:dyDescent="0.3">
      <c r="F16" s="81" t="s">
        <v>9</v>
      </c>
      <c r="G16" s="81"/>
      <c r="H16" s="81"/>
      <c r="I16" s="81"/>
      <c r="J16" s="81" t="s">
        <v>10</v>
      </c>
      <c r="K16" s="81"/>
      <c r="L16" s="81"/>
      <c r="M16" s="81"/>
      <c r="N16" s="81" t="s">
        <v>49</v>
      </c>
      <c r="O16" s="81"/>
      <c r="P16" s="81" t="s">
        <v>11</v>
      </c>
      <c r="Q16" s="81"/>
      <c r="R16" s="81"/>
      <c r="S16" s="81"/>
      <c r="T16" s="81"/>
      <c r="U16" s="81"/>
      <c r="V16" s="81"/>
      <c r="W16" s="81"/>
      <c r="X16" s="81" t="s">
        <v>9</v>
      </c>
      <c r="Y16" s="81"/>
      <c r="Z16" s="81"/>
      <c r="AA16" s="81"/>
      <c r="AB16" s="81" t="s">
        <v>10</v>
      </c>
      <c r="AC16" s="81"/>
      <c r="AD16" s="81"/>
      <c r="AE16" s="81"/>
      <c r="AF16" s="81" t="s">
        <v>49</v>
      </c>
      <c r="AG16" s="81"/>
      <c r="AH16" s="81" t="s">
        <v>11</v>
      </c>
      <c r="AI16" s="81"/>
      <c r="AJ16" s="81"/>
      <c r="AK16" s="81"/>
      <c r="AL16" s="81"/>
      <c r="AM16" s="81"/>
      <c r="AN16" s="81"/>
      <c r="AO16" s="81"/>
      <c r="AP16" s="70" t="s">
        <v>50</v>
      </c>
      <c r="AQ16" s="70" t="s">
        <v>57</v>
      </c>
      <c r="AR16" s="70" t="s">
        <v>63</v>
      </c>
      <c r="AS16" s="70" t="s">
        <v>64</v>
      </c>
      <c r="AT16" s="70" t="s">
        <v>61</v>
      </c>
      <c r="AU16" s="70" t="s">
        <v>54</v>
      </c>
      <c r="AV16" s="70" t="s">
        <v>19</v>
      </c>
      <c r="AW16" s="70" t="s">
        <v>58</v>
      </c>
      <c r="AX16" s="70" t="s">
        <v>51</v>
      </c>
      <c r="AY16" s="70" t="s">
        <v>53</v>
      </c>
      <c r="AZ16" s="70" t="s">
        <v>52</v>
      </c>
      <c r="BA16" s="70" t="s">
        <v>55</v>
      </c>
      <c r="BB16" s="70" t="s">
        <v>56</v>
      </c>
      <c r="BC16" s="70" t="s">
        <v>59</v>
      </c>
      <c r="BD16" s="70" t="s">
        <v>60</v>
      </c>
    </row>
    <row r="17" spans="2:56" ht="16.5" thickBot="1" x14ac:dyDescent="0.3">
      <c r="B17" s="16">
        <v>1.0416666666666666E-2</v>
      </c>
      <c r="C17" s="7" t="s">
        <v>5</v>
      </c>
      <c r="E17" s="11"/>
      <c r="F17" s="75" t="s">
        <v>15</v>
      </c>
      <c r="G17" s="58" t="s">
        <v>12</v>
      </c>
      <c r="H17" s="58" t="s">
        <v>14</v>
      </c>
      <c r="I17" s="58" t="s">
        <v>13</v>
      </c>
      <c r="J17" s="58" t="s">
        <v>42</v>
      </c>
      <c r="K17" s="58" t="s">
        <v>41</v>
      </c>
      <c r="L17" s="58" t="s">
        <v>43</v>
      </c>
      <c r="M17" s="58" t="s">
        <v>44</v>
      </c>
      <c r="N17" s="58" t="s">
        <v>15</v>
      </c>
      <c r="O17" s="58" t="s">
        <v>14</v>
      </c>
      <c r="P17" s="58" t="s">
        <v>45</v>
      </c>
      <c r="Q17" s="58" t="s">
        <v>46</v>
      </c>
      <c r="R17" s="58" t="s">
        <v>42</v>
      </c>
      <c r="S17" s="58" t="s">
        <v>41</v>
      </c>
      <c r="T17" s="58" t="s">
        <v>47</v>
      </c>
      <c r="U17" s="58" t="s">
        <v>48</v>
      </c>
      <c r="V17" s="58" t="s">
        <v>43</v>
      </c>
      <c r="W17" s="58" t="s">
        <v>44</v>
      </c>
      <c r="X17" s="75" t="s">
        <v>15</v>
      </c>
      <c r="Y17" s="58" t="s">
        <v>12</v>
      </c>
      <c r="Z17" s="58" t="s">
        <v>14</v>
      </c>
      <c r="AA17" s="58" t="s">
        <v>13</v>
      </c>
      <c r="AB17" s="58" t="s">
        <v>42</v>
      </c>
      <c r="AC17" s="58" t="s">
        <v>41</v>
      </c>
      <c r="AD17" s="58" t="s">
        <v>43</v>
      </c>
      <c r="AE17" s="58" t="s">
        <v>44</v>
      </c>
      <c r="AF17" s="58" t="s">
        <v>15</v>
      </c>
      <c r="AG17" s="58" t="s">
        <v>14</v>
      </c>
      <c r="AH17" s="58" t="s">
        <v>45</v>
      </c>
      <c r="AI17" s="58" t="s">
        <v>46</v>
      </c>
      <c r="AJ17" s="58" t="s">
        <v>42</v>
      </c>
      <c r="AK17" s="58" t="s">
        <v>41</v>
      </c>
      <c r="AL17" s="58" t="s">
        <v>47</v>
      </c>
      <c r="AM17" s="58" t="s">
        <v>48</v>
      </c>
      <c r="AN17" s="58" t="s">
        <v>43</v>
      </c>
      <c r="AO17" s="58" t="s">
        <v>44</v>
      </c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</row>
    <row r="18" spans="2:56" ht="16.5" customHeight="1" thickBot="1" x14ac:dyDescent="0.3">
      <c r="B18" s="1" t="s">
        <v>0</v>
      </c>
      <c r="C18" s="13">
        <f>SUM(F18:W18)</f>
        <v>0</v>
      </c>
      <c r="E18" s="10" t="s">
        <v>0</v>
      </c>
      <c r="F18" s="71"/>
      <c r="G18" s="60"/>
      <c r="H18" s="60"/>
      <c r="I18" s="61"/>
      <c r="J18" s="59"/>
      <c r="K18" s="60"/>
      <c r="L18" s="60"/>
      <c r="M18" s="60"/>
      <c r="N18" s="59"/>
      <c r="O18" s="61"/>
      <c r="P18" s="59"/>
      <c r="Q18" s="60"/>
      <c r="R18" s="60"/>
      <c r="S18" s="60"/>
      <c r="T18" s="60"/>
      <c r="U18" s="60"/>
      <c r="V18" s="60"/>
      <c r="W18" s="61"/>
      <c r="X18" s="71"/>
      <c r="Y18" s="60"/>
      <c r="Z18" s="60"/>
      <c r="AA18" s="60"/>
      <c r="AB18" s="59"/>
      <c r="AC18" s="60"/>
      <c r="AD18" s="60"/>
      <c r="AE18" s="61"/>
      <c r="AF18" s="60"/>
      <c r="AG18" s="61"/>
      <c r="AH18" s="60"/>
      <c r="AI18" s="60"/>
      <c r="AJ18" s="60"/>
      <c r="AK18" s="60"/>
      <c r="AL18" s="60"/>
      <c r="AM18" s="60"/>
      <c r="AN18" s="60"/>
      <c r="AO18" s="60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62"/>
      <c r="BB18" s="62"/>
      <c r="BC18" s="62"/>
      <c r="BD18" s="62"/>
    </row>
    <row r="19" spans="2:56" ht="16.5" customHeight="1" thickBot="1" x14ac:dyDescent="0.3">
      <c r="B19" s="1" t="s">
        <v>1</v>
      </c>
      <c r="C19" s="14">
        <f t="shared" ref="C19:C21" si="1">SUM(F19:W19)</f>
        <v>0</v>
      </c>
      <c r="E19" s="1" t="s">
        <v>1</v>
      </c>
      <c r="F19" s="72"/>
      <c r="G19" s="41"/>
      <c r="H19" s="41"/>
      <c r="I19" s="64"/>
      <c r="J19" s="63"/>
      <c r="K19" s="41"/>
      <c r="L19" s="41"/>
      <c r="M19" s="41"/>
      <c r="N19" s="63"/>
      <c r="O19" s="64"/>
      <c r="P19" s="63"/>
      <c r="Q19" s="41"/>
      <c r="R19" s="41"/>
      <c r="S19" s="41"/>
      <c r="T19" s="41"/>
      <c r="U19" s="41"/>
      <c r="V19" s="41"/>
      <c r="W19" s="64"/>
      <c r="X19" s="72"/>
      <c r="Y19" s="41"/>
      <c r="Z19" s="41"/>
      <c r="AA19" s="41"/>
      <c r="AB19" s="63"/>
      <c r="AC19" s="41"/>
      <c r="AD19" s="41"/>
      <c r="AE19" s="64"/>
      <c r="AF19" s="41"/>
      <c r="AG19" s="64"/>
      <c r="AH19" s="41"/>
      <c r="AI19" s="41"/>
      <c r="AJ19" s="41"/>
      <c r="AK19" s="41"/>
      <c r="AL19" s="41"/>
      <c r="AM19" s="41"/>
      <c r="AN19" s="41"/>
      <c r="AO19" s="41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5"/>
      <c r="BB19" s="65"/>
      <c r="BC19" s="65"/>
      <c r="BD19" s="65"/>
    </row>
    <row r="20" spans="2:56" ht="16.5" customHeight="1" thickBot="1" x14ac:dyDescent="0.3">
      <c r="B20" s="1" t="s">
        <v>2</v>
      </c>
      <c r="C20" s="14">
        <f t="shared" si="1"/>
        <v>0</v>
      </c>
      <c r="E20" s="1" t="s">
        <v>2</v>
      </c>
      <c r="F20" s="72"/>
      <c r="G20" s="41"/>
      <c r="H20" s="41"/>
      <c r="I20" s="64"/>
      <c r="J20" s="63"/>
      <c r="K20" s="41"/>
      <c r="L20" s="41"/>
      <c r="M20" s="41"/>
      <c r="N20" s="63"/>
      <c r="O20" s="64"/>
      <c r="P20" s="63"/>
      <c r="Q20" s="41"/>
      <c r="R20" s="41"/>
      <c r="S20" s="41"/>
      <c r="T20" s="41"/>
      <c r="U20" s="41"/>
      <c r="V20" s="41"/>
      <c r="W20" s="64"/>
      <c r="X20" s="72"/>
      <c r="Y20" s="41"/>
      <c r="Z20" s="41"/>
      <c r="AA20" s="41"/>
      <c r="AB20" s="63"/>
      <c r="AC20" s="41"/>
      <c r="AD20" s="41"/>
      <c r="AE20" s="64"/>
      <c r="AF20" s="41"/>
      <c r="AG20" s="64"/>
      <c r="AH20" s="41"/>
      <c r="AI20" s="41"/>
      <c r="AJ20" s="41"/>
      <c r="AK20" s="41"/>
      <c r="AL20" s="41"/>
      <c r="AM20" s="41"/>
      <c r="AN20" s="41"/>
      <c r="AO20" s="41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5"/>
      <c r="BB20" s="65"/>
      <c r="BC20" s="65"/>
      <c r="BD20" s="65"/>
    </row>
    <row r="21" spans="2:56" ht="16.5" customHeight="1" thickBot="1" x14ac:dyDescent="0.3">
      <c r="B21" s="1" t="s">
        <v>3</v>
      </c>
      <c r="C21" s="15">
        <f t="shared" si="1"/>
        <v>0</v>
      </c>
      <c r="E21" s="1" t="s">
        <v>3</v>
      </c>
      <c r="F21" s="73"/>
      <c r="G21" s="67"/>
      <c r="H21" s="67"/>
      <c r="I21" s="68"/>
      <c r="J21" s="66"/>
      <c r="K21" s="67"/>
      <c r="L21" s="67"/>
      <c r="M21" s="67"/>
      <c r="N21" s="66"/>
      <c r="O21" s="68"/>
      <c r="P21" s="66"/>
      <c r="Q21" s="67"/>
      <c r="R21" s="67"/>
      <c r="S21" s="67"/>
      <c r="T21" s="67"/>
      <c r="U21" s="67"/>
      <c r="V21" s="67"/>
      <c r="W21" s="68"/>
      <c r="X21" s="73"/>
      <c r="Y21" s="67"/>
      <c r="Z21" s="67"/>
      <c r="AA21" s="67"/>
      <c r="AB21" s="66"/>
      <c r="AC21" s="67"/>
      <c r="AD21" s="67"/>
      <c r="AE21" s="68"/>
      <c r="AF21" s="67"/>
      <c r="AG21" s="68"/>
      <c r="AH21" s="67"/>
      <c r="AI21" s="67"/>
      <c r="AJ21" s="67"/>
      <c r="AK21" s="67"/>
      <c r="AL21" s="67"/>
      <c r="AM21" s="67"/>
      <c r="AN21" s="67"/>
      <c r="AO21" s="67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9"/>
      <c r="BB21" s="69"/>
      <c r="BC21" s="69"/>
      <c r="BD21" s="69"/>
    </row>
    <row r="22" spans="2:56" ht="21" customHeight="1" x14ac:dyDescent="0.25">
      <c r="B22" s="2"/>
      <c r="C22" s="8">
        <f>SUM(C18:C21)</f>
        <v>0</v>
      </c>
      <c r="F22" s="74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74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</row>
    <row r="23" spans="2:56" x14ac:dyDescent="0.25"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</row>
    <row r="24" spans="2:56" ht="15.75" x14ac:dyDescent="0.25">
      <c r="F24" s="82" t="s">
        <v>17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3" t="s">
        <v>16</v>
      </c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79"/>
      <c r="AQ24" s="79"/>
      <c r="AR24" s="79"/>
      <c r="AS24" s="79"/>
      <c r="AT24" s="79"/>
      <c r="AU24" s="41"/>
      <c r="AV24" s="41"/>
      <c r="AW24" s="41"/>
      <c r="AX24" s="41"/>
      <c r="AY24" s="41"/>
      <c r="AZ24" s="41"/>
      <c r="BA24" s="41"/>
    </row>
    <row r="25" spans="2:56" ht="32.25" thickBot="1" x14ac:dyDescent="0.3">
      <c r="F25" s="81" t="s">
        <v>9</v>
      </c>
      <c r="G25" s="81"/>
      <c r="H25" s="81"/>
      <c r="I25" s="81"/>
      <c r="J25" s="81" t="s">
        <v>10</v>
      </c>
      <c r="K25" s="81"/>
      <c r="L25" s="81"/>
      <c r="M25" s="81"/>
      <c r="N25" s="81" t="s">
        <v>49</v>
      </c>
      <c r="O25" s="81"/>
      <c r="P25" s="81" t="s">
        <v>11</v>
      </c>
      <c r="Q25" s="81"/>
      <c r="R25" s="81"/>
      <c r="S25" s="81"/>
      <c r="T25" s="81"/>
      <c r="U25" s="81"/>
      <c r="V25" s="81"/>
      <c r="W25" s="81"/>
      <c r="X25" s="81" t="s">
        <v>9</v>
      </c>
      <c r="Y25" s="81"/>
      <c r="Z25" s="81"/>
      <c r="AA25" s="81"/>
      <c r="AB25" s="81" t="s">
        <v>10</v>
      </c>
      <c r="AC25" s="81"/>
      <c r="AD25" s="81"/>
      <c r="AE25" s="81"/>
      <c r="AF25" s="81" t="s">
        <v>49</v>
      </c>
      <c r="AG25" s="81"/>
      <c r="AH25" s="81" t="s">
        <v>11</v>
      </c>
      <c r="AI25" s="81"/>
      <c r="AJ25" s="81"/>
      <c r="AK25" s="81"/>
      <c r="AL25" s="81"/>
      <c r="AM25" s="81"/>
      <c r="AN25" s="81"/>
      <c r="AO25" s="81"/>
      <c r="AP25" s="70" t="s">
        <v>50</v>
      </c>
      <c r="AQ25" s="70" t="s">
        <v>57</v>
      </c>
      <c r="AR25" s="70" t="s">
        <v>63</v>
      </c>
      <c r="AS25" s="70" t="s">
        <v>64</v>
      </c>
      <c r="AT25" s="70" t="s">
        <v>61</v>
      </c>
      <c r="AU25" s="70" t="s">
        <v>54</v>
      </c>
      <c r="AV25" s="70" t="s">
        <v>19</v>
      </c>
      <c r="AW25" s="70" t="s">
        <v>58</v>
      </c>
      <c r="AX25" s="70" t="s">
        <v>51</v>
      </c>
      <c r="AY25" s="70" t="s">
        <v>53</v>
      </c>
      <c r="AZ25" s="70" t="s">
        <v>52</v>
      </c>
      <c r="BA25" s="70" t="s">
        <v>55</v>
      </c>
      <c r="BB25" s="70" t="s">
        <v>56</v>
      </c>
      <c r="BC25" s="70" t="s">
        <v>59</v>
      </c>
      <c r="BD25" s="70" t="s">
        <v>60</v>
      </c>
    </row>
    <row r="26" spans="2:56" ht="16.5" thickBot="1" x14ac:dyDescent="0.3">
      <c r="B26" s="16">
        <v>2.0833333333333332E-2</v>
      </c>
      <c r="C26" s="7" t="s">
        <v>5</v>
      </c>
      <c r="E26" s="11"/>
      <c r="F26" s="75" t="s">
        <v>15</v>
      </c>
      <c r="G26" s="58" t="s">
        <v>12</v>
      </c>
      <c r="H26" s="58" t="s">
        <v>14</v>
      </c>
      <c r="I26" s="58" t="s">
        <v>13</v>
      </c>
      <c r="J26" s="58" t="s">
        <v>42</v>
      </c>
      <c r="K26" s="58" t="s">
        <v>41</v>
      </c>
      <c r="L26" s="58" t="s">
        <v>43</v>
      </c>
      <c r="M26" s="58" t="s">
        <v>44</v>
      </c>
      <c r="N26" s="58" t="s">
        <v>15</v>
      </c>
      <c r="O26" s="58" t="s">
        <v>14</v>
      </c>
      <c r="P26" s="58" t="s">
        <v>45</v>
      </c>
      <c r="Q26" s="58" t="s">
        <v>46</v>
      </c>
      <c r="R26" s="58" t="s">
        <v>42</v>
      </c>
      <c r="S26" s="58" t="s">
        <v>41</v>
      </c>
      <c r="T26" s="58" t="s">
        <v>47</v>
      </c>
      <c r="U26" s="58" t="s">
        <v>48</v>
      </c>
      <c r="V26" s="58" t="s">
        <v>43</v>
      </c>
      <c r="W26" s="58" t="s">
        <v>44</v>
      </c>
      <c r="X26" s="75" t="s">
        <v>15</v>
      </c>
      <c r="Y26" s="58" t="s">
        <v>12</v>
      </c>
      <c r="Z26" s="58" t="s">
        <v>14</v>
      </c>
      <c r="AA26" s="58" t="s">
        <v>13</v>
      </c>
      <c r="AB26" s="58" t="s">
        <v>42</v>
      </c>
      <c r="AC26" s="58" t="s">
        <v>41</v>
      </c>
      <c r="AD26" s="58" t="s">
        <v>43</v>
      </c>
      <c r="AE26" s="58" t="s">
        <v>44</v>
      </c>
      <c r="AF26" s="58" t="s">
        <v>15</v>
      </c>
      <c r="AG26" s="58" t="s">
        <v>14</v>
      </c>
      <c r="AH26" s="58" t="s">
        <v>45</v>
      </c>
      <c r="AI26" s="58" t="s">
        <v>46</v>
      </c>
      <c r="AJ26" s="58" t="s">
        <v>42</v>
      </c>
      <c r="AK26" s="58" t="s">
        <v>41</v>
      </c>
      <c r="AL26" s="58" t="s">
        <v>47</v>
      </c>
      <c r="AM26" s="58" t="s">
        <v>48</v>
      </c>
      <c r="AN26" s="58" t="s">
        <v>43</v>
      </c>
      <c r="AO26" s="58" t="s">
        <v>44</v>
      </c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</row>
    <row r="27" spans="2:56" ht="16.5" customHeight="1" thickBot="1" x14ac:dyDescent="0.3">
      <c r="B27" s="1" t="s">
        <v>0</v>
      </c>
      <c r="C27" s="13">
        <f>SUM(F27:W27)</f>
        <v>0</v>
      </c>
      <c r="E27" s="10" t="s">
        <v>0</v>
      </c>
      <c r="F27" s="71"/>
      <c r="G27" s="60"/>
      <c r="H27" s="60"/>
      <c r="I27" s="61"/>
      <c r="J27" s="59"/>
      <c r="K27" s="60"/>
      <c r="L27" s="60"/>
      <c r="M27" s="60"/>
      <c r="N27" s="59"/>
      <c r="O27" s="61"/>
      <c r="P27" s="59"/>
      <c r="Q27" s="60"/>
      <c r="R27" s="60"/>
      <c r="S27" s="60"/>
      <c r="T27" s="60"/>
      <c r="U27" s="60"/>
      <c r="V27" s="60"/>
      <c r="W27" s="61"/>
      <c r="X27" s="71"/>
      <c r="Y27" s="60"/>
      <c r="Z27" s="60"/>
      <c r="AA27" s="60"/>
      <c r="AB27" s="59"/>
      <c r="AC27" s="60"/>
      <c r="AD27" s="60"/>
      <c r="AE27" s="61"/>
      <c r="AF27" s="60"/>
      <c r="AG27" s="61"/>
      <c r="AH27" s="60"/>
      <c r="AI27" s="60"/>
      <c r="AJ27" s="60"/>
      <c r="AK27" s="60"/>
      <c r="AL27" s="60"/>
      <c r="AM27" s="60"/>
      <c r="AN27" s="60"/>
      <c r="AO27" s="60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62"/>
      <c r="BB27" s="62"/>
      <c r="BC27" s="62"/>
      <c r="BD27" s="62"/>
    </row>
    <row r="28" spans="2:56" ht="16.5" customHeight="1" thickBot="1" x14ac:dyDescent="0.3">
      <c r="B28" s="1" t="s">
        <v>1</v>
      </c>
      <c r="C28" s="14">
        <f t="shared" ref="C28:C30" si="2">SUM(F28:W28)</f>
        <v>0</v>
      </c>
      <c r="E28" s="1" t="s">
        <v>1</v>
      </c>
      <c r="F28" s="72"/>
      <c r="G28" s="41"/>
      <c r="H28" s="41"/>
      <c r="I28" s="64"/>
      <c r="J28" s="63"/>
      <c r="K28" s="41"/>
      <c r="L28" s="41"/>
      <c r="M28" s="41"/>
      <c r="N28" s="63"/>
      <c r="O28" s="64"/>
      <c r="P28" s="63"/>
      <c r="Q28" s="41"/>
      <c r="R28" s="41"/>
      <c r="S28" s="41"/>
      <c r="T28" s="41"/>
      <c r="U28" s="41"/>
      <c r="V28" s="41"/>
      <c r="W28" s="64"/>
      <c r="X28" s="72"/>
      <c r="Y28" s="41"/>
      <c r="Z28" s="41"/>
      <c r="AA28" s="41"/>
      <c r="AB28" s="63"/>
      <c r="AC28" s="41"/>
      <c r="AD28" s="41"/>
      <c r="AE28" s="64"/>
      <c r="AF28" s="41"/>
      <c r="AG28" s="64"/>
      <c r="AH28" s="41"/>
      <c r="AI28" s="41"/>
      <c r="AJ28" s="41"/>
      <c r="AK28" s="41"/>
      <c r="AL28" s="41"/>
      <c r="AM28" s="41"/>
      <c r="AN28" s="41"/>
      <c r="AO28" s="41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5"/>
      <c r="BB28" s="65"/>
      <c r="BC28" s="65"/>
      <c r="BD28" s="65"/>
    </row>
    <row r="29" spans="2:56" ht="16.5" customHeight="1" thickBot="1" x14ac:dyDescent="0.3">
      <c r="B29" s="1" t="s">
        <v>2</v>
      </c>
      <c r="C29" s="14">
        <f t="shared" si="2"/>
        <v>0</v>
      </c>
      <c r="E29" s="1" t="s">
        <v>2</v>
      </c>
      <c r="F29" s="72"/>
      <c r="G29" s="41"/>
      <c r="H29" s="41"/>
      <c r="I29" s="64"/>
      <c r="J29" s="63"/>
      <c r="K29" s="41"/>
      <c r="L29" s="41"/>
      <c r="M29" s="41"/>
      <c r="N29" s="63"/>
      <c r="O29" s="64"/>
      <c r="P29" s="63"/>
      <c r="Q29" s="41"/>
      <c r="R29" s="41"/>
      <c r="S29" s="41"/>
      <c r="T29" s="41"/>
      <c r="U29" s="41"/>
      <c r="V29" s="41"/>
      <c r="W29" s="64"/>
      <c r="X29" s="72"/>
      <c r="Y29" s="41"/>
      <c r="Z29" s="41"/>
      <c r="AA29" s="41"/>
      <c r="AB29" s="63"/>
      <c r="AC29" s="41"/>
      <c r="AD29" s="41"/>
      <c r="AE29" s="64"/>
      <c r="AF29" s="41"/>
      <c r="AG29" s="64"/>
      <c r="AH29" s="41"/>
      <c r="AI29" s="41"/>
      <c r="AJ29" s="41"/>
      <c r="AK29" s="41"/>
      <c r="AL29" s="41"/>
      <c r="AM29" s="41"/>
      <c r="AN29" s="41"/>
      <c r="AO29" s="41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5"/>
      <c r="BB29" s="65"/>
      <c r="BC29" s="65"/>
      <c r="BD29" s="65"/>
    </row>
    <row r="30" spans="2:56" ht="16.5" customHeight="1" thickBot="1" x14ac:dyDescent="0.3">
      <c r="B30" s="1" t="s">
        <v>3</v>
      </c>
      <c r="C30" s="15">
        <f t="shared" si="2"/>
        <v>0</v>
      </c>
      <c r="E30" s="1" t="s">
        <v>3</v>
      </c>
      <c r="F30" s="73"/>
      <c r="G30" s="67"/>
      <c r="H30" s="67"/>
      <c r="I30" s="68"/>
      <c r="J30" s="66"/>
      <c r="K30" s="67"/>
      <c r="L30" s="67"/>
      <c r="M30" s="67"/>
      <c r="N30" s="66"/>
      <c r="O30" s="68"/>
      <c r="P30" s="66"/>
      <c r="Q30" s="67"/>
      <c r="R30" s="67"/>
      <c r="S30" s="67"/>
      <c r="T30" s="67"/>
      <c r="U30" s="67"/>
      <c r="V30" s="67"/>
      <c r="W30" s="68"/>
      <c r="X30" s="73"/>
      <c r="Y30" s="67"/>
      <c r="Z30" s="67"/>
      <c r="AA30" s="67"/>
      <c r="AB30" s="66"/>
      <c r="AC30" s="67"/>
      <c r="AD30" s="67"/>
      <c r="AE30" s="68"/>
      <c r="AF30" s="67"/>
      <c r="AG30" s="68"/>
      <c r="AH30" s="67"/>
      <c r="AI30" s="67"/>
      <c r="AJ30" s="67"/>
      <c r="AK30" s="67"/>
      <c r="AL30" s="67"/>
      <c r="AM30" s="67"/>
      <c r="AN30" s="67"/>
      <c r="AO30" s="67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9"/>
      <c r="BB30" s="69"/>
      <c r="BC30" s="69"/>
      <c r="BD30" s="69"/>
    </row>
    <row r="31" spans="2:56" ht="21" customHeight="1" x14ac:dyDescent="0.25">
      <c r="B31" s="2"/>
      <c r="C31" s="8">
        <f>SUM(C27:C30)</f>
        <v>0</v>
      </c>
      <c r="F31" s="74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74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</row>
    <row r="32" spans="2:56" x14ac:dyDescent="0.25"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2:56" ht="15.75" x14ac:dyDescent="0.25">
      <c r="F33" s="82" t="s">
        <v>17</v>
      </c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3" t="s">
        <v>16</v>
      </c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79"/>
      <c r="AQ33" s="79"/>
      <c r="AR33" s="79"/>
      <c r="AS33" s="79"/>
      <c r="AT33" s="79"/>
      <c r="AU33" s="41"/>
      <c r="AV33" s="41"/>
      <c r="AW33" s="41"/>
      <c r="AX33" s="41"/>
      <c r="AY33" s="41"/>
      <c r="AZ33" s="41"/>
      <c r="BA33" s="41"/>
    </row>
    <row r="34" spans="2:56" ht="32.25" thickBot="1" x14ac:dyDescent="0.3">
      <c r="F34" s="81" t="s">
        <v>9</v>
      </c>
      <c r="G34" s="81"/>
      <c r="H34" s="81"/>
      <c r="I34" s="81"/>
      <c r="J34" s="81" t="s">
        <v>10</v>
      </c>
      <c r="K34" s="81"/>
      <c r="L34" s="81"/>
      <c r="M34" s="81"/>
      <c r="N34" s="81" t="s">
        <v>49</v>
      </c>
      <c r="O34" s="81"/>
      <c r="P34" s="81" t="s">
        <v>11</v>
      </c>
      <c r="Q34" s="81"/>
      <c r="R34" s="81"/>
      <c r="S34" s="81"/>
      <c r="T34" s="81"/>
      <c r="U34" s="81"/>
      <c r="V34" s="81"/>
      <c r="W34" s="81"/>
      <c r="X34" s="81" t="s">
        <v>9</v>
      </c>
      <c r="Y34" s="81"/>
      <c r="Z34" s="81"/>
      <c r="AA34" s="81"/>
      <c r="AB34" s="81" t="s">
        <v>10</v>
      </c>
      <c r="AC34" s="81"/>
      <c r="AD34" s="81"/>
      <c r="AE34" s="81"/>
      <c r="AF34" s="81" t="s">
        <v>49</v>
      </c>
      <c r="AG34" s="81"/>
      <c r="AH34" s="81" t="s">
        <v>11</v>
      </c>
      <c r="AI34" s="81"/>
      <c r="AJ34" s="81"/>
      <c r="AK34" s="81"/>
      <c r="AL34" s="81"/>
      <c r="AM34" s="81"/>
      <c r="AN34" s="81"/>
      <c r="AO34" s="81"/>
      <c r="AP34" s="70" t="s">
        <v>50</v>
      </c>
      <c r="AQ34" s="70" t="s">
        <v>57</v>
      </c>
      <c r="AR34" s="70" t="s">
        <v>63</v>
      </c>
      <c r="AS34" s="70" t="s">
        <v>64</v>
      </c>
      <c r="AT34" s="70" t="s">
        <v>61</v>
      </c>
      <c r="AU34" s="70" t="s">
        <v>54</v>
      </c>
      <c r="AV34" s="70" t="s">
        <v>19</v>
      </c>
      <c r="AW34" s="70" t="s">
        <v>58</v>
      </c>
      <c r="AX34" s="70" t="s">
        <v>51</v>
      </c>
      <c r="AY34" s="70" t="s">
        <v>53</v>
      </c>
      <c r="AZ34" s="70" t="s">
        <v>52</v>
      </c>
      <c r="BA34" s="70" t="s">
        <v>55</v>
      </c>
      <c r="BB34" s="70" t="s">
        <v>56</v>
      </c>
      <c r="BC34" s="70" t="s">
        <v>59</v>
      </c>
      <c r="BD34" s="70" t="s">
        <v>60</v>
      </c>
    </row>
    <row r="35" spans="2:56" ht="16.5" thickBot="1" x14ac:dyDescent="0.3">
      <c r="B35" s="16">
        <v>3.125E-2</v>
      </c>
      <c r="C35" s="7" t="s">
        <v>5</v>
      </c>
      <c r="E35" s="11"/>
      <c r="F35" s="75" t="s">
        <v>15</v>
      </c>
      <c r="G35" s="58" t="s">
        <v>12</v>
      </c>
      <c r="H35" s="58" t="s">
        <v>14</v>
      </c>
      <c r="I35" s="58" t="s">
        <v>13</v>
      </c>
      <c r="J35" s="58" t="s">
        <v>42</v>
      </c>
      <c r="K35" s="58" t="s">
        <v>41</v>
      </c>
      <c r="L35" s="58" t="s">
        <v>43</v>
      </c>
      <c r="M35" s="58" t="s">
        <v>44</v>
      </c>
      <c r="N35" s="58" t="s">
        <v>15</v>
      </c>
      <c r="O35" s="58" t="s">
        <v>14</v>
      </c>
      <c r="P35" s="58" t="s">
        <v>45</v>
      </c>
      <c r="Q35" s="58" t="s">
        <v>46</v>
      </c>
      <c r="R35" s="58" t="s">
        <v>42</v>
      </c>
      <c r="S35" s="58" t="s">
        <v>41</v>
      </c>
      <c r="T35" s="58" t="s">
        <v>47</v>
      </c>
      <c r="U35" s="58" t="s">
        <v>48</v>
      </c>
      <c r="V35" s="58" t="s">
        <v>43</v>
      </c>
      <c r="W35" s="58" t="s">
        <v>44</v>
      </c>
      <c r="X35" s="75" t="s">
        <v>15</v>
      </c>
      <c r="Y35" s="58" t="s">
        <v>12</v>
      </c>
      <c r="Z35" s="58" t="s">
        <v>14</v>
      </c>
      <c r="AA35" s="58" t="s">
        <v>13</v>
      </c>
      <c r="AB35" s="58" t="s">
        <v>42</v>
      </c>
      <c r="AC35" s="58" t="s">
        <v>41</v>
      </c>
      <c r="AD35" s="58" t="s">
        <v>43</v>
      </c>
      <c r="AE35" s="58" t="s">
        <v>44</v>
      </c>
      <c r="AF35" s="58" t="s">
        <v>15</v>
      </c>
      <c r="AG35" s="58" t="s">
        <v>14</v>
      </c>
      <c r="AH35" s="58" t="s">
        <v>45</v>
      </c>
      <c r="AI35" s="58" t="s">
        <v>46</v>
      </c>
      <c r="AJ35" s="58" t="s">
        <v>42</v>
      </c>
      <c r="AK35" s="58" t="s">
        <v>41</v>
      </c>
      <c r="AL35" s="58" t="s">
        <v>47</v>
      </c>
      <c r="AM35" s="58" t="s">
        <v>48</v>
      </c>
      <c r="AN35" s="58" t="s">
        <v>43</v>
      </c>
      <c r="AO35" s="58" t="s">
        <v>44</v>
      </c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</row>
    <row r="36" spans="2:56" ht="16.5" customHeight="1" thickBot="1" x14ac:dyDescent="0.3">
      <c r="B36" s="1" t="s">
        <v>0</v>
      </c>
      <c r="C36" s="13">
        <f>SUM(F36:W36)</f>
        <v>0</v>
      </c>
      <c r="E36" s="10" t="s">
        <v>0</v>
      </c>
      <c r="F36" s="71"/>
      <c r="G36" s="60"/>
      <c r="H36" s="60"/>
      <c r="I36" s="61"/>
      <c r="J36" s="59"/>
      <c r="K36" s="60"/>
      <c r="L36" s="60"/>
      <c r="M36" s="60"/>
      <c r="N36" s="59"/>
      <c r="O36" s="61"/>
      <c r="P36" s="59"/>
      <c r="Q36" s="60"/>
      <c r="R36" s="60"/>
      <c r="S36" s="60"/>
      <c r="T36" s="60"/>
      <c r="U36" s="60"/>
      <c r="V36" s="60"/>
      <c r="W36" s="61"/>
      <c r="X36" s="71"/>
      <c r="Y36" s="60"/>
      <c r="Z36" s="60"/>
      <c r="AA36" s="60"/>
      <c r="AB36" s="59"/>
      <c r="AC36" s="60"/>
      <c r="AD36" s="60"/>
      <c r="AE36" s="61"/>
      <c r="AF36" s="60"/>
      <c r="AG36" s="61"/>
      <c r="AH36" s="60"/>
      <c r="AI36" s="60"/>
      <c r="AJ36" s="60"/>
      <c r="AK36" s="60"/>
      <c r="AL36" s="60"/>
      <c r="AM36" s="60"/>
      <c r="AN36" s="60"/>
      <c r="AO36" s="60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62"/>
      <c r="BB36" s="62"/>
      <c r="BC36" s="62"/>
      <c r="BD36" s="62"/>
    </row>
    <row r="37" spans="2:56" ht="16.5" customHeight="1" thickBot="1" x14ac:dyDescent="0.3">
      <c r="B37" s="1" t="s">
        <v>1</v>
      </c>
      <c r="C37" s="14">
        <f t="shared" ref="C37:C39" si="3">SUM(F37:W37)</f>
        <v>0</v>
      </c>
      <c r="E37" s="1" t="s">
        <v>1</v>
      </c>
      <c r="F37" s="72"/>
      <c r="G37" s="41"/>
      <c r="H37" s="41"/>
      <c r="I37" s="64"/>
      <c r="J37" s="63"/>
      <c r="K37" s="41"/>
      <c r="L37" s="41"/>
      <c r="M37" s="41"/>
      <c r="N37" s="63"/>
      <c r="O37" s="64"/>
      <c r="P37" s="63"/>
      <c r="Q37" s="41"/>
      <c r="R37" s="41"/>
      <c r="S37" s="41"/>
      <c r="T37" s="41"/>
      <c r="U37" s="41"/>
      <c r="V37" s="41"/>
      <c r="W37" s="64"/>
      <c r="X37" s="72"/>
      <c r="Y37" s="41"/>
      <c r="Z37" s="41"/>
      <c r="AA37" s="41"/>
      <c r="AB37" s="63"/>
      <c r="AC37" s="41"/>
      <c r="AD37" s="41"/>
      <c r="AE37" s="64"/>
      <c r="AF37" s="41"/>
      <c r="AG37" s="64"/>
      <c r="AH37" s="41"/>
      <c r="AI37" s="41"/>
      <c r="AJ37" s="41"/>
      <c r="AK37" s="41"/>
      <c r="AL37" s="41"/>
      <c r="AM37" s="41"/>
      <c r="AN37" s="41"/>
      <c r="AO37" s="41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5"/>
      <c r="BB37" s="65"/>
      <c r="BC37" s="65"/>
      <c r="BD37" s="65"/>
    </row>
    <row r="38" spans="2:56" ht="16.5" customHeight="1" thickBot="1" x14ac:dyDescent="0.3">
      <c r="B38" s="1" t="s">
        <v>2</v>
      </c>
      <c r="C38" s="14">
        <f t="shared" si="3"/>
        <v>0</v>
      </c>
      <c r="E38" s="1" t="s">
        <v>2</v>
      </c>
      <c r="F38" s="72"/>
      <c r="G38" s="41"/>
      <c r="H38" s="41"/>
      <c r="I38" s="64"/>
      <c r="J38" s="63"/>
      <c r="K38" s="41"/>
      <c r="L38" s="41"/>
      <c r="M38" s="41"/>
      <c r="N38" s="63"/>
      <c r="O38" s="64"/>
      <c r="P38" s="63"/>
      <c r="Q38" s="41"/>
      <c r="R38" s="41"/>
      <c r="S38" s="41"/>
      <c r="T38" s="41"/>
      <c r="U38" s="41"/>
      <c r="V38" s="41"/>
      <c r="W38" s="64"/>
      <c r="X38" s="72"/>
      <c r="Y38" s="41"/>
      <c r="Z38" s="41"/>
      <c r="AA38" s="41"/>
      <c r="AB38" s="63"/>
      <c r="AC38" s="41"/>
      <c r="AD38" s="41"/>
      <c r="AE38" s="64"/>
      <c r="AF38" s="41"/>
      <c r="AG38" s="64"/>
      <c r="AH38" s="41"/>
      <c r="AI38" s="41"/>
      <c r="AJ38" s="41"/>
      <c r="AK38" s="41"/>
      <c r="AL38" s="41"/>
      <c r="AM38" s="41"/>
      <c r="AN38" s="41"/>
      <c r="AO38" s="41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5"/>
      <c r="BB38" s="65"/>
      <c r="BC38" s="65"/>
      <c r="BD38" s="65"/>
    </row>
    <row r="39" spans="2:56" ht="16.5" customHeight="1" thickBot="1" x14ac:dyDescent="0.3">
      <c r="B39" s="1" t="s">
        <v>3</v>
      </c>
      <c r="C39" s="15">
        <f t="shared" si="3"/>
        <v>0</v>
      </c>
      <c r="E39" s="1" t="s">
        <v>3</v>
      </c>
      <c r="F39" s="73"/>
      <c r="G39" s="67"/>
      <c r="H39" s="67"/>
      <c r="I39" s="68"/>
      <c r="J39" s="66"/>
      <c r="K39" s="67"/>
      <c r="L39" s="67"/>
      <c r="M39" s="67"/>
      <c r="N39" s="66"/>
      <c r="O39" s="68"/>
      <c r="P39" s="66"/>
      <c r="Q39" s="67"/>
      <c r="R39" s="67"/>
      <c r="S39" s="67"/>
      <c r="T39" s="67"/>
      <c r="U39" s="67"/>
      <c r="V39" s="67"/>
      <c r="W39" s="68"/>
      <c r="X39" s="73"/>
      <c r="Y39" s="67"/>
      <c r="Z39" s="67"/>
      <c r="AA39" s="67"/>
      <c r="AB39" s="66"/>
      <c r="AC39" s="67"/>
      <c r="AD39" s="67"/>
      <c r="AE39" s="68"/>
      <c r="AF39" s="67"/>
      <c r="AG39" s="68"/>
      <c r="AH39" s="67"/>
      <c r="AI39" s="67"/>
      <c r="AJ39" s="67"/>
      <c r="AK39" s="67"/>
      <c r="AL39" s="67"/>
      <c r="AM39" s="67"/>
      <c r="AN39" s="67"/>
      <c r="AO39" s="67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9"/>
      <c r="BB39" s="69"/>
      <c r="BC39" s="69"/>
      <c r="BD39" s="69"/>
    </row>
    <row r="40" spans="2:56" ht="21" customHeight="1" x14ac:dyDescent="0.25">
      <c r="B40" s="2"/>
      <c r="C40" s="8">
        <f>SUM(C36:C39)</f>
        <v>0</v>
      </c>
      <c r="F40" s="74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74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</row>
    <row r="41" spans="2:56" x14ac:dyDescent="0.25"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</row>
    <row r="42" spans="2:56" ht="15.75" x14ac:dyDescent="0.25">
      <c r="F42" s="82" t="s">
        <v>17</v>
      </c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3" t="s">
        <v>16</v>
      </c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79"/>
      <c r="AQ42" s="79"/>
      <c r="AR42" s="79"/>
      <c r="AS42" s="79"/>
      <c r="AT42" s="79"/>
      <c r="AU42" s="41"/>
      <c r="AV42" s="41"/>
      <c r="AW42" s="41"/>
      <c r="AX42" s="41"/>
      <c r="AY42" s="41"/>
      <c r="AZ42" s="41"/>
      <c r="BA42" s="41"/>
    </row>
    <row r="43" spans="2:56" ht="32.25" thickBot="1" x14ac:dyDescent="0.3">
      <c r="F43" s="81" t="s">
        <v>9</v>
      </c>
      <c r="G43" s="81"/>
      <c r="H43" s="81"/>
      <c r="I43" s="81"/>
      <c r="J43" s="81" t="s">
        <v>10</v>
      </c>
      <c r="K43" s="81"/>
      <c r="L43" s="81"/>
      <c r="M43" s="81"/>
      <c r="N43" s="81" t="s">
        <v>49</v>
      </c>
      <c r="O43" s="81"/>
      <c r="P43" s="81" t="s">
        <v>11</v>
      </c>
      <c r="Q43" s="81"/>
      <c r="R43" s="81"/>
      <c r="S43" s="81"/>
      <c r="T43" s="81"/>
      <c r="U43" s="81"/>
      <c r="V43" s="81"/>
      <c r="W43" s="81"/>
      <c r="X43" s="81" t="s">
        <v>9</v>
      </c>
      <c r="Y43" s="81"/>
      <c r="Z43" s="81"/>
      <c r="AA43" s="81"/>
      <c r="AB43" s="81" t="s">
        <v>10</v>
      </c>
      <c r="AC43" s="81"/>
      <c r="AD43" s="81"/>
      <c r="AE43" s="81"/>
      <c r="AF43" s="81" t="s">
        <v>49</v>
      </c>
      <c r="AG43" s="81"/>
      <c r="AH43" s="81" t="s">
        <v>11</v>
      </c>
      <c r="AI43" s="81"/>
      <c r="AJ43" s="81"/>
      <c r="AK43" s="81"/>
      <c r="AL43" s="81"/>
      <c r="AM43" s="81"/>
      <c r="AN43" s="81"/>
      <c r="AO43" s="81"/>
      <c r="AP43" s="70" t="s">
        <v>50</v>
      </c>
      <c r="AQ43" s="70" t="s">
        <v>57</v>
      </c>
      <c r="AR43" s="70" t="s">
        <v>63</v>
      </c>
      <c r="AS43" s="70" t="s">
        <v>64</v>
      </c>
      <c r="AT43" s="70" t="s">
        <v>61</v>
      </c>
      <c r="AU43" s="70" t="s">
        <v>54</v>
      </c>
      <c r="AV43" s="70" t="s">
        <v>19</v>
      </c>
      <c r="AW43" s="70" t="s">
        <v>58</v>
      </c>
      <c r="AX43" s="70" t="s">
        <v>51</v>
      </c>
      <c r="AY43" s="70" t="s">
        <v>53</v>
      </c>
      <c r="AZ43" s="70" t="s">
        <v>52</v>
      </c>
      <c r="BA43" s="70" t="s">
        <v>55</v>
      </c>
      <c r="BB43" s="70" t="s">
        <v>56</v>
      </c>
      <c r="BC43" s="70" t="s">
        <v>59</v>
      </c>
      <c r="BD43" s="70" t="s">
        <v>60</v>
      </c>
    </row>
    <row r="44" spans="2:56" ht="16.5" thickBot="1" x14ac:dyDescent="0.3">
      <c r="B44" s="17">
        <v>4.1666666666666664E-2</v>
      </c>
      <c r="C44" s="7" t="s">
        <v>5</v>
      </c>
      <c r="E44" s="11"/>
      <c r="F44" s="75" t="s">
        <v>15</v>
      </c>
      <c r="G44" s="58" t="s">
        <v>12</v>
      </c>
      <c r="H44" s="58" t="s">
        <v>14</v>
      </c>
      <c r="I44" s="58" t="s">
        <v>13</v>
      </c>
      <c r="J44" s="58" t="s">
        <v>42</v>
      </c>
      <c r="K44" s="58" t="s">
        <v>41</v>
      </c>
      <c r="L44" s="58" t="s">
        <v>43</v>
      </c>
      <c r="M44" s="58" t="s">
        <v>44</v>
      </c>
      <c r="N44" s="58" t="s">
        <v>15</v>
      </c>
      <c r="O44" s="58" t="s">
        <v>14</v>
      </c>
      <c r="P44" s="58" t="s">
        <v>45</v>
      </c>
      <c r="Q44" s="58" t="s">
        <v>46</v>
      </c>
      <c r="R44" s="58" t="s">
        <v>42</v>
      </c>
      <c r="S44" s="58" t="s">
        <v>41</v>
      </c>
      <c r="T44" s="58" t="s">
        <v>47</v>
      </c>
      <c r="U44" s="58" t="s">
        <v>48</v>
      </c>
      <c r="V44" s="58" t="s">
        <v>43</v>
      </c>
      <c r="W44" s="58" t="s">
        <v>44</v>
      </c>
      <c r="X44" s="75" t="s">
        <v>15</v>
      </c>
      <c r="Y44" s="58" t="s">
        <v>12</v>
      </c>
      <c r="Z44" s="58" t="s">
        <v>14</v>
      </c>
      <c r="AA44" s="58" t="s">
        <v>13</v>
      </c>
      <c r="AB44" s="58" t="s">
        <v>42</v>
      </c>
      <c r="AC44" s="58" t="s">
        <v>41</v>
      </c>
      <c r="AD44" s="58" t="s">
        <v>43</v>
      </c>
      <c r="AE44" s="58" t="s">
        <v>44</v>
      </c>
      <c r="AF44" s="58" t="s">
        <v>15</v>
      </c>
      <c r="AG44" s="58" t="s">
        <v>14</v>
      </c>
      <c r="AH44" s="58" t="s">
        <v>45</v>
      </c>
      <c r="AI44" s="58" t="s">
        <v>46</v>
      </c>
      <c r="AJ44" s="58" t="s">
        <v>42</v>
      </c>
      <c r="AK44" s="58" t="s">
        <v>41</v>
      </c>
      <c r="AL44" s="58" t="s">
        <v>47</v>
      </c>
      <c r="AM44" s="58" t="s">
        <v>48</v>
      </c>
      <c r="AN44" s="58" t="s">
        <v>43</v>
      </c>
      <c r="AO44" s="58" t="s">
        <v>44</v>
      </c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</row>
    <row r="45" spans="2:56" ht="16.5" customHeight="1" thickBot="1" x14ac:dyDescent="0.3">
      <c r="B45" s="1" t="s">
        <v>0</v>
      </c>
      <c r="C45" s="13">
        <f>SUM(F45:W45)</f>
        <v>0</v>
      </c>
      <c r="E45" s="10" t="s">
        <v>0</v>
      </c>
      <c r="F45" s="71"/>
      <c r="G45" s="60"/>
      <c r="H45" s="60"/>
      <c r="I45" s="61"/>
      <c r="J45" s="59"/>
      <c r="K45" s="60"/>
      <c r="L45" s="60"/>
      <c r="M45" s="60"/>
      <c r="N45" s="59"/>
      <c r="O45" s="61"/>
      <c r="P45" s="59"/>
      <c r="Q45" s="60"/>
      <c r="R45" s="60"/>
      <c r="S45" s="60"/>
      <c r="T45" s="60"/>
      <c r="U45" s="60"/>
      <c r="V45" s="60"/>
      <c r="W45" s="61"/>
      <c r="X45" s="71"/>
      <c r="Y45" s="60"/>
      <c r="Z45" s="60"/>
      <c r="AA45" s="60"/>
      <c r="AB45" s="59"/>
      <c r="AC45" s="60"/>
      <c r="AD45" s="60"/>
      <c r="AE45" s="61"/>
      <c r="AF45" s="60"/>
      <c r="AG45" s="61"/>
      <c r="AH45" s="60"/>
      <c r="AI45" s="60"/>
      <c r="AJ45" s="60"/>
      <c r="AK45" s="60"/>
      <c r="AL45" s="60"/>
      <c r="AM45" s="60"/>
      <c r="AN45" s="60"/>
      <c r="AO45" s="60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62"/>
      <c r="BB45" s="62"/>
      <c r="BC45" s="62"/>
      <c r="BD45" s="62"/>
    </row>
    <row r="46" spans="2:56" ht="16.5" customHeight="1" thickBot="1" x14ac:dyDescent="0.3">
      <c r="B46" s="1" t="s">
        <v>1</v>
      </c>
      <c r="C46" s="14">
        <f t="shared" ref="C46:C48" si="4">SUM(F46:W46)</f>
        <v>0</v>
      </c>
      <c r="E46" s="1" t="s">
        <v>1</v>
      </c>
      <c r="F46" s="72"/>
      <c r="G46" s="41"/>
      <c r="H46" s="41"/>
      <c r="I46" s="64"/>
      <c r="J46" s="63"/>
      <c r="K46" s="41"/>
      <c r="L46" s="41"/>
      <c r="M46" s="41"/>
      <c r="N46" s="63"/>
      <c r="O46" s="64"/>
      <c r="P46" s="63"/>
      <c r="Q46" s="41"/>
      <c r="R46" s="41"/>
      <c r="S46" s="41"/>
      <c r="T46" s="41"/>
      <c r="U46" s="41"/>
      <c r="V46" s="41"/>
      <c r="W46" s="64"/>
      <c r="X46" s="72"/>
      <c r="Y46" s="41"/>
      <c r="Z46" s="41"/>
      <c r="AA46" s="41"/>
      <c r="AB46" s="63"/>
      <c r="AC46" s="41"/>
      <c r="AD46" s="41"/>
      <c r="AE46" s="64"/>
      <c r="AF46" s="41"/>
      <c r="AG46" s="64"/>
      <c r="AH46" s="41"/>
      <c r="AI46" s="41"/>
      <c r="AJ46" s="41"/>
      <c r="AK46" s="41"/>
      <c r="AL46" s="41"/>
      <c r="AM46" s="41"/>
      <c r="AN46" s="41"/>
      <c r="AO46" s="41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5"/>
      <c r="BB46" s="65"/>
      <c r="BC46" s="65"/>
      <c r="BD46" s="65"/>
    </row>
    <row r="47" spans="2:56" ht="16.5" customHeight="1" thickBot="1" x14ac:dyDescent="0.3">
      <c r="B47" s="1" t="s">
        <v>2</v>
      </c>
      <c r="C47" s="14">
        <f t="shared" si="4"/>
        <v>0</v>
      </c>
      <c r="E47" s="1" t="s">
        <v>2</v>
      </c>
      <c r="F47" s="72"/>
      <c r="G47" s="41"/>
      <c r="H47" s="41"/>
      <c r="I47" s="64"/>
      <c r="J47" s="63"/>
      <c r="K47" s="41"/>
      <c r="L47" s="41"/>
      <c r="M47" s="41"/>
      <c r="N47" s="63"/>
      <c r="O47" s="64"/>
      <c r="P47" s="63"/>
      <c r="Q47" s="41"/>
      <c r="R47" s="41"/>
      <c r="S47" s="41"/>
      <c r="T47" s="41"/>
      <c r="U47" s="41"/>
      <c r="V47" s="41"/>
      <c r="W47" s="64"/>
      <c r="X47" s="72"/>
      <c r="Y47" s="41"/>
      <c r="Z47" s="41"/>
      <c r="AA47" s="41"/>
      <c r="AB47" s="63"/>
      <c r="AC47" s="41"/>
      <c r="AD47" s="41"/>
      <c r="AE47" s="64"/>
      <c r="AF47" s="41"/>
      <c r="AG47" s="64"/>
      <c r="AH47" s="41"/>
      <c r="AI47" s="41"/>
      <c r="AJ47" s="41"/>
      <c r="AK47" s="41"/>
      <c r="AL47" s="41"/>
      <c r="AM47" s="41"/>
      <c r="AN47" s="41"/>
      <c r="AO47" s="41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5"/>
      <c r="BB47" s="65"/>
      <c r="BC47" s="65"/>
      <c r="BD47" s="65"/>
    </row>
    <row r="48" spans="2:56" ht="16.5" customHeight="1" thickBot="1" x14ac:dyDescent="0.3">
      <c r="B48" s="1" t="s">
        <v>3</v>
      </c>
      <c r="C48" s="15">
        <f t="shared" si="4"/>
        <v>0</v>
      </c>
      <c r="E48" s="1" t="s">
        <v>3</v>
      </c>
      <c r="F48" s="73"/>
      <c r="G48" s="67"/>
      <c r="H48" s="67"/>
      <c r="I48" s="68"/>
      <c r="J48" s="66"/>
      <c r="K48" s="67"/>
      <c r="L48" s="67"/>
      <c r="M48" s="67"/>
      <c r="N48" s="66"/>
      <c r="O48" s="68"/>
      <c r="P48" s="66"/>
      <c r="Q48" s="67"/>
      <c r="R48" s="67"/>
      <c r="S48" s="67"/>
      <c r="T48" s="67"/>
      <c r="U48" s="67"/>
      <c r="V48" s="67"/>
      <c r="W48" s="68"/>
      <c r="X48" s="73"/>
      <c r="Y48" s="67"/>
      <c r="Z48" s="67"/>
      <c r="AA48" s="67"/>
      <c r="AB48" s="66"/>
      <c r="AC48" s="67"/>
      <c r="AD48" s="67"/>
      <c r="AE48" s="68"/>
      <c r="AF48" s="67"/>
      <c r="AG48" s="68"/>
      <c r="AH48" s="67"/>
      <c r="AI48" s="67"/>
      <c r="AJ48" s="67"/>
      <c r="AK48" s="67"/>
      <c r="AL48" s="67"/>
      <c r="AM48" s="67"/>
      <c r="AN48" s="67"/>
      <c r="AO48" s="67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9"/>
      <c r="BB48" s="69"/>
      <c r="BC48" s="69"/>
      <c r="BD48" s="69"/>
    </row>
    <row r="49" spans="2:56" ht="21" customHeight="1" x14ac:dyDescent="0.25">
      <c r="B49" s="2"/>
      <c r="C49" s="8">
        <f>SUM(C45:C48)</f>
        <v>0</v>
      </c>
      <c r="F49" s="74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74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</row>
    <row r="50" spans="2:56" x14ac:dyDescent="0.25"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</row>
    <row r="51" spans="2:56" ht="15.75" x14ac:dyDescent="0.25">
      <c r="F51" s="82" t="s">
        <v>17</v>
      </c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3" t="s">
        <v>16</v>
      </c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79"/>
      <c r="AQ51" s="79"/>
      <c r="AR51" s="79"/>
      <c r="AS51" s="79"/>
      <c r="AT51" s="79"/>
      <c r="AU51" s="41"/>
      <c r="AV51" s="41"/>
      <c r="AW51" s="41"/>
      <c r="AX51" s="41"/>
      <c r="AY51" s="41"/>
      <c r="AZ51" s="41"/>
      <c r="BA51" s="41"/>
    </row>
    <row r="52" spans="2:56" ht="32.25" thickBot="1" x14ac:dyDescent="0.3">
      <c r="F52" s="81" t="s">
        <v>9</v>
      </c>
      <c r="G52" s="81"/>
      <c r="H52" s="81"/>
      <c r="I52" s="81"/>
      <c r="J52" s="81" t="s">
        <v>10</v>
      </c>
      <c r="K52" s="81"/>
      <c r="L52" s="81"/>
      <c r="M52" s="81"/>
      <c r="N52" s="81" t="s">
        <v>49</v>
      </c>
      <c r="O52" s="81"/>
      <c r="P52" s="81" t="s">
        <v>11</v>
      </c>
      <c r="Q52" s="81"/>
      <c r="R52" s="81"/>
      <c r="S52" s="81"/>
      <c r="T52" s="81"/>
      <c r="U52" s="81"/>
      <c r="V52" s="81"/>
      <c r="W52" s="81"/>
      <c r="X52" s="81" t="s">
        <v>9</v>
      </c>
      <c r="Y52" s="81"/>
      <c r="Z52" s="81"/>
      <c r="AA52" s="81"/>
      <c r="AB52" s="81" t="s">
        <v>10</v>
      </c>
      <c r="AC52" s="81"/>
      <c r="AD52" s="81"/>
      <c r="AE52" s="81"/>
      <c r="AF52" s="81" t="s">
        <v>49</v>
      </c>
      <c r="AG52" s="81"/>
      <c r="AH52" s="81" t="s">
        <v>11</v>
      </c>
      <c r="AI52" s="81"/>
      <c r="AJ52" s="81"/>
      <c r="AK52" s="81"/>
      <c r="AL52" s="81"/>
      <c r="AM52" s="81"/>
      <c r="AN52" s="81"/>
      <c r="AO52" s="81"/>
      <c r="AP52" s="70" t="s">
        <v>50</v>
      </c>
      <c r="AQ52" s="70" t="s">
        <v>57</v>
      </c>
      <c r="AR52" s="70" t="s">
        <v>63</v>
      </c>
      <c r="AS52" s="70" t="s">
        <v>64</v>
      </c>
      <c r="AT52" s="70" t="s">
        <v>61</v>
      </c>
      <c r="AU52" s="70" t="s">
        <v>54</v>
      </c>
      <c r="AV52" s="70" t="s">
        <v>19</v>
      </c>
      <c r="AW52" s="70" t="s">
        <v>58</v>
      </c>
      <c r="AX52" s="70" t="s">
        <v>51</v>
      </c>
      <c r="AY52" s="70" t="s">
        <v>53</v>
      </c>
      <c r="AZ52" s="70" t="s">
        <v>52</v>
      </c>
      <c r="BA52" s="70" t="s">
        <v>55</v>
      </c>
      <c r="BB52" s="70" t="s">
        <v>56</v>
      </c>
      <c r="BC52" s="70" t="s">
        <v>59</v>
      </c>
      <c r="BD52" s="70" t="s">
        <v>60</v>
      </c>
    </row>
    <row r="53" spans="2:56" ht="16.5" thickBot="1" x14ac:dyDescent="0.3">
      <c r="B53" s="17">
        <v>5.2083333333333336E-2</v>
      </c>
      <c r="C53" s="7" t="s">
        <v>5</v>
      </c>
      <c r="E53" s="11"/>
      <c r="F53" s="75" t="s">
        <v>15</v>
      </c>
      <c r="G53" s="58" t="s">
        <v>12</v>
      </c>
      <c r="H53" s="58" t="s">
        <v>14</v>
      </c>
      <c r="I53" s="58" t="s">
        <v>13</v>
      </c>
      <c r="J53" s="58" t="s">
        <v>42</v>
      </c>
      <c r="K53" s="58" t="s">
        <v>41</v>
      </c>
      <c r="L53" s="58" t="s">
        <v>43</v>
      </c>
      <c r="M53" s="58" t="s">
        <v>44</v>
      </c>
      <c r="N53" s="58" t="s">
        <v>15</v>
      </c>
      <c r="O53" s="58" t="s">
        <v>14</v>
      </c>
      <c r="P53" s="58" t="s">
        <v>45</v>
      </c>
      <c r="Q53" s="58" t="s">
        <v>46</v>
      </c>
      <c r="R53" s="58" t="s">
        <v>42</v>
      </c>
      <c r="S53" s="58" t="s">
        <v>41</v>
      </c>
      <c r="T53" s="58" t="s">
        <v>47</v>
      </c>
      <c r="U53" s="58" t="s">
        <v>48</v>
      </c>
      <c r="V53" s="58" t="s">
        <v>43</v>
      </c>
      <c r="W53" s="58" t="s">
        <v>44</v>
      </c>
      <c r="X53" s="75" t="s">
        <v>15</v>
      </c>
      <c r="Y53" s="58" t="s">
        <v>12</v>
      </c>
      <c r="Z53" s="58" t="s">
        <v>14</v>
      </c>
      <c r="AA53" s="58" t="s">
        <v>13</v>
      </c>
      <c r="AB53" s="58" t="s">
        <v>42</v>
      </c>
      <c r="AC53" s="58" t="s">
        <v>41</v>
      </c>
      <c r="AD53" s="58" t="s">
        <v>43</v>
      </c>
      <c r="AE53" s="58" t="s">
        <v>44</v>
      </c>
      <c r="AF53" s="58" t="s">
        <v>15</v>
      </c>
      <c r="AG53" s="58" t="s">
        <v>14</v>
      </c>
      <c r="AH53" s="58" t="s">
        <v>45</v>
      </c>
      <c r="AI53" s="58" t="s">
        <v>46</v>
      </c>
      <c r="AJ53" s="58" t="s">
        <v>42</v>
      </c>
      <c r="AK53" s="58" t="s">
        <v>41</v>
      </c>
      <c r="AL53" s="58" t="s">
        <v>47</v>
      </c>
      <c r="AM53" s="58" t="s">
        <v>48</v>
      </c>
      <c r="AN53" s="58" t="s">
        <v>43</v>
      </c>
      <c r="AO53" s="58" t="s">
        <v>44</v>
      </c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</row>
    <row r="54" spans="2:56" ht="16.5" customHeight="1" thickBot="1" x14ac:dyDescent="0.3">
      <c r="B54" s="1" t="s">
        <v>0</v>
      </c>
      <c r="C54" s="13">
        <f>SUM(F54:W54)</f>
        <v>0</v>
      </c>
      <c r="E54" s="10" t="s">
        <v>0</v>
      </c>
      <c r="F54" s="71"/>
      <c r="G54" s="60"/>
      <c r="H54" s="60"/>
      <c r="I54" s="61"/>
      <c r="J54" s="59"/>
      <c r="K54" s="60"/>
      <c r="L54" s="60"/>
      <c r="M54" s="60"/>
      <c r="N54" s="59"/>
      <c r="O54" s="61"/>
      <c r="P54" s="59"/>
      <c r="Q54" s="60"/>
      <c r="R54" s="60"/>
      <c r="S54" s="60"/>
      <c r="T54" s="60"/>
      <c r="U54" s="60"/>
      <c r="V54" s="60"/>
      <c r="W54" s="61"/>
      <c r="X54" s="71"/>
      <c r="Y54" s="60"/>
      <c r="Z54" s="60"/>
      <c r="AA54" s="60"/>
      <c r="AB54" s="59"/>
      <c r="AC54" s="60"/>
      <c r="AD54" s="60"/>
      <c r="AE54" s="61"/>
      <c r="AF54" s="60"/>
      <c r="AG54" s="61"/>
      <c r="AH54" s="60"/>
      <c r="AI54" s="60"/>
      <c r="AJ54" s="60"/>
      <c r="AK54" s="60"/>
      <c r="AL54" s="60"/>
      <c r="AM54" s="60"/>
      <c r="AN54" s="60"/>
      <c r="AO54" s="60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62"/>
      <c r="BB54" s="62"/>
      <c r="BC54" s="62"/>
      <c r="BD54" s="62"/>
    </row>
    <row r="55" spans="2:56" ht="16.5" customHeight="1" thickBot="1" x14ac:dyDescent="0.3">
      <c r="B55" s="1" t="s">
        <v>1</v>
      </c>
      <c r="C55" s="14">
        <f t="shared" ref="C55:C57" si="5">SUM(F55:W55)</f>
        <v>0</v>
      </c>
      <c r="E55" s="1" t="s">
        <v>1</v>
      </c>
      <c r="F55" s="72"/>
      <c r="G55" s="41"/>
      <c r="H55" s="41"/>
      <c r="I55" s="64"/>
      <c r="J55" s="63"/>
      <c r="K55" s="41"/>
      <c r="L55" s="41"/>
      <c r="M55" s="41"/>
      <c r="N55" s="63"/>
      <c r="O55" s="64"/>
      <c r="P55" s="63"/>
      <c r="Q55" s="41"/>
      <c r="R55" s="41"/>
      <c r="S55" s="41"/>
      <c r="T55" s="41"/>
      <c r="U55" s="41"/>
      <c r="V55" s="41"/>
      <c r="W55" s="64"/>
      <c r="X55" s="72"/>
      <c r="Y55" s="41"/>
      <c r="Z55" s="41"/>
      <c r="AA55" s="41"/>
      <c r="AB55" s="63"/>
      <c r="AC55" s="41"/>
      <c r="AD55" s="41"/>
      <c r="AE55" s="64"/>
      <c r="AF55" s="41"/>
      <c r="AG55" s="64"/>
      <c r="AH55" s="41"/>
      <c r="AI55" s="41"/>
      <c r="AJ55" s="41"/>
      <c r="AK55" s="41"/>
      <c r="AL55" s="41"/>
      <c r="AM55" s="41"/>
      <c r="AN55" s="41"/>
      <c r="AO55" s="41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5"/>
      <c r="BB55" s="65"/>
      <c r="BC55" s="65"/>
      <c r="BD55" s="65"/>
    </row>
    <row r="56" spans="2:56" ht="16.5" customHeight="1" thickBot="1" x14ac:dyDescent="0.3">
      <c r="B56" s="1" t="s">
        <v>2</v>
      </c>
      <c r="C56" s="14">
        <f t="shared" si="5"/>
        <v>0</v>
      </c>
      <c r="E56" s="1" t="s">
        <v>2</v>
      </c>
      <c r="F56" s="72"/>
      <c r="G56" s="41"/>
      <c r="H56" s="41"/>
      <c r="I56" s="64"/>
      <c r="J56" s="63"/>
      <c r="K56" s="41"/>
      <c r="L56" s="41"/>
      <c r="M56" s="41"/>
      <c r="N56" s="63"/>
      <c r="O56" s="64"/>
      <c r="P56" s="63"/>
      <c r="Q56" s="41"/>
      <c r="R56" s="41"/>
      <c r="S56" s="41"/>
      <c r="T56" s="41"/>
      <c r="U56" s="41"/>
      <c r="V56" s="41"/>
      <c r="W56" s="64"/>
      <c r="X56" s="72"/>
      <c r="Y56" s="41"/>
      <c r="Z56" s="41"/>
      <c r="AA56" s="41"/>
      <c r="AB56" s="63"/>
      <c r="AC56" s="41"/>
      <c r="AD56" s="41"/>
      <c r="AE56" s="64"/>
      <c r="AF56" s="41"/>
      <c r="AG56" s="64"/>
      <c r="AH56" s="41"/>
      <c r="AI56" s="41"/>
      <c r="AJ56" s="41"/>
      <c r="AK56" s="41"/>
      <c r="AL56" s="41"/>
      <c r="AM56" s="41"/>
      <c r="AN56" s="41"/>
      <c r="AO56" s="41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5"/>
      <c r="BB56" s="65"/>
      <c r="BC56" s="65"/>
      <c r="BD56" s="65"/>
    </row>
    <row r="57" spans="2:56" ht="16.5" customHeight="1" thickBot="1" x14ac:dyDescent="0.3">
      <c r="B57" s="1" t="s">
        <v>3</v>
      </c>
      <c r="C57" s="15">
        <f t="shared" si="5"/>
        <v>0</v>
      </c>
      <c r="E57" s="1" t="s">
        <v>3</v>
      </c>
      <c r="F57" s="73"/>
      <c r="G57" s="67"/>
      <c r="H57" s="67"/>
      <c r="I57" s="68"/>
      <c r="J57" s="66"/>
      <c r="K57" s="67"/>
      <c r="L57" s="67"/>
      <c r="M57" s="67"/>
      <c r="N57" s="66"/>
      <c r="O57" s="68"/>
      <c r="P57" s="66"/>
      <c r="Q57" s="67"/>
      <c r="R57" s="67"/>
      <c r="S57" s="67"/>
      <c r="T57" s="67"/>
      <c r="U57" s="67"/>
      <c r="V57" s="67"/>
      <c r="W57" s="68"/>
      <c r="X57" s="73"/>
      <c r="Y57" s="67"/>
      <c r="Z57" s="67"/>
      <c r="AA57" s="67"/>
      <c r="AB57" s="66"/>
      <c r="AC57" s="67"/>
      <c r="AD57" s="67"/>
      <c r="AE57" s="68"/>
      <c r="AF57" s="67"/>
      <c r="AG57" s="68"/>
      <c r="AH57" s="67"/>
      <c r="AI57" s="67"/>
      <c r="AJ57" s="67"/>
      <c r="AK57" s="67"/>
      <c r="AL57" s="67"/>
      <c r="AM57" s="67"/>
      <c r="AN57" s="67"/>
      <c r="AO57" s="67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9"/>
      <c r="BB57" s="69"/>
      <c r="BC57" s="69"/>
      <c r="BD57" s="69"/>
    </row>
    <row r="58" spans="2:56" ht="21" customHeight="1" x14ac:dyDescent="0.25">
      <c r="B58" s="2"/>
      <c r="C58" s="8">
        <f>SUM(C54:C57)</f>
        <v>0</v>
      </c>
      <c r="F58" s="74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74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</row>
    <row r="59" spans="2:56" x14ac:dyDescent="0.25"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</row>
    <row r="60" spans="2:56" ht="15.75" x14ac:dyDescent="0.25">
      <c r="F60" s="82" t="s">
        <v>17</v>
      </c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3" t="s">
        <v>16</v>
      </c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79"/>
      <c r="AQ60" s="79"/>
      <c r="AR60" s="79"/>
      <c r="AS60" s="79"/>
      <c r="AT60" s="79"/>
      <c r="AU60" s="41"/>
      <c r="AV60" s="41"/>
      <c r="AW60" s="41"/>
      <c r="AX60" s="41"/>
      <c r="AY60" s="41"/>
      <c r="AZ60" s="41"/>
      <c r="BA60" s="41"/>
    </row>
    <row r="61" spans="2:56" ht="32.25" thickBot="1" x14ac:dyDescent="0.3">
      <c r="F61" s="81" t="s">
        <v>9</v>
      </c>
      <c r="G61" s="81"/>
      <c r="H61" s="81"/>
      <c r="I61" s="81"/>
      <c r="J61" s="81" t="s">
        <v>10</v>
      </c>
      <c r="K61" s="81"/>
      <c r="L61" s="81"/>
      <c r="M61" s="81"/>
      <c r="N61" s="81" t="s">
        <v>49</v>
      </c>
      <c r="O61" s="81"/>
      <c r="P61" s="81" t="s">
        <v>11</v>
      </c>
      <c r="Q61" s="81"/>
      <c r="R61" s="81"/>
      <c r="S61" s="81"/>
      <c r="T61" s="81"/>
      <c r="U61" s="81"/>
      <c r="V61" s="81"/>
      <c r="W61" s="81"/>
      <c r="X61" s="81" t="s">
        <v>9</v>
      </c>
      <c r="Y61" s="81"/>
      <c r="Z61" s="81"/>
      <c r="AA61" s="81"/>
      <c r="AB61" s="81" t="s">
        <v>10</v>
      </c>
      <c r="AC61" s="81"/>
      <c r="AD61" s="81"/>
      <c r="AE61" s="81"/>
      <c r="AF61" s="81" t="s">
        <v>49</v>
      </c>
      <c r="AG61" s="81"/>
      <c r="AH61" s="81" t="s">
        <v>11</v>
      </c>
      <c r="AI61" s="81"/>
      <c r="AJ61" s="81"/>
      <c r="AK61" s="81"/>
      <c r="AL61" s="81"/>
      <c r="AM61" s="81"/>
      <c r="AN61" s="81"/>
      <c r="AO61" s="81"/>
      <c r="AP61" s="70" t="s">
        <v>50</v>
      </c>
      <c r="AQ61" s="70" t="s">
        <v>57</v>
      </c>
      <c r="AR61" s="70" t="s">
        <v>63</v>
      </c>
      <c r="AS61" s="70" t="s">
        <v>64</v>
      </c>
      <c r="AT61" s="70" t="s">
        <v>61</v>
      </c>
      <c r="AU61" s="70" t="s">
        <v>54</v>
      </c>
      <c r="AV61" s="70" t="s">
        <v>19</v>
      </c>
      <c r="AW61" s="70" t="s">
        <v>58</v>
      </c>
      <c r="AX61" s="70" t="s">
        <v>51</v>
      </c>
      <c r="AY61" s="70" t="s">
        <v>53</v>
      </c>
      <c r="AZ61" s="70" t="s">
        <v>52</v>
      </c>
      <c r="BA61" s="70" t="s">
        <v>55</v>
      </c>
      <c r="BB61" s="70" t="s">
        <v>56</v>
      </c>
      <c r="BC61" s="70" t="s">
        <v>59</v>
      </c>
      <c r="BD61" s="70" t="s">
        <v>60</v>
      </c>
    </row>
    <row r="62" spans="2:56" ht="16.5" thickBot="1" x14ac:dyDescent="0.3">
      <c r="B62" s="17">
        <v>6.25E-2</v>
      </c>
      <c r="C62" s="7" t="s">
        <v>5</v>
      </c>
      <c r="E62" s="11"/>
      <c r="F62" s="75" t="s">
        <v>15</v>
      </c>
      <c r="G62" s="58" t="s">
        <v>12</v>
      </c>
      <c r="H62" s="58" t="s">
        <v>14</v>
      </c>
      <c r="I62" s="58" t="s">
        <v>13</v>
      </c>
      <c r="J62" s="58" t="s">
        <v>42</v>
      </c>
      <c r="K62" s="58" t="s">
        <v>41</v>
      </c>
      <c r="L62" s="58" t="s">
        <v>43</v>
      </c>
      <c r="M62" s="58" t="s">
        <v>44</v>
      </c>
      <c r="N62" s="58" t="s">
        <v>15</v>
      </c>
      <c r="O62" s="58" t="s">
        <v>14</v>
      </c>
      <c r="P62" s="58" t="s">
        <v>45</v>
      </c>
      <c r="Q62" s="58" t="s">
        <v>46</v>
      </c>
      <c r="R62" s="58" t="s">
        <v>42</v>
      </c>
      <c r="S62" s="58" t="s">
        <v>41</v>
      </c>
      <c r="T62" s="58" t="s">
        <v>47</v>
      </c>
      <c r="U62" s="58" t="s">
        <v>48</v>
      </c>
      <c r="V62" s="58" t="s">
        <v>43</v>
      </c>
      <c r="W62" s="58" t="s">
        <v>44</v>
      </c>
      <c r="X62" s="75" t="s">
        <v>15</v>
      </c>
      <c r="Y62" s="58" t="s">
        <v>12</v>
      </c>
      <c r="Z62" s="58" t="s">
        <v>14</v>
      </c>
      <c r="AA62" s="58" t="s">
        <v>13</v>
      </c>
      <c r="AB62" s="58" t="s">
        <v>42</v>
      </c>
      <c r="AC62" s="58" t="s">
        <v>41</v>
      </c>
      <c r="AD62" s="58" t="s">
        <v>43</v>
      </c>
      <c r="AE62" s="58" t="s">
        <v>44</v>
      </c>
      <c r="AF62" s="58" t="s">
        <v>15</v>
      </c>
      <c r="AG62" s="58" t="s">
        <v>14</v>
      </c>
      <c r="AH62" s="58" t="s">
        <v>45</v>
      </c>
      <c r="AI62" s="58" t="s">
        <v>46</v>
      </c>
      <c r="AJ62" s="58" t="s">
        <v>42</v>
      </c>
      <c r="AK62" s="58" t="s">
        <v>41</v>
      </c>
      <c r="AL62" s="58" t="s">
        <v>47</v>
      </c>
      <c r="AM62" s="58" t="s">
        <v>48</v>
      </c>
      <c r="AN62" s="58" t="s">
        <v>43</v>
      </c>
      <c r="AO62" s="58" t="s">
        <v>44</v>
      </c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</row>
    <row r="63" spans="2:56" ht="16.5" customHeight="1" thickBot="1" x14ac:dyDescent="0.3">
      <c r="B63" s="1" t="s">
        <v>0</v>
      </c>
      <c r="C63" s="13">
        <f>SUM(F63:W63)</f>
        <v>0</v>
      </c>
      <c r="E63" s="10" t="s">
        <v>0</v>
      </c>
      <c r="F63" s="71"/>
      <c r="G63" s="60"/>
      <c r="H63" s="60"/>
      <c r="I63" s="61"/>
      <c r="J63" s="59"/>
      <c r="K63" s="60"/>
      <c r="L63" s="60"/>
      <c r="M63" s="60"/>
      <c r="N63" s="59"/>
      <c r="O63" s="61"/>
      <c r="P63" s="59"/>
      <c r="Q63" s="60"/>
      <c r="R63" s="60"/>
      <c r="S63" s="60"/>
      <c r="T63" s="60"/>
      <c r="U63" s="60"/>
      <c r="V63" s="60"/>
      <c r="W63" s="61"/>
      <c r="X63" s="71"/>
      <c r="Y63" s="60"/>
      <c r="Z63" s="60"/>
      <c r="AA63" s="60"/>
      <c r="AB63" s="59"/>
      <c r="AC63" s="60"/>
      <c r="AD63" s="60"/>
      <c r="AE63" s="61"/>
      <c r="AF63" s="60"/>
      <c r="AG63" s="61"/>
      <c r="AH63" s="60"/>
      <c r="AI63" s="60"/>
      <c r="AJ63" s="60"/>
      <c r="AK63" s="60"/>
      <c r="AL63" s="60"/>
      <c r="AM63" s="60"/>
      <c r="AN63" s="60"/>
      <c r="AO63" s="60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62"/>
      <c r="BB63" s="62"/>
      <c r="BC63" s="62"/>
      <c r="BD63" s="62"/>
    </row>
    <row r="64" spans="2:56" ht="16.5" customHeight="1" thickBot="1" x14ac:dyDescent="0.3">
      <c r="B64" s="1" t="s">
        <v>1</v>
      </c>
      <c r="C64" s="14">
        <f t="shared" ref="C64:C66" si="6">SUM(F64:W64)</f>
        <v>0</v>
      </c>
      <c r="E64" s="1" t="s">
        <v>1</v>
      </c>
      <c r="F64" s="72"/>
      <c r="G64" s="41"/>
      <c r="H64" s="41"/>
      <c r="I64" s="64"/>
      <c r="J64" s="63"/>
      <c r="K64" s="41"/>
      <c r="L64" s="41"/>
      <c r="M64" s="41"/>
      <c r="N64" s="63"/>
      <c r="O64" s="64"/>
      <c r="P64" s="63"/>
      <c r="Q64" s="41"/>
      <c r="R64" s="41"/>
      <c r="S64" s="41"/>
      <c r="T64" s="41"/>
      <c r="U64" s="41"/>
      <c r="V64" s="41"/>
      <c r="W64" s="64"/>
      <c r="X64" s="72"/>
      <c r="Y64" s="41"/>
      <c r="Z64" s="41"/>
      <c r="AA64" s="41"/>
      <c r="AB64" s="63"/>
      <c r="AC64" s="41"/>
      <c r="AD64" s="41"/>
      <c r="AE64" s="64"/>
      <c r="AF64" s="41"/>
      <c r="AG64" s="64"/>
      <c r="AH64" s="41"/>
      <c r="AI64" s="41"/>
      <c r="AJ64" s="41"/>
      <c r="AK64" s="41"/>
      <c r="AL64" s="41"/>
      <c r="AM64" s="41"/>
      <c r="AN64" s="41"/>
      <c r="AO64" s="41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5"/>
      <c r="BB64" s="65"/>
      <c r="BC64" s="65"/>
      <c r="BD64" s="65"/>
    </row>
    <row r="65" spans="2:56" ht="16.5" customHeight="1" thickBot="1" x14ac:dyDescent="0.3">
      <c r="B65" s="1" t="s">
        <v>2</v>
      </c>
      <c r="C65" s="14">
        <f t="shared" si="6"/>
        <v>0</v>
      </c>
      <c r="E65" s="1" t="s">
        <v>2</v>
      </c>
      <c r="F65" s="72"/>
      <c r="G65" s="41"/>
      <c r="H65" s="41"/>
      <c r="I65" s="64"/>
      <c r="J65" s="63"/>
      <c r="K65" s="41"/>
      <c r="L65" s="41"/>
      <c r="M65" s="41"/>
      <c r="N65" s="63"/>
      <c r="O65" s="64"/>
      <c r="P65" s="63"/>
      <c r="Q65" s="41"/>
      <c r="R65" s="41"/>
      <c r="S65" s="41"/>
      <c r="T65" s="41"/>
      <c r="U65" s="41"/>
      <c r="V65" s="41"/>
      <c r="W65" s="64"/>
      <c r="X65" s="72"/>
      <c r="Y65" s="41"/>
      <c r="Z65" s="41"/>
      <c r="AA65" s="41"/>
      <c r="AB65" s="63"/>
      <c r="AC65" s="41"/>
      <c r="AD65" s="41"/>
      <c r="AE65" s="64"/>
      <c r="AF65" s="41"/>
      <c r="AG65" s="64"/>
      <c r="AH65" s="41"/>
      <c r="AI65" s="41"/>
      <c r="AJ65" s="41"/>
      <c r="AK65" s="41"/>
      <c r="AL65" s="41"/>
      <c r="AM65" s="41"/>
      <c r="AN65" s="41"/>
      <c r="AO65" s="41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5"/>
      <c r="BB65" s="65"/>
      <c r="BC65" s="65"/>
      <c r="BD65" s="65"/>
    </row>
    <row r="66" spans="2:56" ht="16.5" customHeight="1" thickBot="1" x14ac:dyDescent="0.3">
      <c r="B66" s="1" t="s">
        <v>3</v>
      </c>
      <c r="C66" s="15">
        <f t="shared" si="6"/>
        <v>0</v>
      </c>
      <c r="E66" s="1" t="s">
        <v>3</v>
      </c>
      <c r="F66" s="73"/>
      <c r="G66" s="67"/>
      <c r="H66" s="67"/>
      <c r="I66" s="68"/>
      <c r="J66" s="66"/>
      <c r="K66" s="67"/>
      <c r="L66" s="67"/>
      <c r="M66" s="67"/>
      <c r="N66" s="66"/>
      <c r="O66" s="68"/>
      <c r="P66" s="66"/>
      <c r="Q66" s="67"/>
      <c r="R66" s="67"/>
      <c r="S66" s="67"/>
      <c r="T66" s="67"/>
      <c r="U66" s="67"/>
      <c r="V66" s="67"/>
      <c r="W66" s="68"/>
      <c r="X66" s="73"/>
      <c r="Y66" s="67"/>
      <c r="Z66" s="67"/>
      <c r="AA66" s="67"/>
      <c r="AB66" s="66"/>
      <c r="AC66" s="67"/>
      <c r="AD66" s="67"/>
      <c r="AE66" s="68"/>
      <c r="AF66" s="67"/>
      <c r="AG66" s="68"/>
      <c r="AH66" s="67"/>
      <c r="AI66" s="67"/>
      <c r="AJ66" s="67"/>
      <c r="AK66" s="67"/>
      <c r="AL66" s="67"/>
      <c r="AM66" s="67"/>
      <c r="AN66" s="67"/>
      <c r="AO66" s="67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9"/>
      <c r="BB66" s="69"/>
      <c r="BC66" s="69"/>
      <c r="BD66" s="69"/>
    </row>
    <row r="67" spans="2:56" ht="21" customHeight="1" x14ac:dyDescent="0.25">
      <c r="B67" s="2"/>
      <c r="C67" s="8">
        <f>SUM(C63:C66)</f>
        <v>0</v>
      </c>
      <c r="F67" s="74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74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2:56" x14ac:dyDescent="0.25"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2:56" ht="15.75" x14ac:dyDescent="0.25">
      <c r="F69" s="82" t="s">
        <v>17</v>
      </c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3" t="s">
        <v>16</v>
      </c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79"/>
      <c r="AQ69" s="79"/>
      <c r="AR69" s="79"/>
      <c r="AS69" s="79"/>
      <c r="AT69" s="79"/>
      <c r="AU69" s="41"/>
      <c r="AV69" s="41"/>
      <c r="AW69" s="41"/>
      <c r="AX69" s="41"/>
      <c r="AY69" s="41"/>
      <c r="AZ69" s="41"/>
      <c r="BA69" s="41"/>
    </row>
    <row r="70" spans="2:56" ht="32.25" thickBot="1" x14ac:dyDescent="0.3">
      <c r="F70" s="81" t="s">
        <v>9</v>
      </c>
      <c r="G70" s="81"/>
      <c r="H70" s="81"/>
      <c r="I70" s="81"/>
      <c r="J70" s="81" t="s">
        <v>10</v>
      </c>
      <c r="K70" s="81"/>
      <c r="L70" s="81"/>
      <c r="M70" s="81"/>
      <c r="N70" s="81" t="s">
        <v>49</v>
      </c>
      <c r="O70" s="81"/>
      <c r="P70" s="81" t="s">
        <v>11</v>
      </c>
      <c r="Q70" s="81"/>
      <c r="R70" s="81"/>
      <c r="S70" s="81"/>
      <c r="T70" s="81"/>
      <c r="U70" s="81"/>
      <c r="V70" s="81"/>
      <c r="W70" s="81"/>
      <c r="X70" s="81" t="s">
        <v>9</v>
      </c>
      <c r="Y70" s="81"/>
      <c r="Z70" s="81"/>
      <c r="AA70" s="81"/>
      <c r="AB70" s="81" t="s">
        <v>10</v>
      </c>
      <c r="AC70" s="81"/>
      <c r="AD70" s="81"/>
      <c r="AE70" s="81"/>
      <c r="AF70" s="81" t="s">
        <v>49</v>
      </c>
      <c r="AG70" s="81"/>
      <c r="AH70" s="81" t="s">
        <v>11</v>
      </c>
      <c r="AI70" s="81"/>
      <c r="AJ70" s="81"/>
      <c r="AK70" s="81"/>
      <c r="AL70" s="81"/>
      <c r="AM70" s="81"/>
      <c r="AN70" s="81"/>
      <c r="AO70" s="81"/>
      <c r="AP70" s="70" t="s">
        <v>50</v>
      </c>
      <c r="AQ70" s="70" t="s">
        <v>57</v>
      </c>
      <c r="AR70" s="70" t="s">
        <v>63</v>
      </c>
      <c r="AS70" s="70" t="s">
        <v>64</v>
      </c>
      <c r="AT70" s="70" t="s">
        <v>61</v>
      </c>
      <c r="AU70" s="70" t="s">
        <v>54</v>
      </c>
      <c r="AV70" s="70" t="s">
        <v>19</v>
      </c>
      <c r="AW70" s="70" t="s">
        <v>58</v>
      </c>
      <c r="AX70" s="70" t="s">
        <v>51</v>
      </c>
      <c r="AY70" s="70" t="s">
        <v>53</v>
      </c>
      <c r="AZ70" s="70" t="s">
        <v>52</v>
      </c>
      <c r="BA70" s="70" t="s">
        <v>55</v>
      </c>
      <c r="BB70" s="70" t="s">
        <v>56</v>
      </c>
      <c r="BC70" s="70" t="s">
        <v>59</v>
      </c>
      <c r="BD70" s="70" t="s">
        <v>60</v>
      </c>
    </row>
    <row r="71" spans="2:56" ht="16.5" thickBot="1" x14ac:dyDescent="0.3">
      <c r="B71" s="17">
        <v>7.2916666666666671E-2</v>
      </c>
      <c r="C71" s="7" t="s">
        <v>5</v>
      </c>
      <c r="E71" s="11"/>
      <c r="F71" s="75" t="s">
        <v>15</v>
      </c>
      <c r="G71" s="58" t="s">
        <v>12</v>
      </c>
      <c r="H71" s="58" t="s">
        <v>14</v>
      </c>
      <c r="I71" s="58" t="s">
        <v>13</v>
      </c>
      <c r="J71" s="58" t="s">
        <v>42</v>
      </c>
      <c r="K71" s="58" t="s">
        <v>41</v>
      </c>
      <c r="L71" s="58" t="s">
        <v>43</v>
      </c>
      <c r="M71" s="58" t="s">
        <v>44</v>
      </c>
      <c r="N71" s="58" t="s">
        <v>15</v>
      </c>
      <c r="O71" s="58" t="s">
        <v>14</v>
      </c>
      <c r="P71" s="58" t="s">
        <v>45</v>
      </c>
      <c r="Q71" s="58" t="s">
        <v>46</v>
      </c>
      <c r="R71" s="58" t="s">
        <v>42</v>
      </c>
      <c r="S71" s="58" t="s">
        <v>41</v>
      </c>
      <c r="T71" s="58" t="s">
        <v>47</v>
      </c>
      <c r="U71" s="58" t="s">
        <v>48</v>
      </c>
      <c r="V71" s="58" t="s">
        <v>43</v>
      </c>
      <c r="W71" s="58" t="s">
        <v>44</v>
      </c>
      <c r="X71" s="75" t="s">
        <v>15</v>
      </c>
      <c r="Y71" s="58" t="s">
        <v>12</v>
      </c>
      <c r="Z71" s="58" t="s">
        <v>14</v>
      </c>
      <c r="AA71" s="58" t="s">
        <v>13</v>
      </c>
      <c r="AB71" s="58" t="s">
        <v>42</v>
      </c>
      <c r="AC71" s="58" t="s">
        <v>41</v>
      </c>
      <c r="AD71" s="58" t="s">
        <v>43</v>
      </c>
      <c r="AE71" s="58" t="s">
        <v>44</v>
      </c>
      <c r="AF71" s="58" t="s">
        <v>15</v>
      </c>
      <c r="AG71" s="58" t="s">
        <v>14</v>
      </c>
      <c r="AH71" s="58" t="s">
        <v>45</v>
      </c>
      <c r="AI71" s="58" t="s">
        <v>46</v>
      </c>
      <c r="AJ71" s="58" t="s">
        <v>42</v>
      </c>
      <c r="AK71" s="58" t="s">
        <v>41</v>
      </c>
      <c r="AL71" s="58" t="s">
        <v>47</v>
      </c>
      <c r="AM71" s="58" t="s">
        <v>48</v>
      </c>
      <c r="AN71" s="58" t="s">
        <v>43</v>
      </c>
      <c r="AO71" s="58" t="s">
        <v>44</v>
      </c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</row>
    <row r="72" spans="2:56" ht="16.5" customHeight="1" thickBot="1" x14ac:dyDescent="0.3">
      <c r="B72" s="1" t="s">
        <v>0</v>
      </c>
      <c r="C72" s="13">
        <f>SUM(F72:W72)</f>
        <v>0</v>
      </c>
      <c r="E72" s="10" t="s">
        <v>0</v>
      </c>
      <c r="F72" s="71"/>
      <c r="G72" s="60"/>
      <c r="H72" s="60"/>
      <c r="I72" s="61"/>
      <c r="J72" s="59"/>
      <c r="K72" s="60"/>
      <c r="L72" s="60"/>
      <c r="M72" s="60"/>
      <c r="N72" s="59"/>
      <c r="O72" s="61"/>
      <c r="P72" s="59"/>
      <c r="Q72" s="60"/>
      <c r="R72" s="60"/>
      <c r="S72" s="60"/>
      <c r="T72" s="60"/>
      <c r="U72" s="60"/>
      <c r="V72" s="60"/>
      <c r="W72" s="61"/>
      <c r="X72" s="71"/>
      <c r="Y72" s="60"/>
      <c r="Z72" s="60"/>
      <c r="AA72" s="60"/>
      <c r="AB72" s="59"/>
      <c r="AC72" s="60"/>
      <c r="AD72" s="60"/>
      <c r="AE72" s="61"/>
      <c r="AF72" s="60"/>
      <c r="AG72" s="61"/>
      <c r="AH72" s="60"/>
      <c r="AI72" s="60"/>
      <c r="AJ72" s="60"/>
      <c r="AK72" s="60"/>
      <c r="AL72" s="60"/>
      <c r="AM72" s="60"/>
      <c r="AN72" s="60"/>
      <c r="AO72" s="60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62"/>
      <c r="BB72" s="62"/>
      <c r="BC72" s="62"/>
      <c r="BD72" s="62"/>
    </row>
    <row r="73" spans="2:56" ht="16.5" customHeight="1" thickBot="1" x14ac:dyDescent="0.3">
      <c r="B73" s="1" t="s">
        <v>1</v>
      </c>
      <c r="C73" s="14">
        <f t="shared" ref="C73:C75" si="7">SUM(F73:W73)</f>
        <v>0</v>
      </c>
      <c r="E73" s="1" t="s">
        <v>1</v>
      </c>
      <c r="F73" s="72"/>
      <c r="G73" s="41"/>
      <c r="H73" s="41"/>
      <c r="I73" s="64"/>
      <c r="J73" s="63"/>
      <c r="K73" s="41"/>
      <c r="L73" s="41"/>
      <c r="M73" s="41"/>
      <c r="N73" s="63"/>
      <c r="O73" s="64"/>
      <c r="P73" s="63"/>
      <c r="Q73" s="41"/>
      <c r="R73" s="41"/>
      <c r="S73" s="41"/>
      <c r="T73" s="41"/>
      <c r="U73" s="41"/>
      <c r="V73" s="41"/>
      <c r="W73" s="64"/>
      <c r="X73" s="72"/>
      <c r="Y73" s="41"/>
      <c r="Z73" s="41"/>
      <c r="AA73" s="41"/>
      <c r="AB73" s="63"/>
      <c r="AC73" s="41"/>
      <c r="AD73" s="41"/>
      <c r="AE73" s="64"/>
      <c r="AF73" s="41"/>
      <c r="AG73" s="64"/>
      <c r="AH73" s="41"/>
      <c r="AI73" s="41"/>
      <c r="AJ73" s="41"/>
      <c r="AK73" s="41"/>
      <c r="AL73" s="41"/>
      <c r="AM73" s="41"/>
      <c r="AN73" s="41"/>
      <c r="AO73" s="41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5"/>
      <c r="BB73" s="65"/>
      <c r="BC73" s="65"/>
      <c r="BD73" s="65"/>
    </row>
    <row r="74" spans="2:56" ht="16.5" customHeight="1" thickBot="1" x14ac:dyDescent="0.3">
      <c r="B74" s="1" t="s">
        <v>2</v>
      </c>
      <c r="C74" s="14">
        <f t="shared" si="7"/>
        <v>0</v>
      </c>
      <c r="E74" s="1" t="s">
        <v>2</v>
      </c>
      <c r="F74" s="72"/>
      <c r="G74" s="41"/>
      <c r="H74" s="41"/>
      <c r="I74" s="64"/>
      <c r="J74" s="63"/>
      <c r="K74" s="41"/>
      <c r="L74" s="41"/>
      <c r="M74" s="41"/>
      <c r="N74" s="63"/>
      <c r="O74" s="64"/>
      <c r="P74" s="63"/>
      <c r="Q74" s="41"/>
      <c r="R74" s="41"/>
      <c r="S74" s="41"/>
      <c r="T74" s="41"/>
      <c r="U74" s="41"/>
      <c r="V74" s="41"/>
      <c r="W74" s="64"/>
      <c r="X74" s="72"/>
      <c r="Y74" s="41"/>
      <c r="Z74" s="41"/>
      <c r="AA74" s="41"/>
      <c r="AB74" s="63"/>
      <c r="AC74" s="41"/>
      <c r="AD74" s="41"/>
      <c r="AE74" s="64"/>
      <c r="AF74" s="41"/>
      <c r="AG74" s="64"/>
      <c r="AH74" s="41"/>
      <c r="AI74" s="41"/>
      <c r="AJ74" s="41"/>
      <c r="AK74" s="41"/>
      <c r="AL74" s="41"/>
      <c r="AM74" s="41"/>
      <c r="AN74" s="41"/>
      <c r="AO74" s="41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5"/>
      <c r="BB74" s="65"/>
      <c r="BC74" s="65"/>
      <c r="BD74" s="65"/>
    </row>
    <row r="75" spans="2:56" ht="16.5" customHeight="1" thickBot="1" x14ac:dyDescent="0.3">
      <c r="B75" s="1" t="s">
        <v>3</v>
      </c>
      <c r="C75" s="15">
        <f t="shared" si="7"/>
        <v>0</v>
      </c>
      <c r="E75" s="1" t="s">
        <v>3</v>
      </c>
      <c r="F75" s="73"/>
      <c r="G75" s="67"/>
      <c r="H75" s="67"/>
      <c r="I75" s="68"/>
      <c r="J75" s="66"/>
      <c r="K75" s="67"/>
      <c r="L75" s="67"/>
      <c r="M75" s="67"/>
      <c r="N75" s="66"/>
      <c r="O75" s="68"/>
      <c r="P75" s="66"/>
      <c r="Q75" s="67"/>
      <c r="R75" s="67"/>
      <c r="S75" s="67"/>
      <c r="T75" s="67"/>
      <c r="U75" s="67"/>
      <c r="V75" s="67"/>
      <c r="W75" s="68"/>
      <c r="X75" s="73"/>
      <c r="Y75" s="67"/>
      <c r="Z75" s="67"/>
      <c r="AA75" s="67"/>
      <c r="AB75" s="66"/>
      <c r="AC75" s="67"/>
      <c r="AD75" s="67"/>
      <c r="AE75" s="68"/>
      <c r="AF75" s="67"/>
      <c r="AG75" s="68"/>
      <c r="AH75" s="67"/>
      <c r="AI75" s="67"/>
      <c r="AJ75" s="67"/>
      <c r="AK75" s="67"/>
      <c r="AL75" s="67"/>
      <c r="AM75" s="67"/>
      <c r="AN75" s="67"/>
      <c r="AO75" s="67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9"/>
      <c r="BB75" s="69"/>
      <c r="BC75" s="69"/>
      <c r="BD75" s="69"/>
    </row>
    <row r="76" spans="2:56" ht="21" customHeight="1" x14ac:dyDescent="0.25">
      <c r="B76" s="2"/>
      <c r="C76" s="8">
        <f>SUM(C72:C75)</f>
        <v>0</v>
      </c>
      <c r="F76" s="74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74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</row>
    <row r="77" spans="2:56" x14ac:dyDescent="0.25"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</row>
    <row r="78" spans="2:56" ht="15.75" x14ac:dyDescent="0.25">
      <c r="F78" s="82" t="s">
        <v>17</v>
      </c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3" t="s">
        <v>16</v>
      </c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79"/>
      <c r="AQ78" s="79"/>
      <c r="AR78" s="79"/>
      <c r="AS78" s="79"/>
      <c r="AT78" s="79"/>
      <c r="AU78" s="41"/>
      <c r="AV78" s="41"/>
      <c r="AW78" s="41"/>
      <c r="AX78" s="41"/>
      <c r="AY78" s="41"/>
      <c r="AZ78" s="41"/>
      <c r="BA78" s="41"/>
    </row>
    <row r="79" spans="2:56" ht="32.25" thickBot="1" x14ac:dyDescent="0.3">
      <c r="F79" s="81" t="s">
        <v>9</v>
      </c>
      <c r="G79" s="81"/>
      <c r="H79" s="81"/>
      <c r="I79" s="81"/>
      <c r="J79" s="81" t="s">
        <v>10</v>
      </c>
      <c r="K79" s="81"/>
      <c r="L79" s="81"/>
      <c r="M79" s="81"/>
      <c r="N79" s="81" t="s">
        <v>49</v>
      </c>
      <c r="O79" s="81"/>
      <c r="P79" s="81" t="s">
        <v>11</v>
      </c>
      <c r="Q79" s="81"/>
      <c r="R79" s="81"/>
      <c r="S79" s="81"/>
      <c r="T79" s="81"/>
      <c r="U79" s="81"/>
      <c r="V79" s="81"/>
      <c r="W79" s="81"/>
      <c r="X79" s="81" t="s">
        <v>9</v>
      </c>
      <c r="Y79" s="81"/>
      <c r="Z79" s="81"/>
      <c r="AA79" s="81"/>
      <c r="AB79" s="81" t="s">
        <v>10</v>
      </c>
      <c r="AC79" s="81"/>
      <c r="AD79" s="81"/>
      <c r="AE79" s="81"/>
      <c r="AF79" s="81" t="s">
        <v>49</v>
      </c>
      <c r="AG79" s="81"/>
      <c r="AH79" s="81" t="s">
        <v>11</v>
      </c>
      <c r="AI79" s="81"/>
      <c r="AJ79" s="81"/>
      <c r="AK79" s="81"/>
      <c r="AL79" s="81"/>
      <c r="AM79" s="81"/>
      <c r="AN79" s="81"/>
      <c r="AO79" s="81"/>
      <c r="AP79" s="70" t="s">
        <v>50</v>
      </c>
      <c r="AQ79" s="70" t="s">
        <v>57</v>
      </c>
      <c r="AR79" s="70" t="s">
        <v>63</v>
      </c>
      <c r="AS79" s="70" t="s">
        <v>64</v>
      </c>
      <c r="AT79" s="70" t="s">
        <v>61</v>
      </c>
      <c r="AU79" s="70" t="s">
        <v>54</v>
      </c>
      <c r="AV79" s="70" t="s">
        <v>19</v>
      </c>
      <c r="AW79" s="70" t="s">
        <v>58</v>
      </c>
      <c r="AX79" s="70" t="s">
        <v>51</v>
      </c>
      <c r="AY79" s="70" t="s">
        <v>53</v>
      </c>
      <c r="AZ79" s="70" t="s">
        <v>52</v>
      </c>
      <c r="BA79" s="70" t="s">
        <v>55</v>
      </c>
      <c r="BB79" s="70" t="s">
        <v>56</v>
      </c>
      <c r="BC79" s="70" t="s">
        <v>59</v>
      </c>
      <c r="BD79" s="70" t="s">
        <v>60</v>
      </c>
    </row>
    <row r="80" spans="2:56" ht="16.5" thickBot="1" x14ac:dyDescent="0.3">
      <c r="B80" s="16">
        <v>8.3333333333333329E-2</v>
      </c>
      <c r="C80" s="7" t="s">
        <v>5</v>
      </c>
      <c r="E80" s="11"/>
      <c r="F80" s="75" t="s">
        <v>15</v>
      </c>
      <c r="G80" s="58" t="s">
        <v>12</v>
      </c>
      <c r="H80" s="58" t="s">
        <v>14</v>
      </c>
      <c r="I80" s="58" t="s">
        <v>13</v>
      </c>
      <c r="J80" s="58" t="s">
        <v>42</v>
      </c>
      <c r="K80" s="58" t="s">
        <v>41</v>
      </c>
      <c r="L80" s="58" t="s">
        <v>43</v>
      </c>
      <c r="M80" s="58" t="s">
        <v>44</v>
      </c>
      <c r="N80" s="58" t="s">
        <v>15</v>
      </c>
      <c r="O80" s="58" t="s">
        <v>14</v>
      </c>
      <c r="P80" s="58" t="s">
        <v>45</v>
      </c>
      <c r="Q80" s="58" t="s">
        <v>46</v>
      </c>
      <c r="R80" s="58" t="s">
        <v>42</v>
      </c>
      <c r="S80" s="58" t="s">
        <v>41</v>
      </c>
      <c r="T80" s="58" t="s">
        <v>47</v>
      </c>
      <c r="U80" s="58" t="s">
        <v>48</v>
      </c>
      <c r="V80" s="58" t="s">
        <v>43</v>
      </c>
      <c r="W80" s="58" t="s">
        <v>44</v>
      </c>
      <c r="X80" s="75" t="s">
        <v>15</v>
      </c>
      <c r="Y80" s="58" t="s">
        <v>12</v>
      </c>
      <c r="Z80" s="58" t="s">
        <v>14</v>
      </c>
      <c r="AA80" s="58" t="s">
        <v>13</v>
      </c>
      <c r="AB80" s="58" t="s">
        <v>42</v>
      </c>
      <c r="AC80" s="58" t="s">
        <v>41</v>
      </c>
      <c r="AD80" s="58" t="s">
        <v>43</v>
      </c>
      <c r="AE80" s="58" t="s">
        <v>44</v>
      </c>
      <c r="AF80" s="58" t="s">
        <v>15</v>
      </c>
      <c r="AG80" s="58" t="s">
        <v>14</v>
      </c>
      <c r="AH80" s="58" t="s">
        <v>45</v>
      </c>
      <c r="AI80" s="58" t="s">
        <v>46</v>
      </c>
      <c r="AJ80" s="58" t="s">
        <v>42</v>
      </c>
      <c r="AK80" s="58" t="s">
        <v>41</v>
      </c>
      <c r="AL80" s="58" t="s">
        <v>47</v>
      </c>
      <c r="AM80" s="58" t="s">
        <v>48</v>
      </c>
      <c r="AN80" s="58" t="s">
        <v>43</v>
      </c>
      <c r="AO80" s="58" t="s">
        <v>44</v>
      </c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</row>
    <row r="81" spans="2:56" ht="16.5" customHeight="1" thickBot="1" x14ac:dyDescent="0.3">
      <c r="B81" s="1" t="s">
        <v>0</v>
      </c>
      <c r="C81" s="13">
        <f>SUM(F81:W81)</f>
        <v>0</v>
      </c>
      <c r="E81" s="10" t="s">
        <v>0</v>
      </c>
      <c r="F81" s="71"/>
      <c r="G81" s="60"/>
      <c r="H81" s="60"/>
      <c r="I81" s="61"/>
      <c r="J81" s="59"/>
      <c r="K81" s="60"/>
      <c r="L81" s="60"/>
      <c r="M81" s="60"/>
      <c r="N81" s="59"/>
      <c r="O81" s="61"/>
      <c r="P81" s="59"/>
      <c r="Q81" s="60"/>
      <c r="R81" s="60"/>
      <c r="S81" s="60"/>
      <c r="T81" s="60"/>
      <c r="U81" s="60"/>
      <c r="V81" s="60"/>
      <c r="W81" s="61"/>
      <c r="X81" s="71"/>
      <c r="Y81" s="60"/>
      <c r="Z81" s="60"/>
      <c r="AA81" s="60"/>
      <c r="AB81" s="59"/>
      <c r="AC81" s="60"/>
      <c r="AD81" s="60"/>
      <c r="AE81" s="61"/>
      <c r="AF81" s="60"/>
      <c r="AG81" s="61"/>
      <c r="AH81" s="60"/>
      <c r="AI81" s="60"/>
      <c r="AJ81" s="60"/>
      <c r="AK81" s="60"/>
      <c r="AL81" s="60"/>
      <c r="AM81" s="60"/>
      <c r="AN81" s="60"/>
      <c r="AO81" s="60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62"/>
      <c r="BB81" s="62"/>
      <c r="BC81" s="62"/>
      <c r="BD81" s="62"/>
    </row>
    <row r="82" spans="2:56" ht="16.5" customHeight="1" thickBot="1" x14ac:dyDescent="0.3">
      <c r="B82" s="1" t="s">
        <v>1</v>
      </c>
      <c r="C82" s="14">
        <f t="shared" ref="C82:C84" si="8">SUM(F82:W82)</f>
        <v>0</v>
      </c>
      <c r="E82" s="1" t="s">
        <v>1</v>
      </c>
      <c r="F82" s="72"/>
      <c r="G82" s="41"/>
      <c r="H82" s="41"/>
      <c r="I82" s="64"/>
      <c r="J82" s="63"/>
      <c r="K82" s="41"/>
      <c r="L82" s="41"/>
      <c r="M82" s="41"/>
      <c r="N82" s="63"/>
      <c r="O82" s="64"/>
      <c r="P82" s="63"/>
      <c r="Q82" s="41"/>
      <c r="R82" s="41"/>
      <c r="S82" s="41"/>
      <c r="T82" s="41"/>
      <c r="U82" s="41"/>
      <c r="V82" s="41"/>
      <c r="W82" s="64"/>
      <c r="X82" s="72"/>
      <c r="Y82" s="41"/>
      <c r="Z82" s="41"/>
      <c r="AA82" s="41"/>
      <c r="AB82" s="63"/>
      <c r="AC82" s="41"/>
      <c r="AD82" s="41"/>
      <c r="AE82" s="64"/>
      <c r="AF82" s="41"/>
      <c r="AG82" s="64"/>
      <c r="AH82" s="41"/>
      <c r="AI82" s="41"/>
      <c r="AJ82" s="41"/>
      <c r="AK82" s="41"/>
      <c r="AL82" s="41"/>
      <c r="AM82" s="41"/>
      <c r="AN82" s="41"/>
      <c r="AO82" s="41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5"/>
      <c r="BB82" s="65"/>
      <c r="BC82" s="65"/>
      <c r="BD82" s="65"/>
    </row>
    <row r="83" spans="2:56" ht="16.5" customHeight="1" thickBot="1" x14ac:dyDescent="0.3">
      <c r="B83" s="1" t="s">
        <v>2</v>
      </c>
      <c r="C83" s="14">
        <f t="shared" si="8"/>
        <v>0</v>
      </c>
      <c r="E83" s="1" t="s">
        <v>2</v>
      </c>
      <c r="F83" s="72"/>
      <c r="G83" s="41"/>
      <c r="H83" s="41"/>
      <c r="I83" s="64"/>
      <c r="J83" s="63"/>
      <c r="K83" s="41"/>
      <c r="L83" s="41"/>
      <c r="M83" s="41"/>
      <c r="N83" s="63"/>
      <c r="O83" s="64"/>
      <c r="P83" s="63"/>
      <c r="Q83" s="41"/>
      <c r="R83" s="41"/>
      <c r="S83" s="41"/>
      <c r="T83" s="41"/>
      <c r="U83" s="41"/>
      <c r="V83" s="41"/>
      <c r="W83" s="64"/>
      <c r="X83" s="72"/>
      <c r="Y83" s="41"/>
      <c r="Z83" s="41"/>
      <c r="AA83" s="41"/>
      <c r="AB83" s="63"/>
      <c r="AC83" s="41"/>
      <c r="AD83" s="41"/>
      <c r="AE83" s="64"/>
      <c r="AF83" s="41"/>
      <c r="AG83" s="64"/>
      <c r="AH83" s="41"/>
      <c r="AI83" s="41"/>
      <c r="AJ83" s="41"/>
      <c r="AK83" s="41"/>
      <c r="AL83" s="41"/>
      <c r="AM83" s="41"/>
      <c r="AN83" s="41"/>
      <c r="AO83" s="41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5"/>
      <c r="BB83" s="65"/>
      <c r="BC83" s="65"/>
      <c r="BD83" s="65"/>
    </row>
    <row r="84" spans="2:56" ht="16.5" customHeight="1" thickBot="1" x14ac:dyDescent="0.3">
      <c r="B84" s="1" t="s">
        <v>3</v>
      </c>
      <c r="C84" s="15">
        <f t="shared" si="8"/>
        <v>0</v>
      </c>
      <c r="E84" s="1" t="s">
        <v>3</v>
      </c>
      <c r="F84" s="73"/>
      <c r="G84" s="67"/>
      <c r="H84" s="67"/>
      <c r="I84" s="68"/>
      <c r="J84" s="66"/>
      <c r="K84" s="67"/>
      <c r="L84" s="67"/>
      <c r="M84" s="67"/>
      <c r="N84" s="66"/>
      <c r="O84" s="68"/>
      <c r="P84" s="66"/>
      <c r="Q84" s="67"/>
      <c r="R84" s="67"/>
      <c r="S84" s="67"/>
      <c r="T84" s="67"/>
      <c r="U84" s="67"/>
      <c r="V84" s="67"/>
      <c r="W84" s="68"/>
      <c r="X84" s="73"/>
      <c r="Y84" s="67"/>
      <c r="Z84" s="67"/>
      <c r="AA84" s="67"/>
      <c r="AB84" s="66"/>
      <c r="AC84" s="67"/>
      <c r="AD84" s="67"/>
      <c r="AE84" s="68"/>
      <c r="AF84" s="67"/>
      <c r="AG84" s="68"/>
      <c r="AH84" s="67"/>
      <c r="AI84" s="67"/>
      <c r="AJ84" s="67"/>
      <c r="AK84" s="67"/>
      <c r="AL84" s="67"/>
      <c r="AM84" s="67"/>
      <c r="AN84" s="67"/>
      <c r="AO84" s="67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9"/>
      <c r="BB84" s="69"/>
      <c r="BC84" s="69"/>
      <c r="BD84" s="69"/>
    </row>
    <row r="85" spans="2:56" ht="21" customHeight="1" x14ac:dyDescent="0.25">
      <c r="B85" s="2"/>
      <c r="C85" s="8">
        <f>SUM(C81:C84)</f>
        <v>0</v>
      </c>
      <c r="F85" s="74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74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</row>
    <row r="86" spans="2:56" x14ac:dyDescent="0.25"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</row>
    <row r="87" spans="2:56" ht="15.75" x14ac:dyDescent="0.25">
      <c r="F87" s="82" t="s">
        <v>17</v>
      </c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3" t="s">
        <v>16</v>
      </c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79"/>
      <c r="AQ87" s="79"/>
      <c r="AR87" s="79"/>
      <c r="AS87" s="79"/>
      <c r="AT87" s="79"/>
      <c r="AU87" s="41"/>
      <c r="AV87" s="41"/>
      <c r="AW87" s="41"/>
      <c r="AX87" s="41"/>
      <c r="AY87" s="41"/>
      <c r="AZ87" s="41"/>
      <c r="BA87" s="41"/>
    </row>
    <row r="88" spans="2:56" ht="32.25" thickBot="1" x14ac:dyDescent="0.3">
      <c r="F88" s="81" t="s">
        <v>9</v>
      </c>
      <c r="G88" s="81"/>
      <c r="H88" s="81"/>
      <c r="I88" s="81"/>
      <c r="J88" s="81" t="s">
        <v>10</v>
      </c>
      <c r="K88" s="81"/>
      <c r="L88" s="81"/>
      <c r="M88" s="81"/>
      <c r="N88" s="81" t="s">
        <v>49</v>
      </c>
      <c r="O88" s="81"/>
      <c r="P88" s="81" t="s">
        <v>11</v>
      </c>
      <c r="Q88" s="81"/>
      <c r="R88" s="81"/>
      <c r="S88" s="81"/>
      <c r="T88" s="81"/>
      <c r="U88" s="81"/>
      <c r="V88" s="81"/>
      <c r="W88" s="81"/>
      <c r="X88" s="81" t="s">
        <v>9</v>
      </c>
      <c r="Y88" s="81"/>
      <c r="Z88" s="81"/>
      <c r="AA88" s="81"/>
      <c r="AB88" s="81" t="s">
        <v>10</v>
      </c>
      <c r="AC88" s="81"/>
      <c r="AD88" s="81"/>
      <c r="AE88" s="81"/>
      <c r="AF88" s="81" t="s">
        <v>49</v>
      </c>
      <c r="AG88" s="81"/>
      <c r="AH88" s="81" t="s">
        <v>11</v>
      </c>
      <c r="AI88" s="81"/>
      <c r="AJ88" s="81"/>
      <c r="AK88" s="81"/>
      <c r="AL88" s="81"/>
      <c r="AM88" s="81"/>
      <c r="AN88" s="81"/>
      <c r="AO88" s="81"/>
      <c r="AP88" s="70" t="s">
        <v>50</v>
      </c>
      <c r="AQ88" s="70" t="s">
        <v>57</v>
      </c>
      <c r="AR88" s="70" t="s">
        <v>63</v>
      </c>
      <c r="AS88" s="70" t="s">
        <v>64</v>
      </c>
      <c r="AT88" s="70" t="s">
        <v>61</v>
      </c>
      <c r="AU88" s="70" t="s">
        <v>54</v>
      </c>
      <c r="AV88" s="70" t="s">
        <v>19</v>
      </c>
      <c r="AW88" s="70" t="s">
        <v>58</v>
      </c>
      <c r="AX88" s="70" t="s">
        <v>51</v>
      </c>
      <c r="AY88" s="70" t="s">
        <v>53</v>
      </c>
      <c r="AZ88" s="70" t="s">
        <v>52</v>
      </c>
      <c r="BA88" s="70" t="s">
        <v>55</v>
      </c>
      <c r="BB88" s="70" t="s">
        <v>56</v>
      </c>
      <c r="BC88" s="70" t="s">
        <v>59</v>
      </c>
      <c r="BD88" s="70" t="s">
        <v>60</v>
      </c>
    </row>
    <row r="89" spans="2:56" ht="16.5" thickBot="1" x14ac:dyDescent="0.3">
      <c r="B89" s="16">
        <v>9.375E-2</v>
      </c>
      <c r="C89" s="7" t="s">
        <v>5</v>
      </c>
      <c r="E89" s="11"/>
      <c r="F89" s="75" t="s">
        <v>15</v>
      </c>
      <c r="G89" s="58" t="s">
        <v>12</v>
      </c>
      <c r="H89" s="58" t="s">
        <v>14</v>
      </c>
      <c r="I89" s="58" t="s">
        <v>13</v>
      </c>
      <c r="J89" s="58" t="s">
        <v>42</v>
      </c>
      <c r="K89" s="58" t="s">
        <v>41</v>
      </c>
      <c r="L89" s="58" t="s">
        <v>43</v>
      </c>
      <c r="M89" s="58" t="s">
        <v>44</v>
      </c>
      <c r="N89" s="58" t="s">
        <v>15</v>
      </c>
      <c r="O89" s="58" t="s">
        <v>14</v>
      </c>
      <c r="P89" s="58" t="s">
        <v>45</v>
      </c>
      <c r="Q89" s="58" t="s">
        <v>46</v>
      </c>
      <c r="R89" s="58" t="s">
        <v>42</v>
      </c>
      <c r="S89" s="58" t="s">
        <v>41</v>
      </c>
      <c r="T89" s="58" t="s">
        <v>47</v>
      </c>
      <c r="U89" s="58" t="s">
        <v>48</v>
      </c>
      <c r="V89" s="58" t="s">
        <v>43</v>
      </c>
      <c r="W89" s="58" t="s">
        <v>44</v>
      </c>
      <c r="X89" s="75" t="s">
        <v>15</v>
      </c>
      <c r="Y89" s="58" t="s">
        <v>12</v>
      </c>
      <c r="Z89" s="58" t="s">
        <v>14</v>
      </c>
      <c r="AA89" s="58" t="s">
        <v>13</v>
      </c>
      <c r="AB89" s="58" t="s">
        <v>42</v>
      </c>
      <c r="AC89" s="58" t="s">
        <v>41</v>
      </c>
      <c r="AD89" s="58" t="s">
        <v>43</v>
      </c>
      <c r="AE89" s="58" t="s">
        <v>44</v>
      </c>
      <c r="AF89" s="58" t="s">
        <v>15</v>
      </c>
      <c r="AG89" s="58" t="s">
        <v>14</v>
      </c>
      <c r="AH89" s="58" t="s">
        <v>45</v>
      </c>
      <c r="AI89" s="58" t="s">
        <v>46</v>
      </c>
      <c r="AJ89" s="58" t="s">
        <v>42</v>
      </c>
      <c r="AK89" s="58" t="s">
        <v>41</v>
      </c>
      <c r="AL89" s="58" t="s">
        <v>47</v>
      </c>
      <c r="AM89" s="58" t="s">
        <v>48</v>
      </c>
      <c r="AN89" s="58" t="s">
        <v>43</v>
      </c>
      <c r="AO89" s="58" t="s">
        <v>44</v>
      </c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</row>
    <row r="90" spans="2:56" ht="16.5" customHeight="1" thickBot="1" x14ac:dyDescent="0.3">
      <c r="B90" s="1" t="s">
        <v>0</v>
      </c>
      <c r="C90" s="13">
        <f>SUM(F90:W90)</f>
        <v>0</v>
      </c>
      <c r="E90" s="10" t="s">
        <v>0</v>
      </c>
      <c r="F90" s="71"/>
      <c r="G90" s="60"/>
      <c r="H90" s="60"/>
      <c r="I90" s="61"/>
      <c r="J90" s="59"/>
      <c r="K90" s="60"/>
      <c r="L90" s="60"/>
      <c r="M90" s="60"/>
      <c r="N90" s="59"/>
      <c r="O90" s="61"/>
      <c r="P90" s="59"/>
      <c r="Q90" s="60"/>
      <c r="R90" s="60"/>
      <c r="S90" s="60"/>
      <c r="T90" s="60"/>
      <c r="U90" s="60"/>
      <c r="V90" s="60"/>
      <c r="W90" s="61"/>
      <c r="X90" s="71"/>
      <c r="Y90" s="60"/>
      <c r="Z90" s="60"/>
      <c r="AA90" s="60"/>
      <c r="AB90" s="59"/>
      <c r="AC90" s="60"/>
      <c r="AD90" s="60"/>
      <c r="AE90" s="61"/>
      <c r="AF90" s="60"/>
      <c r="AG90" s="61"/>
      <c r="AH90" s="60"/>
      <c r="AI90" s="60"/>
      <c r="AJ90" s="60"/>
      <c r="AK90" s="60"/>
      <c r="AL90" s="60"/>
      <c r="AM90" s="60"/>
      <c r="AN90" s="60"/>
      <c r="AO90" s="60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62"/>
      <c r="BB90" s="62"/>
      <c r="BC90" s="62"/>
      <c r="BD90" s="62"/>
    </row>
    <row r="91" spans="2:56" ht="16.5" customHeight="1" thickBot="1" x14ac:dyDescent="0.3">
      <c r="B91" s="1" t="s">
        <v>1</v>
      </c>
      <c r="C91" s="14">
        <f t="shared" ref="C91:C93" si="9">SUM(F91:W91)</f>
        <v>0</v>
      </c>
      <c r="E91" s="1" t="s">
        <v>1</v>
      </c>
      <c r="F91" s="72"/>
      <c r="G91" s="41"/>
      <c r="H91" s="41"/>
      <c r="I91" s="64"/>
      <c r="J91" s="63"/>
      <c r="K91" s="41"/>
      <c r="L91" s="41"/>
      <c r="M91" s="41"/>
      <c r="N91" s="63"/>
      <c r="O91" s="64"/>
      <c r="P91" s="63"/>
      <c r="Q91" s="41"/>
      <c r="R91" s="41"/>
      <c r="S91" s="41"/>
      <c r="T91" s="41"/>
      <c r="U91" s="41"/>
      <c r="V91" s="41"/>
      <c r="W91" s="64"/>
      <c r="X91" s="72"/>
      <c r="Y91" s="41"/>
      <c r="Z91" s="41"/>
      <c r="AA91" s="41"/>
      <c r="AB91" s="63"/>
      <c r="AC91" s="41"/>
      <c r="AD91" s="41"/>
      <c r="AE91" s="64"/>
      <c r="AF91" s="41"/>
      <c r="AG91" s="64"/>
      <c r="AH91" s="41"/>
      <c r="AI91" s="41"/>
      <c r="AJ91" s="41"/>
      <c r="AK91" s="41"/>
      <c r="AL91" s="41"/>
      <c r="AM91" s="41"/>
      <c r="AN91" s="41"/>
      <c r="AO91" s="41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5"/>
      <c r="BB91" s="65"/>
      <c r="BC91" s="65"/>
      <c r="BD91" s="65"/>
    </row>
    <row r="92" spans="2:56" ht="16.5" customHeight="1" thickBot="1" x14ac:dyDescent="0.3">
      <c r="B92" s="1" t="s">
        <v>2</v>
      </c>
      <c r="C92" s="14">
        <f t="shared" si="9"/>
        <v>0</v>
      </c>
      <c r="E92" s="1" t="s">
        <v>2</v>
      </c>
      <c r="F92" s="72"/>
      <c r="G92" s="41"/>
      <c r="H92" s="41"/>
      <c r="I92" s="64"/>
      <c r="J92" s="63"/>
      <c r="K92" s="41"/>
      <c r="L92" s="41"/>
      <c r="M92" s="41"/>
      <c r="N92" s="63"/>
      <c r="O92" s="64"/>
      <c r="P92" s="63"/>
      <c r="Q92" s="41"/>
      <c r="R92" s="41"/>
      <c r="S92" s="41"/>
      <c r="T92" s="41"/>
      <c r="U92" s="41"/>
      <c r="V92" s="41"/>
      <c r="W92" s="64"/>
      <c r="X92" s="72"/>
      <c r="Y92" s="41"/>
      <c r="Z92" s="41"/>
      <c r="AA92" s="41"/>
      <c r="AB92" s="63"/>
      <c r="AC92" s="41"/>
      <c r="AD92" s="41"/>
      <c r="AE92" s="64"/>
      <c r="AF92" s="41"/>
      <c r="AG92" s="64"/>
      <c r="AH92" s="41"/>
      <c r="AI92" s="41"/>
      <c r="AJ92" s="41"/>
      <c r="AK92" s="41"/>
      <c r="AL92" s="41"/>
      <c r="AM92" s="41"/>
      <c r="AN92" s="41"/>
      <c r="AO92" s="41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5"/>
      <c r="BB92" s="65"/>
      <c r="BC92" s="65"/>
      <c r="BD92" s="65"/>
    </row>
    <row r="93" spans="2:56" ht="16.5" customHeight="1" thickBot="1" x14ac:dyDescent="0.3">
      <c r="B93" s="1" t="s">
        <v>3</v>
      </c>
      <c r="C93" s="15">
        <f t="shared" si="9"/>
        <v>0</v>
      </c>
      <c r="E93" s="1" t="s">
        <v>3</v>
      </c>
      <c r="F93" s="73"/>
      <c r="G93" s="67"/>
      <c r="H93" s="67"/>
      <c r="I93" s="68"/>
      <c r="J93" s="66"/>
      <c r="K93" s="67"/>
      <c r="L93" s="67"/>
      <c r="M93" s="67"/>
      <c r="N93" s="66"/>
      <c r="O93" s="68"/>
      <c r="P93" s="66"/>
      <c r="Q93" s="67"/>
      <c r="R93" s="67"/>
      <c r="S93" s="67"/>
      <c r="T93" s="67"/>
      <c r="U93" s="67"/>
      <c r="V93" s="67"/>
      <c r="W93" s="68"/>
      <c r="X93" s="73"/>
      <c r="Y93" s="67"/>
      <c r="Z93" s="67"/>
      <c r="AA93" s="67"/>
      <c r="AB93" s="66"/>
      <c r="AC93" s="67"/>
      <c r="AD93" s="67"/>
      <c r="AE93" s="68"/>
      <c r="AF93" s="67"/>
      <c r="AG93" s="68"/>
      <c r="AH93" s="67"/>
      <c r="AI93" s="67"/>
      <c r="AJ93" s="67"/>
      <c r="AK93" s="67"/>
      <c r="AL93" s="67"/>
      <c r="AM93" s="67"/>
      <c r="AN93" s="67"/>
      <c r="AO93" s="67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9"/>
      <c r="BB93" s="69"/>
      <c r="BC93" s="69"/>
      <c r="BD93" s="69"/>
    </row>
    <row r="94" spans="2:56" ht="21" customHeight="1" x14ac:dyDescent="0.25">
      <c r="B94" s="2"/>
      <c r="C94" s="8">
        <f>SUM(C90:C93)</f>
        <v>0</v>
      </c>
      <c r="F94" s="74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74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</row>
    <row r="95" spans="2:56" x14ac:dyDescent="0.25"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</row>
    <row r="96" spans="2:56" ht="15.75" x14ac:dyDescent="0.25">
      <c r="F96" s="82" t="s">
        <v>17</v>
      </c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3" t="s">
        <v>16</v>
      </c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79"/>
      <c r="AQ96" s="79"/>
      <c r="AR96" s="79"/>
      <c r="AS96" s="79"/>
      <c r="AT96" s="79"/>
      <c r="AU96" s="41"/>
      <c r="AV96" s="41"/>
      <c r="AW96" s="41"/>
      <c r="AX96" s="41"/>
      <c r="AY96" s="41"/>
      <c r="AZ96" s="41"/>
      <c r="BA96" s="41"/>
    </row>
    <row r="97" spans="2:56" ht="32.25" thickBot="1" x14ac:dyDescent="0.3">
      <c r="F97" s="81" t="s">
        <v>9</v>
      </c>
      <c r="G97" s="81"/>
      <c r="H97" s="81"/>
      <c r="I97" s="81"/>
      <c r="J97" s="81" t="s">
        <v>10</v>
      </c>
      <c r="K97" s="81"/>
      <c r="L97" s="81"/>
      <c r="M97" s="81"/>
      <c r="N97" s="81" t="s">
        <v>49</v>
      </c>
      <c r="O97" s="81"/>
      <c r="P97" s="81" t="s">
        <v>11</v>
      </c>
      <c r="Q97" s="81"/>
      <c r="R97" s="81"/>
      <c r="S97" s="81"/>
      <c r="T97" s="81"/>
      <c r="U97" s="81"/>
      <c r="V97" s="81"/>
      <c r="W97" s="81"/>
      <c r="X97" s="81" t="s">
        <v>9</v>
      </c>
      <c r="Y97" s="81"/>
      <c r="Z97" s="81"/>
      <c r="AA97" s="81"/>
      <c r="AB97" s="81" t="s">
        <v>10</v>
      </c>
      <c r="AC97" s="81"/>
      <c r="AD97" s="81"/>
      <c r="AE97" s="81"/>
      <c r="AF97" s="81" t="s">
        <v>49</v>
      </c>
      <c r="AG97" s="81"/>
      <c r="AH97" s="81" t="s">
        <v>11</v>
      </c>
      <c r="AI97" s="81"/>
      <c r="AJ97" s="81"/>
      <c r="AK97" s="81"/>
      <c r="AL97" s="81"/>
      <c r="AM97" s="81"/>
      <c r="AN97" s="81"/>
      <c r="AO97" s="81"/>
      <c r="AP97" s="70" t="s">
        <v>50</v>
      </c>
      <c r="AQ97" s="70" t="s">
        <v>57</v>
      </c>
      <c r="AR97" s="70" t="s">
        <v>63</v>
      </c>
      <c r="AS97" s="70" t="s">
        <v>64</v>
      </c>
      <c r="AT97" s="70" t="s">
        <v>61</v>
      </c>
      <c r="AU97" s="70" t="s">
        <v>54</v>
      </c>
      <c r="AV97" s="70" t="s">
        <v>19</v>
      </c>
      <c r="AW97" s="70" t="s">
        <v>58</v>
      </c>
      <c r="AX97" s="70" t="s">
        <v>51</v>
      </c>
      <c r="AY97" s="70" t="s">
        <v>53</v>
      </c>
      <c r="AZ97" s="70" t="s">
        <v>52</v>
      </c>
      <c r="BA97" s="70" t="s">
        <v>55</v>
      </c>
      <c r="BB97" s="70" t="s">
        <v>56</v>
      </c>
      <c r="BC97" s="70" t="s">
        <v>59</v>
      </c>
      <c r="BD97" s="70" t="s">
        <v>60</v>
      </c>
    </row>
    <row r="98" spans="2:56" ht="16.5" thickBot="1" x14ac:dyDescent="0.3">
      <c r="B98" s="16">
        <v>0.10416666666666667</v>
      </c>
      <c r="C98" s="7" t="s">
        <v>5</v>
      </c>
      <c r="E98" s="11"/>
      <c r="F98" s="75" t="s">
        <v>15</v>
      </c>
      <c r="G98" s="58" t="s">
        <v>12</v>
      </c>
      <c r="H98" s="58" t="s">
        <v>14</v>
      </c>
      <c r="I98" s="58" t="s">
        <v>13</v>
      </c>
      <c r="J98" s="58" t="s">
        <v>42</v>
      </c>
      <c r="K98" s="58" t="s">
        <v>41</v>
      </c>
      <c r="L98" s="58" t="s">
        <v>43</v>
      </c>
      <c r="M98" s="58" t="s">
        <v>44</v>
      </c>
      <c r="N98" s="58" t="s">
        <v>15</v>
      </c>
      <c r="O98" s="58" t="s">
        <v>14</v>
      </c>
      <c r="P98" s="58" t="s">
        <v>45</v>
      </c>
      <c r="Q98" s="58" t="s">
        <v>46</v>
      </c>
      <c r="R98" s="58" t="s">
        <v>42</v>
      </c>
      <c r="S98" s="58" t="s">
        <v>41</v>
      </c>
      <c r="T98" s="58" t="s">
        <v>47</v>
      </c>
      <c r="U98" s="58" t="s">
        <v>48</v>
      </c>
      <c r="V98" s="58" t="s">
        <v>43</v>
      </c>
      <c r="W98" s="58" t="s">
        <v>44</v>
      </c>
      <c r="X98" s="75" t="s">
        <v>15</v>
      </c>
      <c r="Y98" s="58" t="s">
        <v>12</v>
      </c>
      <c r="Z98" s="58" t="s">
        <v>14</v>
      </c>
      <c r="AA98" s="58" t="s">
        <v>13</v>
      </c>
      <c r="AB98" s="58" t="s">
        <v>42</v>
      </c>
      <c r="AC98" s="58" t="s">
        <v>41</v>
      </c>
      <c r="AD98" s="58" t="s">
        <v>43</v>
      </c>
      <c r="AE98" s="58" t="s">
        <v>44</v>
      </c>
      <c r="AF98" s="58" t="s">
        <v>15</v>
      </c>
      <c r="AG98" s="58" t="s">
        <v>14</v>
      </c>
      <c r="AH98" s="58" t="s">
        <v>45</v>
      </c>
      <c r="AI98" s="58" t="s">
        <v>46</v>
      </c>
      <c r="AJ98" s="58" t="s">
        <v>42</v>
      </c>
      <c r="AK98" s="58" t="s">
        <v>41</v>
      </c>
      <c r="AL98" s="58" t="s">
        <v>47</v>
      </c>
      <c r="AM98" s="58" t="s">
        <v>48</v>
      </c>
      <c r="AN98" s="58" t="s">
        <v>43</v>
      </c>
      <c r="AO98" s="58" t="s">
        <v>44</v>
      </c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</row>
    <row r="99" spans="2:56" ht="16.5" customHeight="1" thickBot="1" x14ac:dyDescent="0.3">
      <c r="B99" s="1" t="s">
        <v>0</v>
      </c>
      <c r="C99" s="13">
        <f>SUM(F99:W99)</f>
        <v>0</v>
      </c>
      <c r="E99" s="10" t="s">
        <v>0</v>
      </c>
      <c r="F99" s="71"/>
      <c r="G99" s="60"/>
      <c r="H99" s="60"/>
      <c r="I99" s="61"/>
      <c r="J99" s="59"/>
      <c r="K99" s="60"/>
      <c r="L99" s="60"/>
      <c r="M99" s="60"/>
      <c r="N99" s="59"/>
      <c r="O99" s="61"/>
      <c r="P99" s="59"/>
      <c r="Q99" s="60"/>
      <c r="R99" s="60"/>
      <c r="S99" s="60"/>
      <c r="T99" s="60"/>
      <c r="U99" s="60"/>
      <c r="V99" s="60"/>
      <c r="W99" s="61"/>
      <c r="X99" s="71"/>
      <c r="Y99" s="60"/>
      <c r="Z99" s="60"/>
      <c r="AA99" s="60"/>
      <c r="AB99" s="59"/>
      <c r="AC99" s="60"/>
      <c r="AD99" s="60"/>
      <c r="AE99" s="61"/>
      <c r="AF99" s="60"/>
      <c r="AG99" s="61"/>
      <c r="AH99" s="60"/>
      <c r="AI99" s="60"/>
      <c r="AJ99" s="60"/>
      <c r="AK99" s="60"/>
      <c r="AL99" s="60"/>
      <c r="AM99" s="60"/>
      <c r="AN99" s="60"/>
      <c r="AO99" s="60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62"/>
      <c r="BB99" s="62"/>
      <c r="BC99" s="62"/>
      <c r="BD99" s="62"/>
    </row>
    <row r="100" spans="2:56" ht="16.5" customHeight="1" thickBot="1" x14ac:dyDescent="0.3">
      <c r="B100" s="1" t="s">
        <v>1</v>
      </c>
      <c r="C100" s="14">
        <f t="shared" ref="C100:C102" si="10">SUM(F100:W100)</f>
        <v>0</v>
      </c>
      <c r="E100" s="1" t="s">
        <v>1</v>
      </c>
      <c r="F100" s="72"/>
      <c r="G100" s="41"/>
      <c r="H100" s="41"/>
      <c r="I100" s="64"/>
      <c r="J100" s="63"/>
      <c r="K100" s="41"/>
      <c r="L100" s="41"/>
      <c r="M100" s="41"/>
      <c r="N100" s="63"/>
      <c r="O100" s="64"/>
      <c r="P100" s="63"/>
      <c r="Q100" s="41"/>
      <c r="R100" s="41"/>
      <c r="S100" s="41"/>
      <c r="T100" s="41"/>
      <c r="U100" s="41"/>
      <c r="V100" s="41"/>
      <c r="W100" s="64"/>
      <c r="X100" s="72"/>
      <c r="Y100" s="41"/>
      <c r="Z100" s="41"/>
      <c r="AA100" s="41"/>
      <c r="AB100" s="63"/>
      <c r="AC100" s="41"/>
      <c r="AD100" s="41"/>
      <c r="AE100" s="64"/>
      <c r="AF100" s="41"/>
      <c r="AG100" s="64"/>
      <c r="AH100" s="41"/>
      <c r="AI100" s="41"/>
      <c r="AJ100" s="41"/>
      <c r="AK100" s="41"/>
      <c r="AL100" s="41"/>
      <c r="AM100" s="41"/>
      <c r="AN100" s="41"/>
      <c r="AO100" s="41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5"/>
      <c r="BB100" s="65"/>
      <c r="BC100" s="65"/>
      <c r="BD100" s="65"/>
    </row>
    <row r="101" spans="2:56" ht="16.5" customHeight="1" thickBot="1" x14ac:dyDescent="0.3">
      <c r="B101" s="1" t="s">
        <v>2</v>
      </c>
      <c r="C101" s="14">
        <f t="shared" si="10"/>
        <v>0</v>
      </c>
      <c r="E101" s="1" t="s">
        <v>2</v>
      </c>
      <c r="F101" s="72"/>
      <c r="G101" s="41"/>
      <c r="H101" s="41"/>
      <c r="I101" s="64"/>
      <c r="J101" s="63"/>
      <c r="K101" s="41"/>
      <c r="L101" s="41"/>
      <c r="M101" s="41"/>
      <c r="N101" s="63"/>
      <c r="O101" s="64"/>
      <c r="P101" s="63"/>
      <c r="Q101" s="41"/>
      <c r="R101" s="41"/>
      <c r="S101" s="41"/>
      <c r="T101" s="41"/>
      <c r="U101" s="41"/>
      <c r="V101" s="41"/>
      <c r="W101" s="64"/>
      <c r="X101" s="72"/>
      <c r="Y101" s="41"/>
      <c r="Z101" s="41"/>
      <c r="AA101" s="41"/>
      <c r="AB101" s="63"/>
      <c r="AC101" s="41"/>
      <c r="AD101" s="41"/>
      <c r="AE101" s="64"/>
      <c r="AF101" s="41"/>
      <c r="AG101" s="64"/>
      <c r="AH101" s="41"/>
      <c r="AI101" s="41"/>
      <c r="AJ101" s="41"/>
      <c r="AK101" s="41"/>
      <c r="AL101" s="41"/>
      <c r="AM101" s="41"/>
      <c r="AN101" s="41"/>
      <c r="AO101" s="41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5"/>
      <c r="BB101" s="65"/>
      <c r="BC101" s="65"/>
      <c r="BD101" s="65"/>
    </row>
    <row r="102" spans="2:56" ht="16.5" customHeight="1" thickBot="1" x14ac:dyDescent="0.3">
      <c r="B102" s="1" t="s">
        <v>3</v>
      </c>
      <c r="C102" s="15">
        <f t="shared" si="10"/>
        <v>0</v>
      </c>
      <c r="E102" s="1" t="s">
        <v>3</v>
      </c>
      <c r="F102" s="73"/>
      <c r="G102" s="67"/>
      <c r="H102" s="67"/>
      <c r="I102" s="68"/>
      <c r="J102" s="66"/>
      <c r="K102" s="67"/>
      <c r="L102" s="67"/>
      <c r="M102" s="67"/>
      <c r="N102" s="66"/>
      <c r="O102" s="68"/>
      <c r="P102" s="66"/>
      <c r="Q102" s="67"/>
      <c r="R102" s="67"/>
      <c r="S102" s="67"/>
      <c r="T102" s="67"/>
      <c r="U102" s="67"/>
      <c r="V102" s="67"/>
      <c r="W102" s="68"/>
      <c r="X102" s="73"/>
      <c r="Y102" s="67"/>
      <c r="Z102" s="67"/>
      <c r="AA102" s="67"/>
      <c r="AB102" s="66"/>
      <c r="AC102" s="67"/>
      <c r="AD102" s="67"/>
      <c r="AE102" s="68"/>
      <c r="AF102" s="67"/>
      <c r="AG102" s="68"/>
      <c r="AH102" s="67"/>
      <c r="AI102" s="67"/>
      <c r="AJ102" s="67"/>
      <c r="AK102" s="67"/>
      <c r="AL102" s="67"/>
      <c r="AM102" s="67"/>
      <c r="AN102" s="67"/>
      <c r="AO102" s="67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9"/>
      <c r="BB102" s="69"/>
      <c r="BC102" s="69"/>
      <c r="BD102" s="69"/>
    </row>
    <row r="103" spans="2:56" ht="21" customHeight="1" x14ac:dyDescent="0.25">
      <c r="B103" s="2"/>
      <c r="C103" s="8">
        <f>SUM(C99:C102)</f>
        <v>0</v>
      </c>
      <c r="F103" s="74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74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</row>
    <row r="104" spans="2:56" x14ac:dyDescent="0.25"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</row>
    <row r="105" spans="2:56" ht="15.75" x14ac:dyDescent="0.25">
      <c r="F105" s="82" t="s">
        <v>17</v>
      </c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3" t="s">
        <v>16</v>
      </c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79"/>
      <c r="AQ105" s="79"/>
      <c r="AR105" s="79"/>
      <c r="AS105" s="79"/>
      <c r="AT105" s="79"/>
      <c r="AU105" s="41"/>
      <c r="AV105" s="41"/>
      <c r="AW105" s="41"/>
      <c r="AX105" s="41"/>
      <c r="AY105" s="41"/>
      <c r="AZ105" s="41"/>
      <c r="BA105" s="41"/>
    </row>
    <row r="106" spans="2:56" ht="32.25" thickBot="1" x14ac:dyDescent="0.3">
      <c r="F106" s="81" t="s">
        <v>9</v>
      </c>
      <c r="G106" s="81"/>
      <c r="H106" s="81"/>
      <c r="I106" s="81"/>
      <c r="J106" s="81" t="s">
        <v>10</v>
      </c>
      <c r="K106" s="81"/>
      <c r="L106" s="81"/>
      <c r="M106" s="81"/>
      <c r="N106" s="81" t="s">
        <v>49</v>
      </c>
      <c r="O106" s="81"/>
      <c r="P106" s="81" t="s">
        <v>11</v>
      </c>
      <c r="Q106" s="81"/>
      <c r="R106" s="81"/>
      <c r="S106" s="81"/>
      <c r="T106" s="81"/>
      <c r="U106" s="81"/>
      <c r="V106" s="81"/>
      <c r="W106" s="81"/>
      <c r="X106" s="81" t="s">
        <v>9</v>
      </c>
      <c r="Y106" s="81"/>
      <c r="Z106" s="81"/>
      <c r="AA106" s="81"/>
      <c r="AB106" s="81" t="s">
        <v>10</v>
      </c>
      <c r="AC106" s="81"/>
      <c r="AD106" s="81"/>
      <c r="AE106" s="81"/>
      <c r="AF106" s="81" t="s">
        <v>49</v>
      </c>
      <c r="AG106" s="81"/>
      <c r="AH106" s="81" t="s">
        <v>11</v>
      </c>
      <c r="AI106" s="81"/>
      <c r="AJ106" s="81"/>
      <c r="AK106" s="81"/>
      <c r="AL106" s="81"/>
      <c r="AM106" s="81"/>
      <c r="AN106" s="81"/>
      <c r="AO106" s="81"/>
      <c r="AP106" s="70" t="s">
        <v>50</v>
      </c>
      <c r="AQ106" s="70" t="s">
        <v>57</v>
      </c>
      <c r="AR106" s="70" t="s">
        <v>63</v>
      </c>
      <c r="AS106" s="70" t="s">
        <v>64</v>
      </c>
      <c r="AT106" s="70" t="s">
        <v>61</v>
      </c>
      <c r="AU106" s="70" t="s">
        <v>54</v>
      </c>
      <c r="AV106" s="70" t="s">
        <v>19</v>
      </c>
      <c r="AW106" s="70" t="s">
        <v>58</v>
      </c>
      <c r="AX106" s="70" t="s">
        <v>51</v>
      </c>
      <c r="AY106" s="70" t="s">
        <v>53</v>
      </c>
      <c r="AZ106" s="70" t="s">
        <v>52</v>
      </c>
      <c r="BA106" s="70" t="s">
        <v>55</v>
      </c>
      <c r="BB106" s="70" t="s">
        <v>56</v>
      </c>
      <c r="BC106" s="70" t="s">
        <v>59</v>
      </c>
      <c r="BD106" s="70" t="s">
        <v>60</v>
      </c>
    </row>
    <row r="107" spans="2:56" ht="16.5" thickBot="1" x14ac:dyDescent="0.3">
      <c r="B107" s="16">
        <v>0.11458333333333333</v>
      </c>
      <c r="C107" s="7" t="s">
        <v>5</v>
      </c>
      <c r="E107" s="11"/>
      <c r="F107" s="75" t="s">
        <v>15</v>
      </c>
      <c r="G107" s="58" t="s">
        <v>12</v>
      </c>
      <c r="H107" s="58" t="s">
        <v>14</v>
      </c>
      <c r="I107" s="58" t="s">
        <v>13</v>
      </c>
      <c r="J107" s="58" t="s">
        <v>42</v>
      </c>
      <c r="K107" s="58" t="s">
        <v>41</v>
      </c>
      <c r="L107" s="58" t="s">
        <v>43</v>
      </c>
      <c r="M107" s="58" t="s">
        <v>44</v>
      </c>
      <c r="N107" s="58" t="s">
        <v>15</v>
      </c>
      <c r="O107" s="58" t="s">
        <v>14</v>
      </c>
      <c r="P107" s="58" t="s">
        <v>45</v>
      </c>
      <c r="Q107" s="58" t="s">
        <v>46</v>
      </c>
      <c r="R107" s="58" t="s">
        <v>42</v>
      </c>
      <c r="S107" s="58" t="s">
        <v>41</v>
      </c>
      <c r="T107" s="58" t="s">
        <v>47</v>
      </c>
      <c r="U107" s="58" t="s">
        <v>48</v>
      </c>
      <c r="V107" s="58" t="s">
        <v>43</v>
      </c>
      <c r="W107" s="58" t="s">
        <v>44</v>
      </c>
      <c r="X107" s="75" t="s">
        <v>15</v>
      </c>
      <c r="Y107" s="58" t="s">
        <v>12</v>
      </c>
      <c r="Z107" s="58" t="s">
        <v>14</v>
      </c>
      <c r="AA107" s="58" t="s">
        <v>13</v>
      </c>
      <c r="AB107" s="58" t="s">
        <v>42</v>
      </c>
      <c r="AC107" s="58" t="s">
        <v>41</v>
      </c>
      <c r="AD107" s="58" t="s">
        <v>43</v>
      </c>
      <c r="AE107" s="58" t="s">
        <v>44</v>
      </c>
      <c r="AF107" s="58" t="s">
        <v>15</v>
      </c>
      <c r="AG107" s="58" t="s">
        <v>14</v>
      </c>
      <c r="AH107" s="58" t="s">
        <v>45</v>
      </c>
      <c r="AI107" s="58" t="s">
        <v>46</v>
      </c>
      <c r="AJ107" s="58" t="s">
        <v>42</v>
      </c>
      <c r="AK107" s="58" t="s">
        <v>41</v>
      </c>
      <c r="AL107" s="58" t="s">
        <v>47</v>
      </c>
      <c r="AM107" s="58" t="s">
        <v>48</v>
      </c>
      <c r="AN107" s="58" t="s">
        <v>43</v>
      </c>
      <c r="AO107" s="58" t="s">
        <v>44</v>
      </c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</row>
    <row r="108" spans="2:56" ht="16.5" customHeight="1" thickBot="1" x14ac:dyDescent="0.3">
      <c r="B108" s="1" t="s">
        <v>0</v>
      </c>
      <c r="C108" s="13">
        <f>SUM(F108:W108)</f>
        <v>0</v>
      </c>
      <c r="E108" s="10" t="s">
        <v>0</v>
      </c>
      <c r="F108" s="71"/>
      <c r="G108" s="60"/>
      <c r="H108" s="60"/>
      <c r="I108" s="61"/>
      <c r="J108" s="59"/>
      <c r="K108" s="60"/>
      <c r="L108" s="60"/>
      <c r="M108" s="60"/>
      <c r="N108" s="59"/>
      <c r="O108" s="61"/>
      <c r="P108" s="59"/>
      <c r="Q108" s="60"/>
      <c r="R108" s="60"/>
      <c r="S108" s="60"/>
      <c r="T108" s="60"/>
      <c r="U108" s="60"/>
      <c r="V108" s="60"/>
      <c r="W108" s="61"/>
      <c r="X108" s="71"/>
      <c r="Y108" s="60"/>
      <c r="Z108" s="60"/>
      <c r="AA108" s="60"/>
      <c r="AB108" s="59"/>
      <c r="AC108" s="60"/>
      <c r="AD108" s="60"/>
      <c r="AE108" s="61"/>
      <c r="AF108" s="60"/>
      <c r="AG108" s="61"/>
      <c r="AH108" s="60"/>
      <c r="AI108" s="60"/>
      <c r="AJ108" s="60"/>
      <c r="AK108" s="60"/>
      <c r="AL108" s="60"/>
      <c r="AM108" s="60"/>
      <c r="AN108" s="60"/>
      <c r="AO108" s="60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62"/>
      <c r="BB108" s="62"/>
      <c r="BC108" s="62"/>
      <c r="BD108" s="62"/>
    </row>
    <row r="109" spans="2:56" ht="16.5" customHeight="1" thickBot="1" x14ac:dyDescent="0.3">
      <c r="B109" s="1" t="s">
        <v>1</v>
      </c>
      <c r="C109" s="14">
        <f t="shared" ref="C109:C111" si="11">SUM(F109:W109)</f>
        <v>0</v>
      </c>
      <c r="E109" s="1" t="s">
        <v>1</v>
      </c>
      <c r="F109" s="72"/>
      <c r="G109" s="41"/>
      <c r="H109" s="41"/>
      <c r="I109" s="64"/>
      <c r="J109" s="63"/>
      <c r="K109" s="41"/>
      <c r="L109" s="41"/>
      <c r="M109" s="41"/>
      <c r="N109" s="63"/>
      <c r="O109" s="64"/>
      <c r="P109" s="63"/>
      <c r="Q109" s="41"/>
      <c r="R109" s="41"/>
      <c r="S109" s="41"/>
      <c r="T109" s="41"/>
      <c r="U109" s="41"/>
      <c r="V109" s="41"/>
      <c r="W109" s="64"/>
      <c r="X109" s="72"/>
      <c r="Y109" s="41"/>
      <c r="Z109" s="41"/>
      <c r="AA109" s="41"/>
      <c r="AB109" s="63"/>
      <c r="AC109" s="41"/>
      <c r="AD109" s="41"/>
      <c r="AE109" s="64"/>
      <c r="AF109" s="41"/>
      <c r="AG109" s="64"/>
      <c r="AH109" s="41"/>
      <c r="AI109" s="41"/>
      <c r="AJ109" s="41"/>
      <c r="AK109" s="41"/>
      <c r="AL109" s="41"/>
      <c r="AM109" s="41"/>
      <c r="AN109" s="41"/>
      <c r="AO109" s="41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5"/>
      <c r="BB109" s="65"/>
      <c r="BC109" s="65"/>
      <c r="BD109" s="65"/>
    </row>
    <row r="110" spans="2:56" ht="16.5" customHeight="1" thickBot="1" x14ac:dyDescent="0.3">
      <c r="B110" s="1" t="s">
        <v>2</v>
      </c>
      <c r="C110" s="14">
        <f t="shared" si="11"/>
        <v>0</v>
      </c>
      <c r="E110" s="1" t="s">
        <v>2</v>
      </c>
      <c r="F110" s="72"/>
      <c r="G110" s="41"/>
      <c r="H110" s="41"/>
      <c r="I110" s="64"/>
      <c r="J110" s="63"/>
      <c r="K110" s="41"/>
      <c r="L110" s="41"/>
      <c r="M110" s="41"/>
      <c r="N110" s="63"/>
      <c r="O110" s="64"/>
      <c r="P110" s="63"/>
      <c r="Q110" s="41"/>
      <c r="R110" s="41"/>
      <c r="S110" s="41"/>
      <c r="T110" s="41"/>
      <c r="U110" s="41"/>
      <c r="V110" s="41"/>
      <c r="W110" s="64"/>
      <c r="X110" s="72"/>
      <c r="Y110" s="41"/>
      <c r="Z110" s="41"/>
      <c r="AA110" s="41"/>
      <c r="AB110" s="63"/>
      <c r="AC110" s="41"/>
      <c r="AD110" s="41"/>
      <c r="AE110" s="64"/>
      <c r="AF110" s="41"/>
      <c r="AG110" s="64"/>
      <c r="AH110" s="41"/>
      <c r="AI110" s="41"/>
      <c r="AJ110" s="41"/>
      <c r="AK110" s="41"/>
      <c r="AL110" s="41"/>
      <c r="AM110" s="41"/>
      <c r="AN110" s="41"/>
      <c r="AO110" s="41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5"/>
      <c r="BB110" s="65"/>
      <c r="BC110" s="65"/>
      <c r="BD110" s="65"/>
    </row>
    <row r="111" spans="2:56" ht="16.5" customHeight="1" thickBot="1" x14ac:dyDescent="0.3">
      <c r="B111" s="1" t="s">
        <v>3</v>
      </c>
      <c r="C111" s="15">
        <f t="shared" si="11"/>
        <v>0</v>
      </c>
      <c r="E111" s="1" t="s">
        <v>3</v>
      </c>
      <c r="F111" s="73"/>
      <c r="G111" s="67"/>
      <c r="H111" s="67"/>
      <c r="I111" s="68"/>
      <c r="J111" s="66"/>
      <c r="K111" s="67"/>
      <c r="L111" s="67"/>
      <c r="M111" s="67"/>
      <c r="N111" s="66"/>
      <c r="O111" s="68"/>
      <c r="P111" s="66"/>
      <c r="Q111" s="67"/>
      <c r="R111" s="67"/>
      <c r="S111" s="67"/>
      <c r="T111" s="67"/>
      <c r="U111" s="67"/>
      <c r="V111" s="67"/>
      <c r="W111" s="68"/>
      <c r="X111" s="73"/>
      <c r="Y111" s="67"/>
      <c r="Z111" s="67"/>
      <c r="AA111" s="67"/>
      <c r="AB111" s="66"/>
      <c r="AC111" s="67"/>
      <c r="AD111" s="67"/>
      <c r="AE111" s="68"/>
      <c r="AF111" s="67"/>
      <c r="AG111" s="68"/>
      <c r="AH111" s="67"/>
      <c r="AI111" s="67"/>
      <c r="AJ111" s="67"/>
      <c r="AK111" s="67"/>
      <c r="AL111" s="67"/>
      <c r="AM111" s="67"/>
      <c r="AN111" s="67"/>
      <c r="AO111" s="67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9"/>
      <c r="BB111" s="69"/>
      <c r="BC111" s="69"/>
      <c r="BD111" s="69"/>
    </row>
    <row r="112" spans="2:56" ht="21" customHeight="1" x14ac:dyDescent="0.25">
      <c r="B112" s="2"/>
      <c r="C112" s="8">
        <f>SUM(C108:C111)</f>
        <v>0</v>
      </c>
      <c r="F112" s="74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74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</row>
    <row r="113" spans="2:56" x14ac:dyDescent="0.25"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</row>
    <row r="114" spans="2:56" ht="15.75" x14ac:dyDescent="0.25">
      <c r="F114" s="82" t="s">
        <v>17</v>
      </c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3" t="s">
        <v>16</v>
      </c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79"/>
      <c r="AQ114" s="79"/>
      <c r="AR114" s="79"/>
      <c r="AS114" s="79"/>
      <c r="AT114" s="79"/>
      <c r="AU114" s="41"/>
      <c r="AV114" s="41"/>
      <c r="AW114" s="41"/>
      <c r="AX114" s="41"/>
      <c r="AY114" s="41"/>
      <c r="AZ114" s="41"/>
      <c r="BA114" s="41"/>
    </row>
    <row r="115" spans="2:56" ht="32.25" thickBot="1" x14ac:dyDescent="0.3">
      <c r="F115" s="81" t="s">
        <v>9</v>
      </c>
      <c r="G115" s="81"/>
      <c r="H115" s="81"/>
      <c r="I115" s="81"/>
      <c r="J115" s="81" t="s">
        <v>10</v>
      </c>
      <c r="K115" s="81"/>
      <c r="L115" s="81"/>
      <c r="M115" s="81"/>
      <c r="N115" s="81" t="s">
        <v>49</v>
      </c>
      <c r="O115" s="81"/>
      <c r="P115" s="81" t="s">
        <v>11</v>
      </c>
      <c r="Q115" s="81"/>
      <c r="R115" s="81"/>
      <c r="S115" s="81"/>
      <c r="T115" s="81"/>
      <c r="U115" s="81"/>
      <c r="V115" s="81"/>
      <c r="W115" s="81"/>
      <c r="X115" s="81" t="s">
        <v>9</v>
      </c>
      <c r="Y115" s="81"/>
      <c r="Z115" s="81"/>
      <c r="AA115" s="81"/>
      <c r="AB115" s="81" t="s">
        <v>10</v>
      </c>
      <c r="AC115" s="81"/>
      <c r="AD115" s="81"/>
      <c r="AE115" s="81"/>
      <c r="AF115" s="81" t="s">
        <v>49</v>
      </c>
      <c r="AG115" s="81"/>
      <c r="AH115" s="81" t="s">
        <v>11</v>
      </c>
      <c r="AI115" s="81"/>
      <c r="AJ115" s="81"/>
      <c r="AK115" s="81"/>
      <c r="AL115" s="81"/>
      <c r="AM115" s="81"/>
      <c r="AN115" s="81"/>
      <c r="AO115" s="81"/>
      <c r="AP115" s="70" t="s">
        <v>50</v>
      </c>
      <c r="AQ115" s="70" t="s">
        <v>57</v>
      </c>
      <c r="AR115" s="70" t="s">
        <v>63</v>
      </c>
      <c r="AS115" s="70" t="s">
        <v>64</v>
      </c>
      <c r="AT115" s="70" t="s">
        <v>61</v>
      </c>
      <c r="AU115" s="70" t="s">
        <v>54</v>
      </c>
      <c r="AV115" s="70" t="s">
        <v>19</v>
      </c>
      <c r="AW115" s="70" t="s">
        <v>58</v>
      </c>
      <c r="AX115" s="70" t="s">
        <v>51</v>
      </c>
      <c r="AY115" s="70" t="s">
        <v>53</v>
      </c>
      <c r="AZ115" s="70" t="s">
        <v>52</v>
      </c>
      <c r="BA115" s="70" t="s">
        <v>55</v>
      </c>
      <c r="BB115" s="70" t="s">
        <v>56</v>
      </c>
      <c r="BC115" s="70" t="s">
        <v>59</v>
      </c>
      <c r="BD115" s="70" t="s">
        <v>60</v>
      </c>
    </row>
    <row r="116" spans="2:56" ht="16.5" thickBot="1" x14ac:dyDescent="0.3">
      <c r="B116" s="17">
        <v>0.125</v>
      </c>
      <c r="C116" s="7" t="s">
        <v>5</v>
      </c>
      <c r="E116" s="11"/>
      <c r="F116" s="75" t="s">
        <v>15</v>
      </c>
      <c r="G116" s="58" t="s">
        <v>12</v>
      </c>
      <c r="H116" s="58" t="s">
        <v>14</v>
      </c>
      <c r="I116" s="58" t="s">
        <v>13</v>
      </c>
      <c r="J116" s="58" t="s">
        <v>42</v>
      </c>
      <c r="K116" s="58" t="s">
        <v>41</v>
      </c>
      <c r="L116" s="58" t="s">
        <v>43</v>
      </c>
      <c r="M116" s="58" t="s">
        <v>44</v>
      </c>
      <c r="N116" s="58" t="s">
        <v>15</v>
      </c>
      <c r="O116" s="58" t="s">
        <v>14</v>
      </c>
      <c r="P116" s="58" t="s">
        <v>45</v>
      </c>
      <c r="Q116" s="58" t="s">
        <v>46</v>
      </c>
      <c r="R116" s="58" t="s">
        <v>42</v>
      </c>
      <c r="S116" s="58" t="s">
        <v>41</v>
      </c>
      <c r="T116" s="58" t="s">
        <v>47</v>
      </c>
      <c r="U116" s="58" t="s">
        <v>48</v>
      </c>
      <c r="V116" s="58" t="s">
        <v>43</v>
      </c>
      <c r="W116" s="58" t="s">
        <v>44</v>
      </c>
      <c r="X116" s="75" t="s">
        <v>15</v>
      </c>
      <c r="Y116" s="58" t="s">
        <v>12</v>
      </c>
      <c r="Z116" s="58" t="s">
        <v>14</v>
      </c>
      <c r="AA116" s="58" t="s">
        <v>13</v>
      </c>
      <c r="AB116" s="58" t="s">
        <v>42</v>
      </c>
      <c r="AC116" s="58" t="s">
        <v>41</v>
      </c>
      <c r="AD116" s="58" t="s">
        <v>43</v>
      </c>
      <c r="AE116" s="58" t="s">
        <v>44</v>
      </c>
      <c r="AF116" s="58" t="s">
        <v>15</v>
      </c>
      <c r="AG116" s="58" t="s">
        <v>14</v>
      </c>
      <c r="AH116" s="58" t="s">
        <v>45</v>
      </c>
      <c r="AI116" s="58" t="s">
        <v>46</v>
      </c>
      <c r="AJ116" s="58" t="s">
        <v>42</v>
      </c>
      <c r="AK116" s="58" t="s">
        <v>41</v>
      </c>
      <c r="AL116" s="58" t="s">
        <v>47</v>
      </c>
      <c r="AM116" s="58" t="s">
        <v>48</v>
      </c>
      <c r="AN116" s="58" t="s">
        <v>43</v>
      </c>
      <c r="AO116" s="58" t="s">
        <v>44</v>
      </c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</row>
    <row r="117" spans="2:56" ht="16.5" customHeight="1" thickBot="1" x14ac:dyDescent="0.3">
      <c r="B117" s="1" t="s">
        <v>0</v>
      </c>
      <c r="C117" s="13">
        <f>SUM(F117:W117)</f>
        <v>0</v>
      </c>
      <c r="E117" s="10" t="s">
        <v>0</v>
      </c>
      <c r="F117" s="71"/>
      <c r="G117" s="60"/>
      <c r="H117" s="60"/>
      <c r="I117" s="61"/>
      <c r="J117" s="59"/>
      <c r="K117" s="60"/>
      <c r="L117" s="60"/>
      <c r="M117" s="60"/>
      <c r="N117" s="59"/>
      <c r="O117" s="61"/>
      <c r="P117" s="59"/>
      <c r="Q117" s="60"/>
      <c r="R117" s="60"/>
      <c r="S117" s="60"/>
      <c r="T117" s="60"/>
      <c r="U117" s="60"/>
      <c r="V117" s="60"/>
      <c r="W117" s="61"/>
      <c r="X117" s="71"/>
      <c r="Y117" s="60"/>
      <c r="Z117" s="60"/>
      <c r="AA117" s="60"/>
      <c r="AB117" s="59"/>
      <c r="AC117" s="60"/>
      <c r="AD117" s="60"/>
      <c r="AE117" s="61"/>
      <c r="AF117" s="60"/>
      <c r="AG117" s="61"/>
      <c r="AH117" s="60"/>
      <c r="AI117" s="60"/>
      <c r="AJ117" s="60"/>
      <c r="AK117" s="60"/>
      <c r="AL117" s="60"/>
      <c r="AM117" s="60"/>
      <c r="AN117" s="60"/>
      <c r="AO117" s="60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62"/>
      <c r="BB117" s="62"/>
      <c r="BC117" s="62"/>
      <c r="BD117" s="62"/>
    </row>
    <row r="118" spans="2:56" ht="16.5" customHeight="1" thickBot="1" x14ac:dyDescent="0.3">
      <c r="B118" s="1" t="s">
        <v>1</v>
      </c>
      <c r="C118" s="14">
        <f t="shared" ref="C118:C120" si="12">SUM(F118:W118)</f>
        <v>0</v>
      </c>
      <c r="E118" s="1" t="s">
        <v>1</v>
      </c>
      <c r="F118" s="72"/>
      <c r="G118" s="41"/>
      <c r="H118" s="41"/>
      <c r="I118" s="64"/>
      <c r="J118" s="63"/>
      <c r="K118" s="41"/>
      <c r="L118" s="41"/>
      <c r="M118" s="41"/>
      <c r="N118" s="63"/>
      <c r="O118" s="64"/>
      <c r="P118" s="63"/>
      <c r="Q118" s="41"/>
      <c r="R118" s="41"/>
      <c r="S118" s="41"/>
      <c r="T118" s="41"/>
      <c r="U118" s="41"/>
      <c r="V118" s="41"/>
      <c r="W118" s="64"/>
      <c r="X118" s="72"/>
      <c r="Y118" s="41"/>
      <c r="Z118" s="41"/>
      <c r="AA118" s="41"/>
      <c r="AB118" s="63"/>
      <c r="AC118" s="41"/>
      <c r="AD118" s="41"/>
      <c r="AE118" s="64"/>
      <c r="AF118" s="41"/>
      <c r="AG118" s="64"/>
      <c r="AH118" s="41"/>
      <c r="AI118" s="41"/>
      <c r="AJ118" s="41"/>
      <c r="AK118" s="41"/>
      <c r="AL118" s="41"/>
      <c r="AM118" s="41"/>
      <c r="AN118" s="41"/>
      <c r="AO118" s="41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5"/>
      <c r="BB118" s="65"/>
      <c r="BC118" s="65"/>
      <c r="BD118" s="65"/>
    </row>
    <row r="119" spans="2:56" ht="16.5" customHeight="1" thickBot="1" x14ac:dyDescent="0.3">
      <c r="B119" s="1" t="s">
        <v>2</v>
      </c>
      <c r="C119" s="14">
        <f t="shared" si="12"/>
        <v>0</v>
      </c>
      <c r="E119" s="1" t="s">
        <v>2</v>
      </c>
      <c r="F119" s="72"/>
      <c r="G119" s="41"/>
      <c r="H119" s="41"/>
      <c r="I119" s="64"/>
      <c r="J119" s="63"/>
      <c r="K119" s="41"/>
      <c r="L119" s="41"/>
      <c r="M119" s="41"/>
      <c r="N119" s="63"/>
      <c r="O119" s="64"/>
      <c r="P119" s="63"/>
      <c r="Q119" s="41"/>
      <c r="R119" s="41"/>
      <c r="S119" s="41"/>
      <c r="T119" s="41"/>
      <c r="U119" s="41"/>
      <c r="V119" s="41"/>
      <c r="W119" s="64"/>
      <c r="X119" s="72"/>
      <c r="Y119" s="41"/>
      <c r="Z119" s="41"/>
      <c r="AA119" s="41"/>
      <c r="AB119" s="63"/>
      <c r="AC119" s="41"/>
      <c r="AD119" s="41"/>
      <c r="AE119" s="64"/>
      <c r="AF119" s="41"/>
      <c r="AG119" s="64"/>
      <c r="AH119" s="41"/>
      <c r="AI119" s="41"/>
      <c r="AJ119" s="41"/>
      <c r="AK119" s="41"/>
      <c r="AL119" s="41"/>
      <c r="AM119" s="41"/>
      <c r="AN119" s="41"/>
      <c r="AO119" s="41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5"/>
      <c r="BB119" s="65"/>
      <c r="BC119" s="65"/>
      <c r="BD119" s="65"/>
    </row>
    <row r="120" spans="2:56" ht="16.5" customHeight="1" thickBot="1" x14ac:dyDescent="0.3">
      <c r="B120" s="1" t="s">
        <v>3</v>
      </c>
      <c r="C120" s="15">
        <f t="shared" si="12"/>
        <v>0</v>
      </c>
      <c r="E120" s="1" t="s">
        <v>3</v>
      </c>
      <c r="F120" s="73"/>
      <c r="G120" s="67"/>
      <c r="H120" s="67"/>
      <c r="I120" s="68"/>
      <c r="J120" s="66"/>
      <c r="K120" s="67"/>
      <c r="L120" s="67"/>
      <c r="M120" s="67"/>
      <c r="N120" s="66"/>
      <c r="O120" s="68"/>
      <c r="P120" s="66"/>
      <c r="Q120" s="67"/>
      <c r="R120" s="67"/>
      <c r="S120" s="67"/>
      <c r="T120" s="67"/>
      <c r="U120" s="67"/>
      <c r="V120" s="67"/>
      <c r="W120" s="68"/>
      <c r="X120" s="73"/>
      <c r="Y120" s="67"/>
      <c r="Z120" s="67"/>
      <c r="AA120" s="67"/>
      <c r="AB120" s="66"/>
      <c r="AC120" s="67"/>
      <c r="AD120" s="67"/>
      <c r="AE120" s="68"/>
      <c r="AF120" s="67"/>
      <c r="AG120" s="68"/>
      <c r="AH120" s="67"/>
      <c r="AI120" s="67"/>
      <c r="AJ120" s="67"/>
      <c r="AK120" s="67"/>
      <c r="AL120" s="67"/>
      <c r="AM120" s="67"/>
      <c r="AN120" s="67"/>
      <c r="AO120" s="67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9"/>
      <c r="BB120" s="69"/>
      <c r="BC120" s="69"/>
      <c r="BD120" s="69"/>
    </row>
    <row r="121" spans="2:56" ht="21" customHeight="1" x14ac:dyDescent="0.25">
      <c r="B121" s="2"/>
      <c r="C121" s="8">
        <f>SUM(C117:C120)</f>
        <v>0</v>
      </c>
      <c r="F121" s="74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74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</row>
    <row r="122" spans="2:56" x14ac:dyDescent="0.25"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</row>
    <row r="123" spans="2:56" ht="15.75" x14ac:dyDescent="0.25">
      <c r="F123" s="82" t="s">
        <v>17</v>
      </c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3" t="s">
        <v>16</v>
      </c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79"/>
      <c r="AQ123" s="79"/>
      <c r="AR123" s="79"/>
      <c r="AS123" s="79"/>
      <c r="AT123" s="79"/>
      <c r="AU123" s="41"/>
      <c r="AV123" s="41"/>
      <c r="AW123" s="41"/>
      <c r="AX123" s="41"/>
      <c r="AY123" s="41"/>
      <c r="AZ123" s="41"/>
      <c r="BA123" s="41"/>
    </row>
    <row r="124" spans="2:56" ht="32.25" thickBot="1" x14ac:dyDescent="0.3">
      <c r="F124" s="81" t="s">
        <v>9</v>
      </c>
      <c r="G124" s="81"/>
      <c r="H124" s="81"/>
      <c r="I124" s="81"/>
      <c r="J124" s="81" t="s">
        <v>10</v>
      </c>
      <c r="K124" s="81"/>
      <c r="L124" s="81"/>
      <c r="M124" s="81"/>
      <c r="N124" s="81" t="s">
        <v>49</v>
      </c>
      <c r="O124" s="81"/>
      <c r="P124" s="81" t="s">
        <v>11</v>
      </c>
      <c r="Q124" s="81"/>
      <c r="R124" s="81"/>
      <c r="S124" s="81"/>
      <c r="T124" s="81"/>
      <c r="U124" s="81"/>
      <c r="V124" s="81"/>
      <c r="W124" s="81"/>
      <c r="X124" s="81" t="s">
        <v>9</v>
      </c>
      <c r="Y124" s="81"/>
      <c r="Z124" s="81"/>
      <c r="AA124" s="81"/>
      <c r="AB124" s="81" t="s">
        <v>10</v>
      </c>
      <c r="AC124" s="81"/>
      <c r="AD124" s="81"/>
      <c r="AE124" s="81"/>
      <c r="AF124" s="81" t="s">
        <v>49</v>
      </c>
      <c r="AG124" s="81"/>
      <c r="AH124" s="81" t="s">
        <v>11</v>
      </c>
      <c r="AI124" s="81"/>
      <c r="AJ124" s="81"/>
      <c r="AK124" s="81"/>
      <c r="AL124" s="81"/>
      <c r="AM124" s="81"/>
      <c r="AN124" s="81"/>
      <c r="AO124" s="81"/>
      <c r="AP124" s="70" t="s">
        <v>50</v>
      </c>
      <c r="AQ124" s="70" t="s">
        <v>57</v>
      </c>
      <c r="AR124" s="70" t="s">
        <v>63</v>
      </c>
      <c r="AS124" s="70" t="s">
        <v>64</v>
      </c>
      <c r="AT124" s="70" t="s">
        <v>61</v>
      </c>
      <c r="AU124" s="70" t="s">
        <v>54</v>
      </c>
      <c r="AV124" s="70" t="s">
        <v>19</v>
      </c>
      <c r="AW124" s="70" t="s">
        <v>58</v>
      </c>
      <c r="AX124" s="70" t="s">
        <v>51</v>
      </c>
      <c r="AY124" s="70" t="s">
        <v>53</v>
      </c>
      <c r="AZ124" s="70" t="s">
        <v>52</v>
      </c>
      <c r="BA124" s="70" t="s">
        <v>55</v>
      </c>
      <c r="BB124" s="70" t="s">
        <v>56</v>
      </c>
      <c r="BC124" s="70" t="s">
        <v>59</v>
      </c>
      <c r="BD124" s="70" t="s">
        <v>60</v>
      </c>
    </row>
    <row r="125" spans="2:56" ht="16.5" thickBot="1" x14ac:dyDescent="0.3">
      <c r="B125" s="17">
        <v>0.13541666666666666</v>
      </c>
      <c r="C125" s="7" t="s">
        <v>5</v>
      </c>
      <c r="E125" s="11"/>
      <c r="F125" s="75" t="s">
        <v>15</v>
      </c>
      <c r="G125" s="58" t="s">
        <v>12</v>
      </c>
      <c r="H125" s="58" t="s">
        <v>14</v>
      </c>
      <c r="I125" s="58" t="s">
        <v>13</v>
      </c>
      <c r="J125" s="58" t="s">
        <v>42</v>
      </c>
      <c r="K125" s="58" t="s">
        <v>41</v>
      </c>
      <c r="L125" s="58" t="s">
        <v>43</v>
      </c>
      <c r="M125" s="58" t="s">
        <v>44</v>
      </c>
      <c r="N125" s="58" t="s">
        <v>15</v>
      </c>
      <c r="O125" s="58" t="s">
        <v>14</v>
      </c>
      <c r="P125" s="58" t="s">
        <v>45</v>
      </c>
      <c r="Q125" s="58" t="s">
        <v>46</v>
      </c>
      <c r="R125" s="58" t="s">
        <v>42</v>
      </c>
      <c r="S125" s="58" t="s">
        <v>41</v>
      </c>
      <c r="T125" s="58" t="s">
        <v>47</v>
      </c>
      <c r="U125" s="58" t="s">
        <v>48</v>
      </c>
      <c r="V125" s="58" t="s">
        <v>43</v>
      </c>
      <c r="W125" s="58" t="s">
        <v>44</v>
      </c>
      <c r="X125" s="75" t="s">
        <v>15</v>
      </c>
      <c r="Y125" s="58" t="s">
        <v>12</v>
      </c>
      <c r="Z125" s="58" t="s">
        <v>14</v>
      </c>
      <c r="AA125" s="58" t="s">
        <v>13</v>
      </c>
      <c r="AB125" s="58" t="s">
        <v>42</v>
      </c>
      <c r="AC125" s="58" t="s">
        <v>41</v>
      </c>
      <c r="AD125" s="58" t="s">
        <v>43</v>
      </c>
      <c r="AE125" s="58" t="s">
        <v>44</v>
      </c>
      <c r="AF125" s="58" t="s">
        <v>15</v>
      </c>
      <c r="AG125" s="58" t="s">
        <v>14</v>
      </c>
      <c r="AH125" s="58" t="s">
        <v>45</v>
      </c>
      <c r="AI125" s="58" t="s">
        <v>46</v>
      </c>
      <c r="AJ125" s="58" t="s">
        <v>42</v>
      </c>
      <c r="AK125" s="58" t="s">
        <v>41</v>
      </c>
      <c r="AL125" s="58" t="s">
        <v>47</v>
      </c>
      <c r="AM125" s="58" t="s">
        <v>48</v>
      </c>
      <c r="AN125" s="58" t="s">
        <v>43</v>
      </c>
      <c r="AO125" s="58" t="s">
        <v>44</v>
      </c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</row>
    <row r="126" spans="2:56" ht="16.5" customHeight="1" thickBot="1" x14ac:dyDescent="0.3">
      <c r="B126" s="1" t="s">
        <v>0</v>
      </c>
      <c r="C126" s="13">
        <f>SUM(F126:W126)</f>
        <v>0</v>
      </c>
      <c r="E126" s="10" t="s">
        <v>0</v>
      </c>
      <c r="F126" s="71"/>
      <c r="G126" s="60"/>
      <c r="H126" s="60"/>
      <c r="I126" s="61"/>
      <c r="J126" s="59"/>
      <c r="K126" s="60"/>
      <c r="L126" s="60"/>
      <c r="M126" s="60"/>
      <c r="N126" s="59"/>
      <c r="O126" s="61"/>
      <c r="P126" s="59"/>
      <c r="Q126" s="60"/>
      <c r="R126" s="60"/>
      <c r="S126" s="60"/>
      <c r="T126" s="60"/>
      <c r="U126" s="60"/>
      <c r="V126" s="60"/>
      <c r="W126" s="61"/>
      <c r="X126" s="71"/>
      <c r="Y126" s="60"/>
      <c r="Z126" s="60"/>
      <c r="AA126" s="60"/>
      <c r="AB126" s="59"/>
      <c r="AC126" s="60"/>
      <c r="AD126" s="60"/>
      <c r="AE126" s="61"/>
      <c r="AF126" s="60"/>
      <c r="AG126" s="61"/>
      <c r="AH126" s="60"/>
      <c r="AI126" s="60"/>
      <c r="AJ126" s="60"/>
      <c r="AK126" s="60"/>
      <c r="AL126" s="60"/>
      <c r="AM126" s="60"/>
      <c r="AN126" s="60"/>
      <c r="AO126" s="60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62"/>
      <c r="BB126" s="62"/>
      <c r="BC126" s="62"/>
      <c r="BD126" s="62"/>
    </row>
    <row r="127" spans="2:56" ht="16.5" customHeight="1" thickBot="1" x14ac:dyDescent="0.3">
      <c r="B127" s="1" t="s">
        <v>1</v>
      </c>
      <c r="C127" s="14">
        <f t="shared" ref="C127:C129" si="13">SUM(F127:W127)</f>
        <v>0</v>
      </c>
      <c r="E127" s="1" t="s">
        <v>1</v>
      </c>
      <c r="F127" s="72"/>
      <c r="G127" s="41"/>
      <c r="H127" s="41"/>
      <c r="I127" s="64"/>
      <c r="J127" s="63"/>
      <c r="K127" s="41"/>
      <c r="L127" s="41"/>
      <c r="M127" s="41"/>
      <c r="N127" s="63"/>
      <c r="O127" s="64"/>
      <c r="P127" s="63"/>
      <c r="Q127" s="41"/>
      <c r="R127" s="41"/>
      <c r="S127" s="41"/>
      <c r="T127" s="41"/>
      <c r="U127" s="41"/>
      <c r="V127" s="41"/>
      <c r="W127" s="64"/>
      <c r="X127" s="72"/>
      <c r="Y127" s="41"/>
      <c r="Z127" s="41"/>
      <c r="AA127" s="41"/>
      <c r="AB127" s="63"/>
      <c r="AC127" s="41"/>
      <c r="AD127" s="41"/>
      <c r="AE127" s="64"/>
      <c r="AF127" s="41"/>
      <c r="AG127" s="64"/>
      <c r="AH127" s="41"/>
      <c r="AI127" s="41"/>
      <c r="AJ127" s="41"/>
      <c r="AK127" s="41"/>
      <c r="AL127" s="41"/>
      <c r="AM127" s="41"/>
      <c r="AN127" s="41"/>
      <c r="AO127" s="41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5"/>
      <c r="BB127" s="65"/>
      <c r="BC127" s="65"/>
      <c r="BD127" s="65"/>
    </row>
    <row r="128" spans="2:56" ht="16.5" customHeight="1" thickBot="1" x14ac:dyDescent="0.3">
      <c r="B128" s="1" t="s">
        <v>2</v>
      </c>
      <c r="C128" s="14">
        <f t="shared" si="13"/>
        <v>0</v>
      </c>
      <c r="E128" s="1" t="s">
        <v>2</v>
      </c>
      <c r="F128" s="72"/>
      <c r="G128" s="41"/>
      <c r="H128" s="41"/>
      <c r="I128" s="64"/>
      <c r="J128" s="63"/>
      <c r="K128" s="41"/>
      <c r="L128" s="41"/>
      <c r="M128" s="41"/>
      <c r="N128" s="63"/>
      <c r="O128" s="64"/>
      <c r="P128" s="63"/>
      <c r="Q128" s="41"/>
      <c r="R128" s="41"/>
      <c r="S128" s="41"/>
      <c r="T128" s="41"/>
      <c r="U128" s="41"/>
      <c r="V128" s="41"/>
      <c r="W128" s="64"/>
      <c r="X128" s="72"/>
      <c r="Y128" s="41"/>
      <c r="Z128" s="41"/>
      <c r="AA128" s="41"/>
      <c r="AB128" s="63"/>
      <c r="AC128" s="41"/>
      <c r="AD128" s="41"/>
      <c r="AE128" s="64"/>
      <c r="AF128" s="41"/>
      <c r="AG128" s="64"/>
      <c r="AH128" s="41"/>
      <c r="AI128" s="41"/>
      <c r="AJ128" s="41"/>
      <c r="AK128" s="41"/>
      <c r="AL128" s="41"/>
      <c r="AM128" s="41"/>
      <c r="AN128" s="41"/>
      <c r="AO128" s="41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5"/>
      <c r="BB128" s="65"/>
      <c r="BC128" s="65"/>
      <c r="BD128" s="65"/>
    </row>
    <row r="129" spans="2:56" ht="16.5" customHeight="1" thickBot="1" x14ac:dyDescent="0.3">
      <c r="B129" s="1" t="s">
        <v>3</v>
      </c>
      <c r="C129" s="15">
        <f t="shared" si="13"/>
        <v>0</v>
      </c>
      <c r="E129" s="1" t="s">
        <v>3</v>
      </c>
      <c r="F129" s="73"/>
      <c r="G129" s="67"/>
      <c r="H129" s="67"/>
      <c r="I129" s="68"/>
      <c r="J129" s="66"/>
      <c r="K129" s="67"/>
      <c r="L129" s="67"/>
      <c r="M129" s="67"/>
      <c r="N129" s="66"/>
      <c r="O129" s="68"/>
      <c r="P129" s="66"/>
      <c r="Q129" s="67"/>
      <c r="R129" s="67"/>
      <c r="S129" s="67"/>
      <c r="T129" s="67"/>
      <c r="U129" s="67"/>
      <c r="V129" s="67"/>
      <c r="W129" s="68"/>
      <c r="X129" s="73"/>
      <c r="Y129" s="67"/>
      <c r="Z129" s="67"/>
      <c r="AA129" s="67"/>
      <c r="AB129" s="66"/>
      <c r="AC129" s="67"/>
      <c r="AD129" s="67"/>
      <c r="AE129" s="68"/>
      <c r="AF129" s="67"/>
      <c r="AG129" s="68"/>
      <c r="AH129" s="67"/>
      <c r="AI129" s="67"/>
      <c r="AJ129" s="67"/>
      <c r="AK129" s="67"/>
      <c r="AL129" s="67"/>
      <c r="AM129" s="67"/>
      <c r="AN129" s="67"/>
      <c r="AO129" s="67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9"/>
      <c r="BB129" s="69"/>
      <c r="BC129" s="69"/>
      <c r="BD129" s="69"/>
    </row>
    <row r="130" spans="2:56" ht="21" customHeight="1" x14ac:dyDescent="0.25">
      <c r="B130" s="2"/>
      <c r="C130" s="8">
        <f>SUM(C126:C129)</f>
        <v>0</v>
      </c>
      <c r="F130" s="74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74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</row>
    <row r="131" spans="2:56" x14ac:dyDescent="0.25"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</row>
    <row r="132" spans="2:56" ht="15.75" x14ac:dyDescent="0.25">
      <c r="F132" s="82" t="s">
        <v>17</v>
      </c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3" t="s">
        <v>16</v>
      </c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79"/>
      <c r="AQ132" s="79"/>
      <c r="AR132" s="79"/>
      <c r="AS132" s="79"/>
      <c r="AT132" s="79"/>
      <c r="AU132" s="41"/>
      <c r="AV132" s="41"/>
      <c r="AW132" s="41"/>
      <c r="AX132" s="41"/>
      <c r="AY132" s="41"/>
      <c r="AZ132" s="41"/>
      <c r="BA132" s="41"/>
    </row>
    <row r="133" spans="2:56" ht="32.25" thickBot="1" x14ac:dyDescent="0.3">
      <c r="F133" s="81" t="s">
        <v>9</v>
      </c>
      <c r="G133" s="81"/>
      <c r="H133" s="81"/>
      <c r="I133" s="81"/>
      <c r="J133" s="81" t="s">
        <v>10</v>
      </c>
      <c r="K133" s="81"/>
      <c r="L133" s="81"/>
      <c r="M133" s="81"/>
      <c r="N133" s="81" t="s">
        <v>49</v>
      </c>
      <c r="O133" s="81"/>
      <c r="P133" s="81" t="s">
        <v>11</v>
      </c>
      <c r="Q133" s="81"/>
      <c r="R133" s="81"/>
      <c r="S133" s="81"/>
      <c r="T133" s="81"/>
      <c r="U133" s="81"/>
      <c r="V133" s="81"/>
      <c r="W133" s="81"/>
      <c r="X133" s="81" t="s">
        <v>9</v>
      </c>
      <c r="Y133" s="81"/>
      <c r="Z133" s="81"/>
      <c r="AA133" s="81"/>
      <c r="AB133" s="81" t="s">
        <v>10</v>
      </c>
      <c r="AC133" s="81"/>
      <c r="AD133" s="81"/>
      <c r="AE133" s="81"/>
      <c r="AF133" s="81" t="s">
        <v>49</v>
      </c>
      <c r="AG133" s="81"/>
      <c r="AH133" s="81" t="s">
        <v>11</v>
      </c>
      <c r="AI133" s="81"/>
      <c r="AJ133" s="81"/>
      <c r="AK133" s="81"/>
      <c r="AL133" s="81"/>
      <c r="AM133" s="81"/>
      <c r="AN133" s="81"/>
      <c r="AO133" s="81"/>
      <c r="AP133" s="70" t="s">
        <v>50</v>
      </c>
      <c r="AQ133" s="70" t="s">
        <v>57</v>
      </c>
      <c r="AR133" s="70" t="s">
        <v>63</v>
      </c>
      <c r="AS133" s="70" t="s">
        <v>64</v>
      </c>
      <c r="AT133" s="70" t="s">
        <v>61</v>
      </c>
      <c r="AU133" s="70" t="s">
        <v>54</v>
      </c>
      <c r="AV133" s="70" t="s">
        <v>19</v>
      </c>
      <c r="AW133" s="70" t="s">
        <v>58</v>
      </c>
      <c r="AX133" s="70" t="s">
        <v>51</v>
      </c>
      <c r="AY133" s="70" t="s">
        <v>53</v>
      </c>
      <c r="AZ133" s="70" t="s">
        <v>52</v>
      </c>
      <c r="BA133" s="70" t="s">
        <v>55</v>
      </c>
      <c r="BB133" s="70" t="s">
        <v>56</v>
      </c>
      <c r="BC133" s="70" t="s">
        <v>59</v>
      </c>
      <c r="BD133" s="70" t="s">
        <v>60</v>
      </c>
    </row>
    <row r="134" spans="2:56" ht="16.5" thickBot="1" x14ac:dyDescent="0.3">
      <c r="B134" s="17">
        <v>0.14583333333333334</v>
      </c>
      <c r="C134" s="7" t="s">
        <v>5</v>
      </c>
      <c r="E134" s="11"/>
      <c r="F134" s="75" t="s">
        <v>15</v>
      </c>
      <c r="G134" s="58" t="s">
        <v>12</v>
      </c>
      <c r="H134" s="58" t="s">
        <v>14</v>
      </c>
      <c r="I134" s="58" t="s">
        <v>13</v>
      </c>
      <c r="J134" s="58" t="s">
        <v>42</v>
      </c>
      <c r="K134" s="58" t="s">
        <v>41</v>
      </c>
      <c r="L134" s="58" t="s">
        <v>43</v>
      </c>
      <c r="M134" s="58" t="s">
        <v>44</v>
      </c>
      <c r="N134" s="58" t="s">
        <v>15</v>
      </c>
      <c r="O134" s="58" t="s">
        <v>14</v>
      </c>
      <c r="P134" s="58" t="s">
        <v>45</v>
      </c>
      <c r="Q134" s="58" t="s">
        <v>46</v>
      </c>
      <c r="R134" s="58" t="s">
        <v>42</v>
      </c>
      <c r="S134" s="58" t="s">
        <v>41</v>
      </c>
      <c r="T134" s="58" t="s">
        <v>47</v>
      </c>
      <c r="U134" s="58" t="s">
        <v>48</v>
      </c>
      <c r="V134" s="58" t="s">
        <v>43</v>
      </c>
      <c r="W134" s="58" t="s">
        <v>44</v>
      </c>
      <c r="X134" s="75" t="s">
        <v>15</v>
      </c>
      <c r="Y134" s="58" t="s">
        <v>12</v>
      </c>
      <c r="Z134" s="58" t="s">
        <v>14</v>
      </c>
      <c r="AA134" s="58" t="s">
        <v>13</v>
      </c>
      <c r="AB134" s="58" t="s">
        <v>42</v>
      </c>
      <c r="AC134" s="58" t="s">
        <v>41</v>
      </c>
      <c r="AD134" s="58" t="s">
        <v>43</v>
      </c>
      <c r="AE134" s="58" t="s">
        <v>44</v>
      </c>
      <c r="AF134" s="58" t="s">
        <v>15</v>
      </c>
      <c r="AG134" s="58" t="s">
        <v>14</v>
      </c>
      <c r="AH134" s="58" t="s">
        <v>45</v>
      </c>
      <c r="AI134" s="58" t="s">
        <v>46</v>
      </c>
      <c r="AJ134" s="58" t="s">
        <v>42</v>
      </c>
      <c r="AK134" s="58" t="s">
        <v>41</v>
      </c>
      <c r="AL134" s="58" t="s">
        <v>47</v>
      </c>
      <c r="AM134" s="58" t="s">
        <v>48</v>
      </c>
      <c r="AN134" s="58" t="s">
        <v>43</v>
      </c>
      <c r="AO134" s="58" t="s">
        <v>44</v>
      </c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</row>
    <row r="135" spans="2:56" ht="16.5" customHeight="1" thickBot="1" x14ac:dyDescent="0.3">
      <c r="B135" s="1" t="s">
        <v>0</v>
      </c>
      <c r="C135" s="13">
        <f>SUM(F135:W135)</f>
        <v>0</v>
      </c>
      <c r="E135" s="10" t="s">
        <v>0</v>
      </c>
      <c r="F135" s="71"/>
      <c r="G135" s="60"/>
      <c r="H135" s="60"/>
      <c r="I135" s="61"/>
      <c r="J135" s="59"/>
      <c r="K135" s="60"/>
      <c r="L135" s="60"/>
      <c r="M135" s="60"/>
      <c r="N135" s="59"/>
      <c r="O135" s="61"/>
      <c r="P135" s="59"/>
      <c r="Q135" s="60"/>
      <c r="R135" s="60"/>
      <c r="S135" s="60"/>
      <c r="T135" s="60"/>
      <c r="U135" s="60"/>
      <c r="V135" s="60"/>
      <c r="W135" s="61"/>
      <c r="X135" s="71"/>
      <c r="Y135" s="60"/>
      <c r="Z135" s="60"/>
      <c r="AA135" s="60"/>
      <c r="AB135" s="59"/>
      <c r="AC135" s="60"/>
      <c r="AD135" s="60"/>
      <c r="AE135" s="61"/>
      <c r="AF135" s="60"/>
      <c r="AG135" s="61"/>
      <c r="AH135" s="60"/>
      <c r="AI135" s="60"/>
      <c r="AJ135" s="60"/>
      <c r="AK135" s="60"/>
      <c r="AL135" s="60"/>
      <c r="AM135" s="60"/>
      <c r="AN135" s="60"/>
      <c r="AO135" s="60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62"/>
      <c r="BB135" s="62"/>
      <c r="BC135" s="62"/>
      <c r="BD135" s="62"/>
    </row>
    <row r="136" spans="2:56" ht="16.5" customHeight="1" thickBot="1" x14ac:dyDescent="0.3">
      <c r="B136" s="1" t="s">
        <v>1</v>
      </c>
      <c r="C136" s="14">
        <f t="shared" ref="C136:C138" si="14">SUM(F136:W136)</f>
        <v>0</v>
      </c>
      <c r="E136" s="1" t="s">
        <v>1</v>
      </c>
      <c r="F136" s="72"/>
      <c r="G136" s="41"/>
      <c r="H136" s="41"/>
      <c r="I136" s="64"/>
      <c r="J136" s="63"/>
      <c r="K136" s="41"/>
      <c r="L136" s="41"/>
      <c r="M136" s="41"/>
      <c r="N136" s="63"/>
      <c r="O136" s="64"/>
      <c r="P136" s="63"/>
      <c r="Q136" s="41"/>
      <c r="R136" s="41"/>
      <c r="S136" s="41"/>
      <c r="T136" s="41"/>
      <c r="U136" s="41"/>
      <c r="V136" s="41"/>
      <c r="W136" s="64"/>
      <c r="X136" s="72"/>
      <c r="Y136" s="41"/>
      <c r="Z136" s="41"/>
      <c r="AA136" s="41"/>
      <c r="AB136" s="63"/>
      <c r="AC136" s="41"/>
      <c r="AD136" s="41"/>
      <c r="AE136" s="64"/>
      <c r="AF136" s="41"/>
      <c r="AG136" s="64"/>
      <c r="AH136" s="41"/>
      <c r="AI136" s="41"/>
      <c r="AJ136" s="41"/>
      <c r="AK136" s="41"/>
      <c r="AL136" s="41"/>
      <c r="AM136" s="41"/>
      <c r="AN136" s="41"/>
      <c r="AO136" s="41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5"/>
      <c r="BB136" s="65"/>
      <c r="BC136" s="65"/>
      <c r="BD136" s="65"/>
    </row>
    <row r="137" spans="2:56" ht="16.5" customHeight="1" thickBot="1" x14ac:dyDescent="0.3">
      <c r="B137" s="1" t="s">
        <v>2</v>
      </c>
      <c r="C137" s="14">
        <f t="shared" si="14"/>
        <v>0</v>
      </c>
      <c r="E137" s="1" t="s">
        <v>2</v>
      </c>
      <c r="F137" s="72"/>
      <c r="G137" s="41"/>
      <c r="H137" s="41"/>
      <c r="I137" s="64"/>
      <c r="J137" s="63"/>
      <c r="K137" s="41"/>
      <c r="L137" s="41"/>
      <c r="M137" s="41"/>
      <c r="N137" s="63"/>
      <c r="O137" s="64"/>
      <c r="P137" s="63"/>
      <c r="Q137" s="41"/>
      <c r="R137" s="41"/>
      <c r="S137" s="41"/>
      <c r="T137" s="41"/>
      <c r="U137" s="41"/>
      <c r="V137" s="41"/>
      <c r="W137" s="64"/>
      <c r="X137" s="72"/>
      <c r="Y137" s="41"/>
      <c r="Z137" s="41"/>
      <c r="AA137" s="41"/>
      <c r="AB137" s="63"/>
      <c r="AC137" s="41"/>
      <c r="AD137" s="41"/>
      <c r="AE137" s="64"/>
      <c r="AF137" s="41"/>
      <c r="AG137" s="64"/>
      <c r="AH137" s="41"/>
      <c r="AI137" s="41"/>
      <c r="AJ137" s="41"/>
      <c r="AK137" s="41"/>
      <c r="AL137" s="41"/>
      <c r="AM137" s="41"/>
      <c r="AN137" s="41"/>
      <c r="AO137" s="41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5"/>
      <c r="BB137" s="65"/>
      <c r="BC137" s="65"/>
      <c r="BD137" s="65"/>
    </row>
    <row r="138" spans="2:56" ht="16.5" customHeight="1" thickBot="1" x14ac:dyDescent="0.3">
      <c r="B138" s="1" t="s">
        <v>3</v>
      </c>
      <c r="C138" s="15">
        <f t="shared" si="14"/>
        <v>0</v>
      </c>
      <c r="E138" s="1" t="s">
        <v>3</v>
      </c>
      <c r="F138" s="73"/>
      <c r="G138" s="67"/>
      <c r="H138" s="67"/>
      <c r="I138" s="68"/>
      <c r="J138" s="66"/>
      <c r="K138" s="67"/>
      <c r="L138" s="67"/>
      <c r="M138" s="67"/>
      <c r="N138" s="66"/>
      <c r="O138" s="68"/>
      <c r="P138" s="66"/>
      <c r="Q138" s="67"/>
      <c r="R138" s="67"/>
      <c r="S138" s="67"/>
      <c r="T138" s="67"/>
      <c r="U138" s="67"/>
      <c r="V138" s="67"/>
      <c r="W138" s="68"/>
      <c r="X138" s="73"/>
      <c r="Y138" s="67"/>
      <c r="Z138" s="67"/>
      <c r="AA138" s="67"/>
      <c r="AB138" s="66"/>
      <c r="AC138" s="67"/>
      <c r="AD138" s="67"/>
      <c r="AE138" s="68"/>
      <c r="AF138" s="67"/>
      <c r="AG138" s="68"/>
      <c r="AH138" s="67"/>
      <c r="AI138" s="67"/>
      <c r="AJ138" s="67"/>
      <c r="AK138" s="67"/>
      <c r="AL138" s="67"/>
      <c r="AM138" s="67"/>
      <c r="AN138" s="67"/>
      <c r="AO138" s="67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9"/>
      <c r="BB138" s="69"/>
      <c r="BC138" s="69"/>
      <c r="BD138" s="69"/>
    </row>
    <row r="139" spans="2:56" ht="21" customHeight="1" x14ac:dyDescent="0.25">
      <c r="B139" s="2"/>
      <c r="C139" s="8">
        <f>SUM(C135:C138)</f>
        <v>0</v>
      </c>
      <c r="F139" s="74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74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</row>
    <row r="140" spans="2:56" x14ac:dyDescent="0.25"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</row>
    <row r="141" spans="2:56" ht="15.75" x14ac:dyDescent="0.25">
      <c r="F141" s="82" t="s">
        <v>17</v>
      </c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3" t="s">
        <v>16</v>
      </c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79"/>
      <c r="AQ141" s="79"/>
      <c r="AR141" s="79"/>
      <c r="AS141" s="79"/>
      <c r="AT141" s="79"/>
      <c r="AU141" s="41"/>
      <c r="AV141" s="41"/>
      <c r="AW141" s="41"/>
      <c r="AX141" s="41"/>
      <c r="AY141" s="41"/>
      <c r="AZ141" s="41"/>
      <c r="BA141" s="41"/>
    </row>
    <row r="142" spans="2:56" ht="32.25" thickBot="1" x14ac:dyDescent="0.3">
      <c r="F142" s="81" t="s">
        <v>9</v>
      </c>
      <c r="G142" s="81"/>
      <c r="H142" s="81"/>
      <c r="I142" s="81"/>
      <c r="J142" s="81" t="s">
        <v>10</v>
      </c>
      <c r="K142" s="81"/>
      <c r="L142" s="81"/>
      <c r="M142" s="81"/>
      <c r="N142" s="81" t="s">
        <v>49</v>
      </c>
      <c r="O142" s="81"/>
      <c r="P142" s="81" t="s">
        <v>11</v>
      </c>
      <c r="Q142" s="81"/>
      <c r="R142" s="81"/>
      <c r="S142" s="81"/>
      <c r="T142" s="81"/>
      <c r="U142" s="81"/>
      <c r="V142" s="81"/>
      <c r="W142" s="81"/>
      <c r="X142" s="81" t="s">
        <v>9</v>
      </c>
      <c r="Y142" s="81"/>
      <c r="Z142" s="81"/>
      <c r="AA142" s="81"/>
      <c r="AB142" s="81" t="s">
        <v>10</v>
      </c>
      <c r="AC142" s="81"/>
      <c r="AD142" s="81"/>
      <c r="AE142" s="81"/>
      <c r="AF142" s="81" t="s">
        <v>49</v>
      </c>
      <c r="AG142" s="81"/>
      <c r="AH142" s="81" t="s">
        <v>11</v>
      </c>
      <c r="AI142" s="81"/>
      <c r="AJ142" s="81"/>
      <c r="AK142" s="81"/>
      <c r="AL142" s="81"/>
      <c r="AM142" s="81"/>
      <c r="AN142" s="81"/>
      <c r="AO142" s="81"/>
      <c r="AP142" s="70" t="s">
        <v>50</v>
      </c>
      <c r="AQ142" s="70" t="s">
        <v>57</v>
      </c>
      <c r="AR142" s="70" t="s">
        <v>63</v>
      </c>
      <c r="AS142" s="70" t="s">
        <v>64</v>
      </c>
      <c r="AT142" s="70" t="s">
        <v>61</v>
      </c>
      <c r="AU142" s="70" t="s">
        <v>54</v>
      </c>
      <c r="AV142" s="70" t="s">
        <v>19</v>
      </c>
      <c r="AW142" s="70" t="s">
        <v>58</v>
      </c>
      <c r="AX142" s="70" t="s">
        <v>51</v>
      </c>
      <c r="AY142" s="70" t="s">
        <v>53</v>
      </c>
      <c r="AZ142" s="70" t="s">
        <v>52</v>
      </c>
      <c r="BA142" s="70" t="s">
        <v>55</v>
      </c>
      <c r="BB142" s="70" t="s">
        <v>56</v>
      </c>
      <c r="BC142" s="70" t="s">
        <v>59</v>
      </c>
      <c r="BD142" s="70" t="s">
        <v>60</v>
      </c>
    </row>
    <row r="143" spans="2:56" ht="16.5" thickBot="1" x14ac:dyDescent="0.3">
      <c r="B143" s="17">
        <v>0.15625</v>
      </c>
      <c r="C143" s="7" t="s">
        <v>5</v>
      </c>
      <c r="E143" s="11"/>
      <c r="F143" s="75" t="s">
        <v>15</v>
      </c>
      <c r="G143" s="58" t="s">
        <v>12</v>
      </c>
      <c r="H143" s="58" t="s">
        <v>14</v>
      </c>
      <c r="I143" s="58" t="s">
        <v>13</v>
      </c>
      <c r="J143" s="58" t="s">
        <v>42</v>
      </c>
      <c r="K143" s="58" t="s">
        <v>41</v>
      </c>
      <c r="L143" s="58" t="s">
        <v>43</v>
      </c>
      <c r="M143" s="58" t="s">
        <v>44</v>
      </c>
      <c r="N143" s="58" t="s">
        <v>15</v>
      </c>
      <c r="O143" s="58" t="s">
        <v>14</v>
      </c>
      <c r="P143" s="58" t="s">
        <v>45</v>
      </c>
      <c r="Q143" s="58" t="s">
        <v>46</v>
      </c>
      <c r="R143" s="58" t="s">
        <v>42</v>
      </c>
      <c r="S143" s="58" t="s">
        <v>41</v>
      </c>
      <c r="T143" s="58" t="s">
        <v>47</v>
      </c>
      <c r="U143" s="58" t="s">
        <v>48</v>
      </c>
      <c r="V143" s="58" t="s">
        <v>43</v>
      </c>
      <c r="W143" s="58" t="s">
        <v>44</v>
      </c>
      <c r="X143" s="75" t="s">
        <v>15</v>
      </c>
      <c r="Y143" s="58" t="s">
        <v>12</v>
      </c>
      <c r="Z143" s="58" t="s">
        <v>14</v>
      </c>
      <c r="AA143" s="58" t="s">
        <v>13</v>
      </c>
      <c r="AB143" s="58" t="s">
        <v>42</v>
      </c>
      <c r="AC143" s="58" t="s">
        <v>41</v>
      </c>
      <c r="AD143" s="58" t="s">
        <v>43</v>
      </c>
      <c r="AE143" s="58" t="s">
        <v>44</v>
      </c>
      <c r="AF143" s="58" t="s">
        <v>15</v>
      </c>
      <c r="AG143" s="58" t="s">
        <v>14</v>
      </c>
      <c r="AH143" s="58" t="s">
        <v>45</v>
      </c>
      <c r="AI143" s="58" t="s">
        <v>46</v>
      </c>
      <c r="AJ143" s="58" t="s">
        <v>42</v>
      </c>
      <c r="AK143" s="58" t="s">
        <v>41</v>
      </c>
      <c r="AL143" s="58" t="s">
        <v>47</v>
      </c>
      <c r="AM143" s="58" t="s">
        <v>48</v>
      </c>
      <c r="AN143" s="58" t="s">
        <v>43</v>
      </c>
      <c r="AO143" s="58" t="s">
        <v>44</v>
      </c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</row>
    <row r="144" spans="2:56" ht="16.5" customHeight="1" thickBot="1" x14ac:dyDescent="0.3">
      <c r="B144" s="1" t="s">
        <v>0</v>
      </c>
      <c r="C144" s="13">
        <f>SUM(F144:W144)</f>
        <v>0</v>
      </c>
      <c r="E144" s="10" t="s">
        <v>0</v>
      </c>
      <c r="F144" s="71"/>
      <c r="G144" s="60"/>
      <c r="H144" s="60"/>
      <c r="I144" s="61"/>
      <c r="J144" s="59"/>
      <c r="K144" s="60"/>
      <c r="L144" s="60"/>
      <c r="M144" s="60"/>
      <c r="N144" s="59"/>
      <c r="O144" s="61"/>
      <c r="P144" s="59"/>
      <c r="Q144" s="60"/>
      <c r="R144" s="60"/>
      <c r="S144" s="60"/>
      <c r="T144" s="60"/>
      <c r="U144" s="60"/>
      <c r="V144" s="60"/>
      <c r="W144" s="61"/>
      <c r="X144" s="71"/>
      <c r="Y144" s="60"/>
      <c r="Z144" s="60"/>
      <c r="AA144" s="60"/>
      <c r="AB144" s="59"/>
      <c r="AC144" s="60"/>
      <c r="AD144" s="60"/>
      <c r="AE144" s="61"/>
      <c r="AF144" s="60"/>
      <c r="AG144" s="61"/>
      <c r="AH144" s="60"/>
      <c r="AI144" s="60"/>
      <c r="AJ144" s="60"/>
      <c r="AK144" s="60"/>
      <c r="AL144" s="60"/>
      <c r="AM144" s="60"/>
      <c r="AN144" s="60"/>
      <c r="AO144" s="60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62"/>
      <c r="BB144" s="62"/>
      <c r="BC144" s="62"/>
      <c r="BD144" s="62"/>
    </row>
    <row r="145" spans="2:56" ht="16.5" customHeight="1" thickBot="1" x14ac:dyDescent="0.3">
      <c r="B145" s="1" t="s">
        <v>1</v>
      </c>
      <c r="C145" s="14">
        <f t="shared" ref="C145:C147" si="15">SUM(F145:W145)</f>
        <v>0</v>
      </c>
      <c r="E145" s="1" t="s">
        <v>1</v>
      </c>
      <c r="F145" s="72"/>
      <c r="G145" s="41"/>
      <c r="H145" s="41"/>
      <c r="I145" s="64"/>
      <c r="J145" s="63"/>
      <c r="K145" s="41"/>
      <c r="L145" s="41"/>
      <c r="M145" s="41"/>
      <c r="N145" s="63"/>
      <c r="O145" s="64"/>
      <c r="P145" s="63"/>
      <c r="Q145" s="41"/>
      <c r="R145" s="41"/>
      <c r="S145" s="41"/>
      <c r="T145" s="41"/>
      <c r="U145" s="41"/>
      <c r="V145" s="41"/>
      <c r="W145" s="64"/>
      <c r="X145" s="72"/>
      <c r="Y145" s="41"/>
      <c r="Z145" s="41"/>
      <c r="AA145" s="41"/>
      <c r="AB145" s="63"/>
      <c r="AC145" s="41"/>
      <c r="AD145" s="41"/>
      <c r="AE145" s="64"/>
      <c r="AF145" s="41"/>
      <c r="AG145" s="64"/>
      <c r="AH145" s="41"/>
      <c r="AI145" s="41"/>
      <c r="AJ145" s="41"/>
      <c r="AK145" s="41"/>
      <c r="AL145" s="41"/>
      <c r="AM145" s="41"/>
      <c r="AN145" s="41"/>
      <c r="AO145" s="41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5"/>
      <c r="BB145" s="65"/>
      <c r="BC145" s="65"/>
      <c r="BD145" s="65"/>
    </row>
    <row r="146" spans="2:56" ht="16.5" customHeight="1" thickBot="1" x14ac:dyDescent="0.3">
      <c r="B146" s="1" t="s">
        <v>2</v>
      </c>
      <c r="C146" s="14">
        <f t="shared" si="15"/>
        <v>0</v>
      </c>
      <c r="E146" s="1" t="s">
        <v>2</v>
      </c>
      <c r="F146" s="72"/>
      <c r="G146" s="41"/>
      <c r="H146" s="41"/>
      <c r="I146" s="64"/>
      <c r="J146" s="63"/>
      <c r="K146" s="41"/>
      <c r="L146" s="41"/>
      <c r="M146" s="41"/>
      <c r="N146" s="63"/>
      <c r="O146" s="64"/>
      <c r="P146" s="63"/>
      <c r="Q146" s="41"/>
      <c r="R146" s="41"/>
      <c r="S146" s="41"/>
      <c r="T146" s="41"/>
      <c r="U146" s="41"/>
      <c r="V146" s="41"/>
      <c r="W146" s="64"/>
      <c r="X146" s="72"/>
      <c r="Y146" s="41"/>
      <c r="Z146" s="41"/>
      <c r="AA146" s="41"/>
      <c r="AB146" s="63"/>
      <c r="AC146" s="41"/>
      <c r="AD146" s="41"/>
      <c r="AE146" s="64"/>
      <c r="AF146" s="41"/>
      <c r="AG146" s="64"/>
      <c r="AH146" s="41"/>
      <c r="AI146" s="41"/>
      <c r="AJ146" s="41"/>
      <c r="AK146" s="41"/>
      <c r="AL146" s="41"/>
      <c r="AM146" s="41"/>
      <c r="AN146" s="41"/>
      <c r="AO146" s="41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5"/>
      <c r="BB146" s="65"/>
      <c r="BC146" s="65"/>
      <c r="BD146" s="65"/>
    </row>
    <row r="147" spans="2:56" ht="16.5" customHeight="1" thickBot="1" x14ac:dyDescent="0.3">
      <c r="B147" s="1" t="s">
        <v>3</v>
      </c>
      <c r="C147" s="15">
        <f t="shared" si="15"/>
        <v>0</v>
      </c>
      <c r="E147" s="1" t="s">
        <v>3</v>
      </c>
      <c r="F147" s="73"/>
      <c r="G147" s="67"/>
      <c r="H147" s="67"/>
      <c r="I147" s="68"/>
      <c r="J147" s="66"/>
      <c r="K147" s="67"/>
      <c r="L147" s="67"/>
      <c r="M147" s="67"/>
      <c r="N147" s="66"/>
      <c r="O147" s="68"/>
      <c r="P147" s="66"/>
      <c r="Q147" s="67"/>
      <c r="R147" s="67"/>
      <c r="S147" s="67"/>
      <c r="T147" s="67"/>
      <c r="U147" s="67"/>
      <c r="V147" s="67"/>
      <c r="W147" s="68"/>
      <c r="X147" s="73"/>
      <c r="Y147" s="67"/>
      <c r="Z147" s="67"/>
      <c r="AA147" s="67"/>
      <c r="AB147" s="66"/>
      <c r="AC147" s="67"/>
      <c r="AD147" s="67"/>
      <c r="AE147" s="68"/>
      <c r="AF147" s="67"/>
      <c r="AG147" s="68"/>
      <c r="AH147" s="67"/>
      <c r="AI147" s="67"/>
      <c r="AJ147" s="67"/>
      <c r="AK147" s="67"/>
      <c r="AL147" s="67"/>
      <c r="AM147" s="67"/>
      <c r="AN147" s="67"/>
      <c r="AO147" s="67"/>
      <c r="AP147" s="66"/>
      <c r="AQ147" s="66"/>
      <c r="AR147" s="66"/>
      <c r="AS147" s="66"/>
      <c r="AT147" s="66"/>
      <c r="AU147" s="66"/>
      <c r="AV147" s="66"/>
      <c r="AW147" s="66"/>
      <c r="AX147" s="66"/>
      <c r="AY147" s="66"/>
      <c r="AZ147" s="66"/>
      <c r="BA147" s="69"/>
      <c r="BB147" s="69"/>
      <c r="BC147" s="69"/>
      <c r="BD147" s="69"/>
    </row>
    <row r="148" spans="2:56" ht="21" customHeight="1" x14ac:dyDescent="0.25">
      <c r="B148" s="2"/>
      <c r="C148" s="8">
        <f>SUM(C144:C147)</f>
        <v>0</v>
      </c>
      <c r="F148" s="74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74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</row>
    <row r="149" spans="2:56" x14ac:dyDescent="0.25"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</row>
    <row r="150" spans="2:56" ht="15.75" x14ac:dyDescent="0.25">
      <c r="F150" s="82" t="s">
        <v>17</v>
      </c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3" t="s">
        <v>16</v>
      </c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79"/>
      <c r="AQ150" s="79"/>
      <c r="AR150" s="79"/>
      <c r="AS150" s="79"/>
      <c r="AT150" s="79"/>
      <c r="AU150" s="41"/>
      <c r="AV150" s="41"/>
      <c r="AW150" s="41"/>
      <c r="AX150" s="41"/>
      <c r="AY150" s="41"/>
      <c r="AZ150" s="41"/>
      <c r="BA150" s="41"/>
    </row>
    <row r="151" spans="2:56" ht="32.25" thickBot="1" x14ac:dyDescent="0.3">
      <c r="F151" s="81" t="s">
        <v>9</v>
      </c>
      <c r="G151" s="81"/>
      <c r="H151" s="81"/>
      <c r="I151" s="81"/>
      <c r="J151" s="81" t="s">
        <v>10</v>
      </c>
      <c r="K151" s="81"/>
      <c r="L151" s="81"/>
      <c r="M151" s="81"/>
      <c r="N151" s="81" t="s">
        <v>49</v>
      </c>
      <c r="O151" s="81"/>
      <c r="P151" s="81" t="s">
        <v>11</v>
      </c>
      <c r="Q151" s="81"/>
      <c r="R151" s="81"/>
      <c r="S151" s="81"/>
      <c r="T151" s="81"/>
      <c r="U151" s="81"/>
      <c r="V151" s="81"/>
      <c r="W151" s="81"/>
      <c r="X151" s="81" t="s">
        <v>9</v>
      </c>
      <c r="Y151" s="81"/>
      <c r="Z151" s="81"/>
      <c r="AA151" s="81"/>
      <c r="AB151" s="81" t="s">
        <v>10</v>
      </c>
      <c r="AC151" s="81"/>
      <c r="AD151" s="81"/>
      <c r="AE151" s="81"/>
      <c r="AF151" s="81" t="s">
        <v>49</v>
      </c>
      <c r="AG151" s="81"/>
      <c r="AH151" s="81" t="s">
        <v>11</v>
      </c>
      <c r="AI151" s="81"/>
      <c r="AJ151" s="81"/>
      <c r="AK151" s="81"/>
      <c r="AL151" s="81"/>
      <c r="AM151" s="81"/>
      <c r="AN151" s="81"/>
      <c r="AO151" s="81"/>
      <c r="AP151" s="70" t="s">
        <v>50</v>
      </c>
      <c r="AQ151" s="70" t="s">
        <v>57</v>
      </c>
      <c r="AR151" s="70" t="s">
        <v>63</v>
      </c>
      <c r="AS151" s="70" t="s">
        <v>64</v>
      </c>
      <c r="AT151" s="70" t="s">
        <v>61</v>
      </c>
      <c r="AU151" s="70" t="s">
        <v>54</v>
      </c>
      <c r="AV151" s="70" t="s">
        <v>19</v>
      </c>
      <c r="AW151" s="70" t="s">
        <v>58</v>
      </c>
      <c r="AX151" s="70" t="s">
        <v>51</v>
      </c>
      <c r="AY151" s="70" t="s">
        <v>53</v>
      </c>
      <c r="AZ151" s="70" t="s">
        <v>52</v>
      </c>
      <c r="BA151" s="70" t="s">
        <v>55</v>
      </c>
      <c r="BB151" s="70" t="s">
        <v>56</v>
      </c>
      <c r="BC151" s="70" t="s">
        <v>59</v>
      </c>
      <c r="BD151" s="70" t="s">
        <v>60</v>
      </c>
    </row>
    <row r="152" spans="2:56" ht="16.5" thickBot="1" x14ac:dyDescent="0.3">
      <c r="B152" s="16">
        <v>0.16666666666666666</v>
      </c>
      <c r="C152" s="7" t="s">
        <v>5</v>
      </c>
      <c r="E152" s="11"/>
      <c r="F152" s="75" t="s">
        <v>15</v>
      </c>
      <c r="G152" s="58" t="s">
        <v>12</v>
      </c>
      <c r="H152" s="58" t="s">
        <v>14</v>
      </c>
      <c r="I152" s="58" t="s">
        <v>13</v>
      </c>
      <c r="J152" s="58" t="s">
        <v>42</v>
      </c>
      <c r="K152" s="58" t="s">
        <v>41</v>
      </c>
      <c r="L152" s="58" t="s">
        <v>43</v>
      </c>
      <c r="M152" s="58" t="s">
        <v>44</v>
      </c>
      <c r="N152" s="58" t="s">
        <v>15</v>
      </c>
      <c r="O152" s="58" t="s">
        <v>14</v>
      </c>
      <c r="P152" s="58" t="s">
        <v>45</v>
      </c>
      <c r="Q152" s="58" t="s">
        <v>46</v>
      </c>
      <c r="R152" s="58" t="s">
        <v>42</v>
      </c>
      <c r="S152" s="58" t="s">
        <v>41</v>
      </c>
      <c r="T152" s="58" t="s">
        <v>47</v>
      </c>
      <c r="U152" s="58" t="s">
        <v>48</v>
      </c>
      <c r="V152" s="58" t="s">
        <v>43</v>
      </c>
      <c r="W152" s="58" t="s">
        <v>44</v>
      </c>
      <c r="X152" s="75" t="s">
        <v>15</v>
      </c>
      <c r="Y152" s="58" t="s">
        <v>12</v>
      </c>
      <c r="Z152" s="58" t="s">
        <v>14</v>
      </c>
      <c r="AA152" s="58" t="s">
        <v>13</v>
      </c>
      <c r="AB152" s="58" t="s">
        <v>42</v>
      </c>
      <c r="AC152" s="58" t="s">
        <v>41</v>
      </c>
      <c r="AD152" s="58" t="s">
        <v>43</v>
      </c>
      <c r="AE152" s="58" t="s">
        <v>44</v>
      </c>
      <c r="AF152" s="58" t="s">
        <v>15</v>
      </c>
      <c r="AG152" s="58" t="s">
        <v>14</v>
      </c>
      <c r="AH152" s="58" t="s">
        <v>45</v>
      </c>
      <c r="AI152" s="58" t="s">
        <v>46</v>
      </c>
      <c r="AJ152" s="58" t="s">
        <v>42</v>
      </c>
      <c r="AK152" s="58" t="s">
        <v>41</v>
      </c>
      <c r="AL152" s="58" t="s">
        <v>47</v>
      </c>
      <c r="AM152" s="58" t="s">
        <v>48</v>
      </c>
      <c r="AN152" s="58" t="s">
        <v>43</v>
      </c>
      <c r="AO152" s="58" t="s">
        <v>44</v>
      </c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</row>
    <row r="153" spans="2:56" ht="16.5" customHeight="1" thickBot="1" x14ac:dyDescent="0.3">
      <c r="B153" s="1" t="s">
        <v>0</v>
      </c>
      <c r="C153" s="13">
        <f>SUM(F153:W153)</f>
        <v>0</v>
      </c>
      <c r="E153" s="10" t="s">
        <v>0</v>
      </c>
      <c r="F153" s="71"/>
      <c r="G153" s="60"/>
      <c r="H153" s="60"/>
      <c r="I153" s="61"/>
      <c r="J153" s="59"/>
      <c r="K153" s="60"/>
      <c r="L153" s="60"/>
      <c r="M153" s="60"/>
      <c r="N153" s="59"/>
      <c r="O153" s="61"/>
      <c r="P153" s="59"/>
      <c r="Q153" s="60"/>
      <c r="R153" s="60"/>
      <c r="S153" s="60"/>
      <c r="T153" s="60"/>
      <c r="U153" s="60"/>
      <c r="V153" s="60"/>
      <c r="W153" s="61"/>
      <c r="X153" s="71"/>
      <c r="Y153" s="60"/>
      <c r="Z153" s="60"/>
      <c r="AA153" s="60"/>
      <c r="AB153" s="59"/>
      <c r="AC153" s="60"/>
      <c r="AD153" s="60"/>
      <c r="AE153" s="61"/>
      <c r="AF153" s="60"/>
      <c r="AG153" s="61"/>
      <c r="AH153" s="60"/>
      <c r="AI153" s="60"/>
      <c r="AJ153" s="60"/>
      <c r="AK153" s="60"/>
      <c r="AL153" s="60"/>
      <c r="AM153" s="60"/>
      <c r="AN153" s="60"/>
      <c r="AO153" s="60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62"/>
      <c r="BB153" s="62"/>
      <c r="BC153" s="62"/>
      <c r="BD153" s="62"/>
    </row>
    <row r="154" spans="2:56" ht="16.5" customHeight="1" thickBot="1" x14ac:dyDescent="0.3">
      <c r="B154" s="1" t="s">
        <v>1</v>
      </c>
      <c r="C154" s="14">
        <f t="shared" ref="C154:C156" si="16">SUM(F154:W154)</f>
        <v>0</v>
      </c>
      <c r="E154" s="1" t="s">
        <v>1</v>
      </c>
      <c r="F154" s="72"/>
      <c r="G154" s="41"/>
      <c r="H154" s="41"/>
      <c r="I154" s="64"/>
      <c r="J154" s="63"/>
      <c r="K154" s="41"/>
      <c r="L154" s="41"/>
      <c r="M154" s="41"/>
      <c r="N154" s="63"/>
      <c r="O154" s="64"/>
      <c r="P154" s="63"/>
      <c r="Q154" s="41"/>
      <c r="R154" s="41"/>
      <c r="S154" s="41"/>
      <c r="T154" s="41"/>
      <c r="U154" s="41"/>
      <c r="V154" s="41"/>
      <c r="W154" s="64"/>
      <c r="X154" s="72"/>
      <c r="Y154" s="41"/>
      <c r="Z154" s="41"/>
      <c r="AA154" s="41"/>
      <c r="AB154" s="63"/>
      <c r="AC154" s="41"/>
      <c r="AD154" s="41"/>
      <c r="AE154" s="64"/>
      <c r="AF154" s="41"/>
      <c r="AG154" s="64"/>
      <c r="AH154" s="41"/>
      <c r="AI154" s="41"/>
      <c r="AJ154" s="41"/>
      <c r="AK154" s="41"/>
      <c r="AL154" s="41"/>
      <c r="AM154" s="41"/>
      <c r="AN154" s="41"/>
      <c r="AO154" s="41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5"/>
      <c r="BB154" s="65"/>
      <c r="BC154" s="65"/>
      <c r="BD154" s="65"/>
    </row>
    <row r="155" spans="2:56" ht="16.5" customHeight="1" thickBot="1" x14ac:dyDescent="0.3">
      <c r="B155" s="1" t="s">
        <v>2</v>
      </c>
      <c r="C155" s="14">
        <f t="shared" si="16"/>
        <v>0</v>
      </c>
      <c r="E155" s="1" t="s">
        <v>2</v>
      </c>
      <c r="F155" s="72"/>
      <c r="G155" s="41"/>
      <c r="H155" s="41"/>
      <c r="I155" s="64"/>
      <c r="J155" s="63"/>
      <c r="K155" s="41"/>
      <c r="L155" s="41"/>
      <c r="M155" s="41"/>
      <c r="N155" s="63"/>
      <c r="O155" s="64"/>
      <c r="P155" s="63"/>
      <c r="Q155" s="41"/>
      <c r="R155" s="41"/>
      <c r="S155" s="41"/>
      <c r="T155" s="41"/>
      <c r="U155" s="41"/>
      <c r="V155" s="41"/>
      <c r="W155" s="64"/>
      <c r="X155" s="72"/>
      <c r="Y155" s="41"/>
      <c r="Z155" s="41"/>
      <c r="AA155" s="41"/>
      <c r="AB155" s="63"/>
      <c r="AC155" s="41"/>
      <c r="AD155" s="41"/>
      <c r="AE155" s="64"/>
      <c r="AF155" s="41"/>
      <c r="AG155" s="64"/>
      <c r="AH155" s="41"/>
      <c r="AI155" s="41"/>
      <c r="AJ155" s="41"/>
      <c r="AK155" s="41"/>
      <c r="AL155" s="41"/>
      <c r="AM155" s="41"/>
      <c r="AN155" s="41"/>
      <c r="AO155" s="41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5"/>
      <c r="BB155" s="65"/>
      <c r="BC155" s="65"/>
      <c r="BD155" s="65"/>
    </row>
    <row r="156" spans="2:56" ht="16.5" customHeight="1" thickBot="1" x14ac:dyDescent="0.3">
      <c r="B156" s="1" t="s">
        <v>3</v>
      </c>
      <c r="C156" s="15">
        <f t="shared" si="16"/>
        <v>0</v>
      </c>
      <c r="E156" s="1" t="s">
        <v>3</v>
      </c>
      <c r="F156" s="73"/>
      <c r="G156" s="67"/>
      <c r="H156" s="67"/>
      <c r="I156" s="68"/>
      <c r="J156" s="66"/>
      <c r="K156" s="67"/>
      <c r="L156" s="67"/>
      <c r="M156" s="67"/>
      <c r="N156" s="66"/>
      <c r="O156" s="68"/>
      <c r="P156" s="66"/>
      <c r="Q156" s="67"/>
      <c r="R156" s="67"/>
      <c r="S156" s="67"/>
      <c r="T156" s="67"/>
      <c r="U156" s="67"/>
      <c r="V156" s="67"/>
      <c r="W156" s="68"/>
      <c r="X156" s="73"/>
      <c r="Y156" s="67"/>
      <c r="Z156" s="67"/>
      <c r="AA156" s="67"/>
      <c r="AB156" s="66"/>
      <c r="AC156" s="67"/>
      <c r="AD156" s="67"/>
      <c r="AE156" s="68"/>
      <c r="AF156" s="67"/>
      <c r="AG156" s="68"/>
      <c r="AH156" s="67"/>
      <c r="AI156" s="67"/>
      <c r="AJ156" s="67"/>
      <c r="AK156" s="67"/>
      <c r="AL156" s="67"/>
      <c r="AM156" s="67"/>
      <c r="AN156" s="67"/>
      <c r="AO156" s="67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9"/>
      <c r="BB156" s="69"/>
      <c r="BC156" s="69"/>
      <c r="BD156" s="69"/>
    </row>
    <row r="157" spans="2:56" ht="21" customHeight="1" x14ac:dyDescent="0.25">
      <c r="B157" s="2"/>
      <c r="C157" s="8">
        <f>SUM(C153:C156)</f>
        <v>0</v>
      </c>
      <c r="F157" s="74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74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</row>
    <row r="158" spans="2:56" x14ac:dyDescent="0.25"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</row>
    <row r="159" spans="2:56" ht="15.75" x14ac:dyDescent="0.25">
      <c r="F159" s="82" t="s">
        <v>17</v>
      </c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3" t="s">
        <v>16</v>
      </c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79"/>
      <c r="AQ159" s="79"/>
      <c r="AR159" s="79"/>
      <c r="AS159" s="79"/>
      <c r="AT159" s="79"/>
      <c r="AU159" s="41"/>
      <c r="AV159" s="41"/>
      <c r="AW159" s="41"/>
      <c r="AX159" s="41"/>
      <c r="AY159" s="41"/>
      <c r="AZ159" s="41"/>
      <c r="BA159" s="41"/>
    </row>
    <row r="160" spans="2:56" ht="32.25" thickBot="1" x14ac:dyDescent="0.3">
      <c r="F160" s="81" t="s">
        <v>9</v>
      </c>
      <c r="G160" s="81"/>
      <c r="H160" s="81"/>
      <c r="I160" s="81"/>
      <c r="J160" s="81" t="s">
        <v>10</v>
      </c>
      <c r="K160" s="81"/>
      <c r="L160" s="81"/>
      <c r="M160" s="81"/>
      <c r="N160" s="81" t="s">
        <v>49</v>
      </c>
      <c r="O160" s="81"/>
      <c r="P160" s="81" t="s">
        <v>11</v>
      </c>
      <c r="Q160" s="81"/>
      <c r="R160" s="81"/>
      <c r="S160" s="81"/>
      <c r="T160" s="81"/>
      <c r="U160" s="81"/>
      <c r="V160" s="81"/>
      <c r="W160" s="81"/>
      <c r="X160" s="81" t="s">
        <v>9</v>
      </c>
      <c r="Y160" s="81"/>
      <c r="Z160" s="81"/>
      <c r="AA160" s="81"/>
      <c r="AB160" s="81" t="s">
        <v>10</v>
      </c>
      <c r="AC160" s="81"/>
      <c r="AD160" s="81"/>
      <c r="AE160" s="81"/>
      <c r="AF160" s="81" t="s">
        <v>49</v>
      </c>
      <c r="AG160" s="81"/>
      <c r="AH160" s="81" t="s">
        <v>11</v>
      </c>
      <c r="AI160" s="81"/>
      <c r="AJ160" s="81"/>
      <c r="AK160" s="81"/>
      <c r="AL160" s="81"/>
      <c r="AM160" s="81"/>
      <c r="AN160" s="81"/>
      <c r="AO160" s="81"/>
      <c r="AP160" s="70" t="s">
        <v>50</v>
      </c>
      <c r="AQ160" s="70" t="s">
        <v>57</v>
      </c>
      <c r="AR160" s="70" t="s">
        <v>63</v>
      </c>
      <c r="AS160" s="70" t="s">
        <v>64</v>
      </c>
      <c r="AT160" s="70" t="s">
        <v>61</v>
      </c>
      <c r="AU160" s="70" t="s">
        <v>54</v>
      </c>
      <c r="AV160" s="70" t="s">
        <v>19</v>
      </c>
      <c r="AW160" s="70" t="s">
        <v>58</v>
      </c>
      <c r="AX160" s="70" t="s">
        <v>51</v>
      </c>
      <c r="AY160" s="70" t="s">
        <v>53</v>
      </c>
      <c r="AZ160" s="70" t="s">
        <v>52</v>
      </c>
      <c r="BA160" s="70" t="s">
        <v>55</v>
      </c>
      <c r="BB160" s="70" t="s">
        <v>56</v>
      </c>
      <c r="BC160" s="70" t="s">
        <v>59</v>
      </c>
      <c r="BD160" s="70" t="s">
        <v>60</v>
      </c>
    </row>
    <row r="161" spans="2:56" ht="16.5" thickBot="1" x14ac:dyDescent="0.3">
      <c r="B161" s="16">
        <v>0.17708333333333334</v>
      </c>
      <c r="C161" s="7" t="s">
        <v>5</v>
      </c>
      <c r="E161" s="11"/>
      <c r="F161" s="75" t="s">
        <v>15</v>
      </c>
      <c r="G161" s="58" t="s">
        <v>12</v>
      </c>
      <c r="H161" s="58" t="s">
        <v>14</v>
      </c>
      <c r="I161" s="58" t="s">
        <v>13</v>
      </c>
      <c r="J161" s="58" t="s">
        <v>42</v>
      </c>
      <c r="K161" s="58" t="s">
        <v>41</v>
      </c>
      <c r="L161" s="58" t="s">
        <v>43</v>
      </c>
      <c r="M161" s="58" t="s">
        <v>44</v>
      </c>
      <c r="N161" s="58" t="s">
        <v>15</v>
      </c>
      <c r="O161" s="58" t="s">
        <v>14</v>
      </c>
      <c r="P161" s="58" t="s">
        <v>45</v>
      </c>
      <c r="Q161" s="58" t="s">
        <v>46</v>
      </c>
      <c r="R161" s="58" t="s">
        <v>42</v>
      </c>
      <c r="S161" s="58" t="s">
        <v>41</v>
      </c>
      <c r="T161" s="58" t="s">
        <v>47</v>
      </c>
      <c r="U161" s="58" t="s">
        <v>48</v>
      </c>
      <c r="V161" s="58" t="s">
        <v>43</v>
      </c>
      <c r="W161" s="58" t="s">
        <v>44</v>
      </c>
      <c r="X161" s="75" t="s">
        <v>15</v>
      </c>
      <c r="Y161" s="58" t="s">
        <v>12</v>
      </c>
      <c r="Z161" s="58" t="s">
        <v>14</v>
      </c>
      <c r="AA161" s="58" t="s">
        <v>13</v>
      </c>
      <c r="AB161" s="58" t="s">
        <v>42</v>
      </c>
      <c r="AC161" s="58" t="s">
        <v>41</v>
      </c>
      <c r="AD161" s="58" t="s">
        <v>43</v>
      </c>
      <c r="AE161" s="58" t="s">
        <v>44</v>
      </c>
      <c r="AF161" s="58" t="s">
        <v>15</v>
      </c>
      <c r="AG161" s="58" t="s">
        <v>14</v>
      </c>
      <c r="AH161" s="58" t="s">
        <v>45</v>
      </c>
      <c r="AI161" s="58" t="s">
        <v>46</v>
      </c>
      <c r="AJ161" s="58" t="s">
        <v>42</v>
      </c>
      <c r="AK161" s="58" t="s">
        <v>41</v>
      </c>
      <c r="AL161" s="58" t="s">
        <v>47</v>
      </c>
      <c r="AM161" s="58" t="s">
        <v>48</v>
      </c>
      <c r="AN161" s="58" t="s">
        <v>43</v>
      </c>
      <c r="AO161" s="58" t="s">
        <v>44</v>
      </c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</row>
    <row r="162" spans="2:56" ht="16.5" customHeight="1" thickBot="1" x14ac:dyDescent="0.3">
      <c r="B162" s="1" t="s">
        <v>0</v>
      </c>
      <c r="C162" s="13">
        <f>SUM(F162:W162)</f>
        <v>0</v>
      </c>
      <c r="E162" s="10" t="s">
        <v>0</v>
      </c>
      <c r="F162" s="71"/>
      <c r="G162" s="60"/>
      <c r="H162" s="60"/>
      <c r="I162" s="61"/>
      <c r="J162" s="59"/>
      <c r="K162" s="60"/>
      <c r="L162" s="60"/>
      <c r="M162" s="60"/>
      <c r="N162" s="59"/>
      <c r="O162" s="61"/>
      <c r="P162" s="59"/>
      <c r="Q162" s="60"/>
      <c r="R162" s="60"/>
      <c r="S162" s="60"/>
      <c r="T162" s="60"/>
      <c r="U162" s="60"/>
      <c r="V162" s="60"/>
      <c r="W162" s="61"/>
      <c r="X162" s="71"/>
      <c r="Y162" s="60"/>
      <c r="Z162" s="60"/>
      <c r="AA162" s="60"/>
      <c r="AB162" s="59"/>
      <c r="AC162" s="60"/>
      <c r="AD162" s="60"/>
      <c r="AE162" s="61"/>
      <c r="AF162" s="60"/>
      <c r="AG162" s="61"/>
      <c r="AH162" s="60"/>
      <c r="AI162" s="60"/>
      <c r="AJ162" s="60"/>
      <c r="AK162" s="60"/>
      <c r="AL162" s="60"/>
      <c r="AM162" s="60"/>
      <c r="AN162" s="60"/>
      <c r="AO162" s="60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62"/>
      <c r="BB162" s="62"/>
      <c r="BC162" s="62"/>
      <c r="BD162" s="62"/>
    </row>
    <row r="163" spans="2:56" ht="16.5" customHeight="1" thickBot="1" x14ac:dyDescent="0.3">
      <c r="B163" s="1" t="s">
        <v>1</v>
      </c>
      <c r="C163" s="14">
        <f t="shared" ref="C163:C165" si="17">SUM(F163:W163)</f>
        <v>0</v>
      </c>
      <c r="E163" s="1" t="s">
        <v>1</v>
      </c>
      <c r="F163" s="72"/>
      <c r="G163" s="41"/>
      <c r="H163" s="41"/>
      <c r="I163" s="64"/>
      <c r="J163" s="63"/>
      <c r="K163" s="41"/>
      <c r="L163" s="41"/>
      <c r="M163" s="41"/>
      <c r="N163" s="63"/>
      <c r="O163" s="64"/>
      <c r="P163" s="63"/>
      <c r="Q163" s="41"/>
      <c r="R163" s="41"/>
      <c r="S163" s="41"/>
      <c r="T163" s="41"/>
      <c r="U163" s="41"/>
      <c r="V163" s="41"/>
      <c r="W163" s="64"/>
      <c r="X163" s="72"/>
      <c r="Y163" s="41"/>
      <c r="Z163" s="41"/>
      <c r="AA163" s="41"/>
      <c r="AB163" s="63"/>
      <c r="AC163" s="41"/>
      <c r="AD163" s="41"/>
      <c r="AE163" s="64"/>
      <c r="AF163" s="41"/>
      <c r="AG163" s="64"/>
      <c r="AH163" s="41"/>
      <c r="AI163" s="41"/>
      <c r="AJ163" s="41"/>
      <c r="AK163" s="41"/>
      <c r="AL163" s="41"/>
      <c r="AM163" s="41"/>
      <c r="AN163" s="41"/>
      <c r="AO163" s="41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5"/>
      <c r="BB163" s="65"/>
      <c r="BC163" s="65"/>
      <c r="BD163" s="65"/>
    </row>
    <row r="164" spans="2:56" ht="16.5" customHeight="1" thickBot="1" x14ac:dyDescent="0.3">
      <c r="B164" s="1" t="s">
        <v>2</v>
      </c>
      <c r="C164" s="14">
        <f t="shared" si="17"/>
        <v>0</v>
      </c>
      <c r="E164" s="1" t="s">
        <v>2</v>
      </c>
      <c r="F164" s="72"/>
      <c r="G164" s="41"/>
      <c r="H164" s="41"/>
      <c r="I164" s="64"/>
      <c r="J164" s="63"/>
      <c r="K164" s="41"/>
      <c r="L164" s="41"/>
      <c r="M164" s="41"/>
      <c r="N164" s="63"/>
      <c r="O164" s="64"/>
      <c r="P164" s="63"/>
      <c r="Q164" s="41"/>
      <c r="R164" s="41"/>
      <c r="S164" s="41"/>
      <c r="T164" s="41"/>
      <c r="U164" s="41"/>
      <c r="V164" s="41"/>
      <c r="W164" s="64"/>
      <c r="X164" s="72"/>
      <c r="Y164" s="41"/>
      <c r="Z164" s="41"/>
      <c r="AA164" s="41"/>
      <c r="AB164" s="63"/>
      <c r="AC164" s="41"/>
      <c r="AD164" s="41"/>
      <c r="AE164" s="64"/>
      <c r="AF164" s="41"/>
      <c r="AG164" s="64"/>
      <c r="AH164" s="41"/>
      <c r="AI164" s="41"/>
      <c r="AJ164" s="41"/>
      <c r="AK164" s="41"/>
      <c r="AL164" s="41"/>
      <c r="AM164" s="41"/>
      <c r="AN164" s="41"/>
      <c r="AO164" s="41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5"/>
      <c r="BB164" s="65"/>
      <c r="BC164" s="65"/>
      <c r="BD164" s="65"/>
    </row>
    <row r="165" spans="2:56" ht="16.5" customHeight="1" thickBot="1" x14ac:dyDescent="0.3">
      <c r="B165" s="1" t="s">
        <v>3</v>
      </c>
      <c r="C165" s="15">
        <f t="shared" si="17"/>
        <v>0</v>
      </c>
      <c r="E165" s="1" t="s">
        <v>3</v>
      </c>
      <c r="F165" s="73"/>
      <c r="G165" s="67"/>
      <c r="H165" s="67"/>
      <c r="I165" s="68"/>
      <c r="J165" s="66"/>
      <c r="K165" s="67"/>
      <c r="L165" s="67"/>
      <c r="M165" s="67"/>
      <c r="N165" s="66"/>
      <c r="O165" s="68"/>
      <c r="P165" s="66"/>
      <c r="Q165" s="67"/>
      <c r="R165" s="67"/>
      <c r="S165" s="67"/>
      <c r="T165" s="67"/>
      <c r="U165" s="67"/>
      <c r="V165" s="67"/>
      <c r="W165" s="68"/>
      <c r="X165" s="73"/>
      <c r="Y165" s="67"/>
      <c r="Z165" s="67"/>
      <c r="AA165" s="67"/>
      <c r="AB165" s="66"/>
      <c r="AC165" s="67"/>
      <c r="AD165" s="67"/>
      <c r="AE165" s="68"/>
      <c r="AF165" s="67"/>
      <c r="AG165" s="68"/>
      <c r="AH165" s="67"/>
      <c r="AI165" s="67"/>
      <c r="AJ165" s="67"/>
      <c r="AK165" s="67"/>
      <c r="AL165" s="67"/>
      <c r="AM165" s="67"/>
      <c r="AN165" s="67"/>
      <c r="AO165" s="67"/>
      <c r="AP165" s="66"/>
      <c r="AQ165" s="66"/>
      <c r="AR165" s="66"/>
      <c r="AS165" s="66"/>
      <c r="AT165" s="66"/>
      <c r="AU165" s="66"/>
      <c r="AV165" s="66"/>
      <c r="AW165" s="66"/>
      <c r="AX165" s="66"/>
      <c r="AY165" s="66"/>
      <c r="AZ165" s="66"/>
      <c r="BA165" s="69"/>
      <c r="BB165" s="69"/>
      <c r="BC165" s="69"/>
      <c r="BD165" s="69"/>
    </row>
    <row r="166" spans="2:56" ht="21" customHeight="1" x14ac:dyDescent="0.25">
      <c r="B166" s="2"/>
      <c r="C166" s="8">
        <f>SUM(C162:C165)</f>
        <v>0</v>
      </c>
      <c r="F166" s="74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74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</row>
    <row r="167" spans="2:56" x14ac:dyDescent="0.25"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</row>
    <row r="168" spans="2:56" ht="15.75" x14ac:dyDescent="0.25">
      <c r="F168" s="82" t="s">
        <v>17</v>
      </c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3" t="s">
        <v>16</v>
      </c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79"/>
      <c r="AQ168" s="79"/>
      <c r="AR168" s="79"/>
      <c r="AS168" s="79"/>
      <c r="AT168" s="79"/>
      <c r="AU168" s="41"/>
      <c r="AV168" s="41"/>
      <c r="AW168" s="41"/>
      <c r="AX168" s="41"/>
      <c r="AY168" s="41"/>
      <c r="AZ168" s="41"/>
      <c r="BA168" s="41"/>
    </row>
    <row r="169" spans="2:56" ht="32.25" thickBot="1" x14ac:dyDescent="0.3">
      <c r="F169" s="81" t="s">
        <v>9</v>
      </c>
      <c r="G169" s="81"/>
      <c r="H169" s="81"/>
      <c r="I169" s="81"/>
      <c r="J169" s="81" t="s">
        <v>10</v>
      </c>
      <c r="K169" s="81"/>
      <c r="L169" s="81"/>
      <c r="M169" s="81"/>
      <c r="N169" s="81" t="s">
        <v>49</v>
      </c>
      <c r="O169" s="81"/>
      <c r="P169" s="81" t="s">
        <v>11</v>
      </c>
      <c r="Q169" s="81"/>
      <c r="R169" s="81"/>
      <c r="S169" s="81"/>
      <c r="T169" s="81"/>
      <c r="U169" s="81"/>
      <c r="V169" s="81"/>
      <c r="W169" s="81"/>
      <c r="X169" s="81" t="s">
        <v>9</v>
      </c>
      <c r="Y169" s="81"/>
      <c r="Z169" s="81"/>
      <c r="AA169" s="81"/>
      <c r="AB169" s="81" t="s">
        <v>10</v>
      </c>
      <c r="AC169" s="81"/>
      <c r="AD169" s="81"/>
      <c r="AE169" s="81"/>
      <c r="AF169" s="81" t="s">
        <v>49</v>
      </c>
      <c r="AG169" s="81"/>
      <c r="AH169" s="81" t="s">
        <v>11</v>
      </c>
      <c r="AI169" s="81"/>
      <c r="AJ169" s="81"/>
      <c r="AK169" s="81"/>
      <c r="AL169" s="81"/>
      <c r="AM169" s="81"/>
      <c r="AN169" s="81"/>
      <c r="AO169" s="81"/>
      <c r="AP169" s="70" t="s">
        <v>50</v>
      </c>
      <c r="AQ169" s="70" t="s">
        <v>57</v>
      </c>
      <c r="AR169" s="70" t="s">
        <v>63</v>
      </c>
      <c r="AS169" s="70" t="s">
        <v>64</v>
      </c>
      <c r="AT169" s="70" t="s">
        <v>61</v>
      </c>
      <c r="AU169" s="70" t="s">
        <v>54</v>
      </c>
      <c r="AV169" s="70" t="s">
        <v>19</v>
      </c>
      <c r="AW169" s="70" t="s">
        <v>58</v>
      </c>
      <c r="AX169" s="70" t="s">
        <v>51</v>
      </c>
      <c r="AY169" s="70" t="s">
        <v>53</v>
      </c>
      <c r="AZ169" s="70" t="s">
        <v>52</v>
      </c>
      <c r="BA169" s="70" t="s">
        <v>55</v>
      </c>
      <c r="BB169" s="70" t="s">
        <v>56</v>
      </c>
      <c r="BC169" s="70" t="s">
        <v>59</v>
      </c>
      <c r="BD169" s="70" t="s">
        <v>60</v>
      </c>
    </row>
    <row r="170" spans="2:56" ht="16.5" thickBot="1" x14ac:dyDescent="0.3">
      <c r="B170" s="16">
        <v>0.1875</v>
      </c>
      <c r="C170" s="7" t="s">
        <v>5</v>
      </c>
      <c r="E170" s="11"/>
      <c r="F170" s="75" t="s">
        <v>15</v>
      </c>
      <c r="G170" s="58" t="s">
        <v>12</v>
      </c>
      <c r="H170" s="58" t="s">
        <v>14</v>
      </c>
      <c r="I170" s="58" t="s">
        <v>13</v>
      </c>
      <c r="J170" s="58" t="s">
        <v>42</v>
      </c>
      <c r="K170" s="58" t="s">
        <v>41</v>
      </c>
      <c r="L170" s="58" t="s">
        <v>43</v>
      </c>
      <c r="M170" s="58" t="s">
        <v>44</v>
      </c>
      <c r="N170" s="58" t="s">
        <v>15</v>
      </c>
      <c r="O170" s="58" t="s">
        <v>14</v>
      </c>
      <c r="P170" s="58" t="s">
        <v>45</v>
      </c>
      <c r="Q170" s="58" t="s">
        <v>46</v>
      </c>
      <c r="R170" s="58" t="s">
        <v>42</v>
      </c>
      <c r="S170" s="58" t="s">
        <v>41</v>
      </c>
      <c r="T170" s="58" t="s">
        <v>47</v>
      </c>
      <c r="U170" s="58" t="s">
        <v>48</v>
      </c>
      <c r="V170" s="58" t="s">
        <v>43</v>
      </c>
      <c r="W170" s="58" t="s">
        <v>44</v>
      </c>
      <c r="X170" s="75" t="s">
        <v>15</v>
      </c>
      <c r="Y170" s="58" t="s">
        <v>12</v>
      </c>
      <c r="Z170" s="58" t="s">
        <v>14</v>
      </c>
      <c r="AA170" s="58" t="s">
        <v>13</v>
      </c>
      <c r="AB170" s="58" t="s">
        <v>42</v>
      </c>
      <c r="AC170" s="58" t="s">
        <v>41</v>
      </c>
      <c r="AD170" s="58" t="s">
        <v>43</v>
      </c>
      <c r="AE170" s="58" t="s">
        <v>44</v>
      </c>
      <c r="AF170" s="58" t="s">
        <v>15</v>
      </c>
      <c r="AG170" s="58" t="s">
        <v>14</v>
      </c>
      <c r="AH170" s="58" t="s">
        <v>45</v>
      </c>
      <c r="AI170" s="58" t="s">
        <v>46</v>
      </c>
      <c r="AJ170" s="58" t="s">
        <v>42</v>
      </c>
      <c r="AK170" s="58" t="s">
        <v>41</v>
      </c>
      <c r="AL170" s="58" t="s">
        <v>47</v>
      </c>
      <c r="AM170" s="58" t="s">
        <v>48</v>
      </c>
      <c r="AN170" s="58" t="s">
        <v>43</v>
      </c>
      <c r="AO170" s="58" t="s">
        <v>44</v>
      </c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</row>
    <row r="171" spans="2:56" ht="16.5" customHeight="1" thickBot="1" x14ac:dyDescent="0.3">
      <c r="B171" s="1" t="s">
        <v>0</v>
      </c>
      <c r="C171" s="13">
        <f>SUM(F171:W171)</f>
        <v>0</v>
      </c>
      <c r="E171" s="10" t="s">
        <v>0</v>
      </c>
      <c r="F171" s="71"/>
      <c r="G171" s="60"/>
      <c r="H171" s="60"/>
      <c r="I171" s="61"/>
      <c r="J171" s="59"/>
      <c r="K171" s="60"/>
      <c r="L171" s="60"/>
      <c r="M171" s="60"/>
      <c r="N171" s="59"/>
      <c r="O171" s="61"/>
      <c r="P171" s="59"/>
      <c r="Q171" s="60"/>
      <c r="R171" s="60"/>
      <c r="S171" s="60"/>
      <c r="T171" s="60"/>
      <c r="U171" s="60"/>
      <c r="V171" s="60"/>
      <c r="W171" s="61"/>
      <c r="X171" s="71"/>
      <c r="Y171" s="60"/>
      <c r="Z171" s="60"/>
      <c r="AA171" s="60"/>
      <c r="AB171" s="59"/>
      <c r="AC171" s="60"/>
      <c r="AD171" s="60"/>
      <c r="AE171" s="61"/>
      <c r="AF171" s="60"/>
      <c r="AG171" s="61"/>
      <c r="AH171" s="60"/>
      <c r="AI171" s="60"/>
      <c r="AJ171" s="60"/>
      <c r="AK171" s="60"/>
      <c r="AL171" s="60"/>
      <c r="AM171" s="60"/>
      <c r="AN171" s="60"/>
      <c r="AO171" s="60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62"/>
      <c r="BB171" s="62"/>
      <c r="BC171" s="62"/>
      <c r="BD171" s="62"/>
    </row>
    <row r="172" spans="2:56" ht="16.5" customHeight="1" thickBot="1" x14ac:dyDescent="0.3">
      <c r="B172" s="1" t="s">
        <v>1</v>
      </c>
      <c r="C172" s="14">
        <f t="shared" ref="C172:C174" si="18">SUM(F172:W172)</f>
        <v>0</v>
      </c>
      <c r="E172" s="1" t="s">
        <v>1</v>
      </c>
      <c r="F172" s="72"/>
      <c r="G172" s="41"/>
      <c r="H172" s="41"/>
      <c r="I172" s="64"/>
      <c r="J172" s="63"/>
      <c r="K172" s="41"/>
      <c r="L172" s="41"/>
      <c r="M172" s="41"/>
      <c r="N172" s="63"/>
      <c r="O172" s="64"/>
      <c r="P172" s="63"/>
      <c r="Q172" s="41"/>
      <c r="R172" s="41"/>
      <c r="S172" s="41"/>
      <c r="T172" s="41"/>
      <c r="U172" s="41"/>
      <c r="V172" s="41"/>
      <c r="W172" s="64"/>
      <c r="X172" s="72"/>
      <c r="Y172" s="41"/>
      <c r="Z172" s="41"/>
      <c r="AA172" s="41"/>
      <c r="AB172" s="63"/>
      <c r="AC172" s="41"/>
      <c r="AD172" s="41"/>
      <c r="AE172" s="64"/>
      <c r="AF172" s="41"/>
      <c r="AG172" s="64"/>
      <c r="AH172" s="41"/>
      <c r="AI172" s="41"/>
      <c r="AJ172" s="41"/>
      <c r="AK172" s="41"/>
      <c r="AL172" s="41"/>
      <c r="AM172" s="41"/>
      <c r="AN172" s="41"/>
      <c r="AO172" s="41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5"/>
      <c r="BB172" s="65"/>
      <c r="BC172" s="65"/>
      <c r="BD172" s="65"/>
    </row>
    <row r="173" spans="2:56" ht="16.5" customHeight="1" thickBot="1" x14ac:dyDescent="0.3">
      <c r="B173" s="1" t="s">
        <v>2</v>
      </c>
      <c r="C173" s="14">
        <f t="shared" si="18"/>
        <v>0</v>
      </c>
      <c r="E173" s="1" t="s">
        <v>2</v>
      </c>
      <c r="F173" s="72"/>
      <c r="G173" s="41"/>
      <c r="H173" s="41"/>
      <c r="I173" s="64"/>
      <c r="J173" s="63"/>
      <c r="K173" s="41"/>
      <c r="L173" s="41"/>
      <c r="M173" s="41"/>
      <c r="N173" s="63"/>
      <c r="O173" s="64"/>
      <c r="P173" s="63"/>
      <c r="Q173" s="41"/>
      <c r="R173" s="41"/>
      <c r="S173" s="41"/>
      <c r="T173" s="41"/>
      <c r="U173" s="41"/>
      <c r="V173" s="41"/>
      <c r="W173" s="64"/>
      <c r="X173" s="72"/>
      <c r="Y173" s="41"/>
      <c r="Z173" s="41"/>
      <c r="AA173" s="41"/>
      <c r="AB173" s="63"/>
      <c r="AC173" s="41"/>
      <c r="AD173" s="41"/>
      <c r="AE173" s="64"/>
      <c r="AF173" s="41"/>
      <c r="AG173" s="64"/>
      <c r="AH173" s="41"/>
      <c r="AI173" s="41"/>
      <c r="AJ173" s="41"/>
      <c r="AK173" s="41"/>
      <c r="AL173" s="41"/>
      <c r="AM173" s="41"/>
      <c r="AN173" s="41"/>
      <c r="AO173" s="41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5"/>
      <c r="BB173" s="65"/>
      <c r="BC173" s="65"/>
      <c r="BD173" s="65"/>
    </row>
    <row r="174" spans="2:56" ht="16.5" customHeight="1" thickBot="1" x14ac:dyDescent="0.3">
      <c r="B174" s="1" t="s">
        <v>3</v>
      </c>
      <c r="C174" s="15">
        <f t="shared" si="18"/>
        <v>0</v>
      </c>
      <c r="E174" s="1" t="s">
        <v>3</v>
      </c>
      <c r="F174" s="73"/>
      <c r="G174" s="67"/>
      <c r="H174" s="67"/>
      <c r="I174" s="68"/>
      <c r="J174" s="66"/>
      <c r="K174" s="67"/>
      <c r="L174" s="67"/>
      <c r="M174" s="67"/>
      <c r="N174" s="66"/>
      <c r="O174" s="68"/>
      <c r="P174" s="66"/>
      <c r="Q174" s="67"/>
      <c r="R174" s="67"/>
      <c r="S174" s="67"/>
      <c r="T174" s="67"/>
      <c r="U174" s="67"/>
      <c r="V174" s="67"/>
      <c r="W174" s="68"/>
      <c r="X174" s="73"/>
      <c r="Y174" s="67"/>
      <c r="Z174" s="67"/>
      <c r="AA174" s="67"/>
      <c r="AB174" s="66"/>
      <c r="AC174" s="67"/>
      <c r="AD174" s="67"/>
      <c r="AE174" s="68"/>
      <c r="AF174" s="67"/>
      <c r="AG174" s="68"/>
      <c r="AH174" s="67"/>
      <c r="AI174" s="67"/>
      <c r="AJ174" s="67"/>
      <c r="AK174" s="67"/>
      <c r="AL174" s="67"/>
      <c r="AM174" s="67"/>
      <c r="AN174" s="67"/>
      <c r="AO174" s="67"/>
      <c r="AP174" s="66"/>
      <c r="AQ174" s="66"/>
      <c r="AR174" s="66"/>
      <c r="AS174" s="66"/>
      <c r="AT174" s="66"/>
      <c r="AU174" s="66"/>
      <c r="AV174" s="66"/>
      <c r="AW174" s="66"/>
      <c r="AX174" s="66"/>
      <c r="AY174" s="66"/>
      <c r="AZ174" s="66"/>
      <c r="BA174" s="69"/>
      <c r="BB174" s="69"/>
      <c r="BC174" s="69"/>
      <c r="BD174" s="69"/>
    </row>
    <row r="175" spans="2:56" ht="21" customHeight="1" x14ac:dyDescent="0.25">
      <c r="B175" s="2"/>
      <c r="C175" s="8">
        <f>SUM(C171:C174)</f>
        <v>0</v>
      </c>
      <c r="F175" s="74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74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</row>
    <row r="176" spans="2:56" x14ac:dyDescent="0.25"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</row>
    <row r="177" spans="2:56" ht="15.75" x14ac:dyDescent="0.25">
      <c r="F177" s="82" t="s">
        <v>17</v>
      </c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3" t="s">
        <v>16</v>
      </c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79"/>
      <c r="AQ177" s="79"/>
      <c r="AR177" s="79"/>
      <c r="AS177" s="79"/>
      <c r="AT177" s="79"/>
      <c r="AU177" s="41"/>
      <c r="AV177" s="41"/>
      <c r="AW177" s="41"/>
      <c r="AX177" s="41"/>
      <c r="AY177" s="41"/>
      <c r="AZ177" s="41"/>
      <c r="BA177" s="41"/>
    </row>
    <row r="178" spans="2:56" ht="32.25" thickBot="1" x14ac:dyDescent="0.3">
      <c r="F178" s="81" t="s">
        <v>9</v>
      </c>
      <c r="G178" s="81"/>
      <c r="H178" s="81"/>
      <c r="I178" s="81"/>
      <c r="J178" s="81" t="s">
        <v>10</v>
      </c>
      <c r="K178" s="81"/>
      <c r="L178" s="81"/>
      <c r="M178" s="81"/>
      <c r="N178" s="81" t="s">
        <v>49</v>
      </c>
      <c r="O178" s="81"/>
      <c r="P178" s="81" t="s">
        <v>11</v>
      </c>
      <c r="Q178" s="81"/>
      <c r="R178" s="81"/>
      <c r="S178" s="81"/>
      <c r="T178" s="81"/>
      <c r="U178" s="81"/>
      <c r="V178" s="81"/>
      <c r="W178" s="81"/>
      <c r="X178" s="81" t="s">
        <v>9</v>
      </c>
      <c r="Y178" s="81"/>
      <c r="Z178" s="81"/>
      <c r="AA178" s="81"/>
      <c r="AB178" s="81" t="s">
        <v>10</v>
      </c>
      <c r="AC178" s="81"/>
      <c r="AD178" s="81"/>
      <c r="AE178" s="81"/>
      <c r="AF178" s="81" t="s">
        <v>49</v>
      </c>
      <c r="AG178" s="81"/>
      <c r="AH178" s="81" t="s">
        <v>11</v>
      </c>
      <c r="AI178" s="81"/>
      <c r="AJ178" s="81"/>
      <c r="AK178" s="81"/>
      <c r="AL178" s="81"/>
      <c r="AM178" s="81"/>
      <c r="AN178" s="81"/>
      <c r="AO178" s="81"/>
      <c r="AP178" s="70" t="s">
        <v>50</v>
      </c>
      <c r="AQ178" s="70" t="s">
        <v>57</v>
      </c>
      <c r="AR178" s="70" t="s">
        <v>63</v>
      </c>
      <c r="AS178" s="70" t="s">
        <v>64</v>
      </c>
      <c r="AT178" s="70" t="s">
        <v>61</v>
      </c>
      <c r="AU178" s="70" t="s">
        <v>54</v>
      </c>
      <c r="AV178" s="70" t="s">
        <v>19</v>
      </c>
      <c r="AW178" s="70" t="s">
        <v>58</v>
      </c>
      <c r="AX178" s="70" t="s">
        <v>51</v>
      </c>
      <c r="AY178" s="70" t="s">
        <v>53</v>
      </c>
      <c r="AZ178" s="70" t="s">
        <v>52</v>
      </c>
      <c r="BA178" s="70" t="s">
        <v>55</v>
      </c>
      <c r="BB178" s="70" t="s">
        <v>56</v>
      </c>
      <c r="BC178" s="70" t="s">
        <v>59</v>
      </c>
      <c r="BD178" s="70" t="s">
        <v>60</v>
      </c>
    </row>
    <row r="179" spans="2:56" ht="16.5" thickBot="1" x14ac:dyDescent="0.3">
      <c r="B179" s="16">
        <v>0.19791666666666666</v>
      </c>
      <c r="C179" s="7" t="s">
        <v>5</v>
      </c>
      <c r="E179" s="11"/>
      <c r="F179" s="75" t="s">
        <v>15</v>
      </c>
      <c r="G179" s="58" t="s">
        <v>12</v>
      </c>
      <c r="H179" s="58" t="s">
        <v>14</v>
      </c>
      <c r="I179" s="58" t="s">
        <v>13</v>
      </c>
      <c r="J179" s="58" t="s">
        <v>42</v>
      </c>
      <c r="K179" s="58" t="s">
        <v>41</v>
      </c>
      <c r="L179" s="58" t="s">
        <v>43</v>
      </c>
      <c r="M179" s="58" t="s">
        <v>44</v>
      </c>
      <c r="N179" s="58" t="s">
        <v>15</v>
      </c>
      <c r="O179" s="58" t="s">
        <v>14</v>
      </c>
      <c r="P179" s="58" t="s">
        <v>45</v>
      </c>
      <c r="Q179" s="58" t="s">
        <v>46</v>
      </c>
      <c r="R179" s="58" t="s">
        <v>42</v>
      </c>
      <c r="S179" s="58" t="s">
        <v>41</v>
      </c>
      <c r="T179" s="58" t="s">
        <v>47</v>
      </c>
      <c r="U179" s="58" t="s">
        <v>48</v>
      </c>
      <c r="V179" s="58" t="s">
        <v>43</v>
      </c>
      <c r="W179" s="58" t="s">
        <v>44</v>
      </c>
      <c r="X179" s="75" t="s">
        <v>15</v>
      </c>
      <c r="Y179" s="58" t="s">
        <v>12</v>
      </c>
      <c r="Z179" s="58" t="s">
        <v>14</v>
      </c>
      <c r="AA179" s="58" t="s">
        <v>13</v>
      </c>
      <c r="AB179" s="58" t="s">
        <v>42</v>
      </c>
      <c r="AC179" s="58" t="s">
        <v>41</v>
      </c>
      <c r="AD179" s="58" t="s">
        <v>43</v>
      </c>
      <c r="AE179" s="58" t="s">
        <v>44</v>
      </c>
      <c r="AF179" s="58" t="s">
        <v>15</v>
      </c>
      <c r="AG179" s="58" t="s">
        <v>14</v>
      </c>
      <c r="AH179" s="58" t="s">
        <v>45</v>
      </c>
      <c r="AI179" s="58" t="s">
        <v>46</v>
      </c>
      <c r="AJ179" s="58" t="s">
        <v>42</v>
      </c>
      <c r="AK179" s="58" t="s">
        <v>41</v>
      </c>
      <c r="AL179" s="58" t="s">
        <v>47</v>
      </c>
      <c r="AM179" s="58" t="s">
        <v>48</v>
      </c>
      <c r="AN179" s="58" t="s">
        <v>43</v>
      </c>
      <c r="AO179" s="58" t="s">
        <v>44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</row>
    <row r="180" spans="2:56" ht="16.5" customHeight="1" thickBot="1" x14ac:dyDescent="0.3">
      <c r="B180" s="1" t="s">
        <v>0</v>
      </c>
      <c r="C180" s="13">
        <f>SUM(F180:W180)</f>
        <v>0</v>
      </c>
      <c r="E180" s="10" t="s">
        <v>0</v>
      </c>
      <c r="F180" s="71"/>
      <c r="G180" s="60"/>
      <c r="H180" s="60"/>
      <c r="I180" s="61"/>
      <c r="J180" s="59"/>
      <c r="K180" s="60"/>
      <c r="L180" s="60"/>
      <c r="M180" s="60"/>
      <c r="N180" s="59"/>
      <c r="O180" s="61"/>
      <c r="P180" s="59"/>
      <c r="Q180" s="60"/>
      <c r="R180" s="60"/>
      <c r="S180" s="60"/>
      <c r="T180" s="60"/>
      <c r="U180" s="60"/>
      <c r="V180" s="60"/>
      <c r="W180" s="61"/>
      <c r="X180" s="71"/>
      <c r="Y180" s="60"/>
      <c r="Z180" s="60"/>
      <c r="AA180" s="60"/>
      <c r="AB180" s="59"/>
      <c r="AC180" s="60"/>
      <c r="AD180" s="60"/>
      <c r="AE180" s="61"/>
      <c r="AF180" s="60"/>
      <c r="AG180" s="61"/>
      <c r="AH180" s="60"/>
      <c r="AI180" s="60"/>
      <c r="AJ180" s="60"/>
      <c r="AK180" s="60"/>
      <c r="AL180" s="60"/>
      <c r="AM180" s="60"/>
      <c r="AN180" s="60"/>
      <c r="AO180" s="60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62"/>
      <c r="BB180" s="62"/>
      <c r="BC180" s="62"/>
      <c r="BD180" s="62"/>
    </row>
    <row r="181" spans="2:56" ht="16.5" customHeight="1" thickBot="1" x14ac:dyDescent="0.3">
      <c r="B181" s="1" t="s">
        <v>1</v>
      </c>
      <c r="C181" s="14">
        <f t="shared" ref="C181:C183" si="19">SUM(F181:W181)</f>
        <v>0</v>
      </c>
      <c r="E181" s="1" t="s">
        <v>1</v>
      </c>
      <c r="F181" s="72"/>
      <c r="G181" s="41"/>
      <c r="H181" s="41"/>
      <c r="I181" s="64"/>
      <c r="J181" s="63"/>
      <c r="K181" s="41"/>
      <c r="L181" s="41"/>
      <c r="M181" s="41"/>
      <c r="N181" s="63"/>
      <c r="O181" s="64"/>
      <c r="P181" s="63"/>
      <c r="Q181" s="41"/>
      <c r="R181" s="41"/>
      <c r="S181" s="41"/>
      <c r="T181" s="41"/>
      <c r="U181" s="41"/>
      <c r="V181" s="41"/>
      <c r="W181" s="64"/>
      <c r="X181" s="72"/>
      <c r="Y181" s="41"/>
      <c r="Z181" s="41"/>
      <c r="AA181" s="41"/>
      <c r="AB181" s="63"/>
      <c r="AC181" s="41"/>
      <c r="AD181" s="41"/>
      <c r="AE181" s="64"/>
      <c r="AF181" s="41"/>
      <c r="AG181" s="64"/>
      <c r="AH181" s="41"/>
      <c r="AI181" s="41"/>
      <c r="AJ181" s="41"/>
      <c r="AK181" s="41"/>
      <c r="AL181" s="41"/>
      <c r="AM181" s="41"/>
      <c r="AN181" s="41"/>
      <c r="AO181" s="41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5"/>
      <c r="BB181" s="65"/>
      <c r="BC181" s="65"/>
      <c r="BD181" s="65"/>
    </row>
    <row r="182" spans="2:56" ht="16.5" customHeight="1" thickBot="1" x14ac:dyDescent="0.3">
      <c r="B182" s="1" t="s">
        <v>2</v>
      </c>
      <c r="C182" s="14">
        <f t="shared" si="19"/>
        <v>0</v>
      </c>
      <c r="E182" s="1" t="s">
        <v>2</v>
      </c>
      <c r="F182" s="72"/>
      <c r="G182" s="41"/>
      <c r="H182" s="41"/>
      <c r="I182" s="64"/>
      <c r="J182" s="63"/>
      <c r="K182" s="41"/>
      <c r="L182" s="41"/>
      <c r="M182" s="41"/>
      <c r="N182" s="63"/>
      <c r="O182" s="64"/>
      <c r="P182" s="63"/>
      <c r="Q182" s="41"/>
      <c r="R182" s="41"/>
      <c r="S182" s="41"/>
      <c r="T182" s="41"/>
      <c r="U182" s="41"/>
      <c r="V182" s="41"/>
      <c r="W182" s="64"/>
      <c r="X182" s="72"/>
      <c r="Y182" s="41"/>
      <c r="Z182" s="41"/>
      <c r="AA182" s="41"/>
      <c r="AB182" s="63"/>
      <c r="AC182" s="41"/>
      <c r="AD182" s="41"/>
      <c r="AE182" s="64"/>
      <c r="AF182" s="41"/>
      <c r="AG182" s="64"/>
      <c r="AH182" s="41"/>
      <c r="AI182" s="41"/>
      <c r="AJ182" s="41"/>
      <c r="AK182" s="41"/>
      <c r="AL182" s="41"/>
      <c r="AM182" s="41"/>
      <c r="AN182" s="41"/>
      <c r="AO182" s="41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5"/>
      <c r="BB182" s="65"/>
      <c r="BC182" s="65"/>
      <c r="BD182" s="65"/>
    </row>
    <row r="183" spans="2:56" ht="16.5" customHeight="1" thickBot="1" x14ac:dyDescent="0.3">
      <c r="B183" s="1" t="s">
        <v>3</v>
      </c>
      <c r="C183" s="15">
        <f t="shared" si="19"/>
        <v>0</v>
      </c>
      <c r="E183" s="1" t="s">
        <v>3</v>
      </c>
      <c r="F183" s="73"/>
      <c r="G183" s="67"/>
      <c r="H183" s="67"/>
      <c r="I183" s="68"/>
      <c r="J183" s="66"/>
      <c r="K183" s="67"/>
      <c r="L183" s="67"/>
      <c r="M183" s="67"/>
      <c r="N183" s="66"/>
      <c r="O183" s="68"/>
      <c r="P183" s="66"/>
      <c r="Q183" s="67"/>
      <c r="R183" s="67"/>
      <c r="S183" s="67"/>
      <c r="T183" s="67"/>
      <c r="U183" s="67"/>
      <c r="V183" s="67"/>
      <c r="W183" s="68"/>
      <c r="X183" s="73"/>
      <c r="Y183" s="67"/>
      <c r="Z183" s="67"/>
      <c r="AA183" s="67"/>
      <c r="AB183" s="66"/>
      <c r="AC183" s="67"/>
      <c r="AD183" s="67"/>
      <c r="AE183" s="68"/>
      <c r="AF183" s="67"/>
      <c r="AG183" s="68"/>
      <c r="AH183" s="67"/>
      <c r="AI183" s="67"/>
      <c r="AJ183" s="67"/>
      <c r="AK183" s="67"/>
      <c r="AL183" s="67"/>
      <c r="AM183" s="67"/>
      <c r="AN183" s="67"/>
      <c r="AO183" s="67"/>
      <c r="AP183" s="66"/>
      <c r="AQ183" s="66"/>
      <c r="AR183" s="66"/>
      <c r="AS183" s="66"/>
      <c r="AT183" s="66"/>
      <c r="AU183" s="66"/>
      <c r="AV183" s="66"/>
      <c r="AW183" s="66"/>
      <c r="AX183" s="66"/>
      <c r="AY183" s="66"/>
      <c r="AZ183" s="66"/>
      <c r="BA183" s="69"/>
      <c r="BB183" s="69"/>
      <c r="BC183" s="69"/>
      <c r="BD183" s="69"/>
    </row>
    <row r="184" spans="2:56" ht="21" customHeight="1" x14ac:dyDescent="0.25">
      <c r="B184" s="2"/>
      <c r="C184" s="8">
        <f>SUM(C180:C183)</f>
        <v>0</v>
      </c>
      <c r="F184" s="74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74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</row>
    <row r="185" spans="2:56" x14ac:dyDescent="0.25"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</row>
    <row r="186" spans="2:56" ht="15.75" x14ac:dyDescent="0.25">
      <c r="F186" s="82" t="s">
        <v>17</v>
      </c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3" t="s">
        <v>16</v>
      </c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79"/>
      <c r="AQ186" s="79"/>
      <c r="AR186" s="79"/>
      <c r="AS186" s="79"/>
      <c r="AT186" s="79"/>
      <c r="AU186" s="41"/>
      <c r="AV186" s="41"/>
      <c r="AW186" s="41"/>
      <c r="AX186" s="41"/>
      <c r="AY186" s="41"/>
      <c r="AZ186" s="41"/>
      <c r="BA186" s="41"/>
    </row>
    <row r="187" spans="2:56" ht="32.25" thickBot="1" x14ac:dyDescent="0.3">
      <c r="F187" s="81" t="s">
        <v>9</v>
      </c>
      <c r="G187" s="81"/>
      <c r="H187" s="81"/>
      <c r="I187" s="81"/>
      <c r="J187" s="81" t="s">
        <v>10</v>
      </c>
      <c r="K187" s="81"/>
      <c r="L187" s="81"/>
      <c r="M187" s="81"/>
      <c r="N187" s="81" t="s">
        <v>49</v>
      </c>
      <c r="O187" s="81"/>
      <c r="P187" s="81" t="s">
        <v>11</v>
      </c>
      <c r="Q187" s="81"/>
      <c r="R187" s="81"/>
      <c r="S187" s="81"/>
      <c r="T187" s="81"/>
      <c r="U187" s="81"/>
      <c r="V187" s="81"/>
      <c r="W187" s="81"/>
      <c r="X187" s="81" t="s">
        <v>9</v>
      </c>
      <c r="Y187" s="81"/>
      <c r="Z187" s="81"/>
      <c r="AA187" s="81"/>
      <c r="AB187" s="81" t="s">
        <v>10</v>
      </c>
      <c r="AC187" s="81"/>
      <c r="AD187" s="81"/>
      <c r="AE187" s="81"/>
      <c r="AF187" s="81" t="s">
        <v>49</v>
      </c>
      <c r="AG187" s="81"/>
      <c r="AH187" s="81" t="s">
        <v>11</v>
      </c>
      <c r="AI187" s="81"/>
      <c r="AJ187" s="81"/>
      <c r="AK187" s="81"/>
      <c r="AL187" s="81"/>
      <c r="AM187" s="81"/>
      <c r="AN187" s="81"/>
      <c r="AO187" s="81"/>
      <c r="AP187" s="70" t="s">
        <v>50</v>
      </c>
      <c r="AQ187" s="70" t="s">
        <v>57</v>
      </c>
      <c r="AR187" s="70" t="s">
        <v>63</v>
      </c>
      <c r="AS187" s="70" t="s">
        <v>64</v>
      </c>
      <c r="AT187" s="70" t="s">
        <v>61</v>
      </c>
      <c r="AU187" s="70" t="s">
        <v>54</v>
      </c>
      <c r="AV187" s="70" t="s">
        <v>19</v>
      </c>
      <c r="AW187" s="70" t="s">
        <v>58</v>
      </c>
      <c r="AX187" s="70" t="s">
        <v>51</v>
      </c>
      <c r="AY187" s="70" t="s">
        <v>53</v>
      </c>
      <c r="AZ187" s="70" t="s">
        <v>52</v>
      </c>
      <c r="BA187" s="70" t="s">
        <v>55</v>
      </c>
      <c r="BB187" s="70" t="s">
        <v>56</v>
      </c>
      <c r="BC187" s="70" t="s">
        <v>59</v>
      </c>
      <c r="BD187" s="70" t="s">
        <v>60</v>
      </c>
    </row>
    <row r="188" spans="2:56" ht="16.5" thickBot="1" x14ac:dyDescent="0.3">
      <c r="B188" s="17">
        <v>0.20833333333333334</v>
      </c>
      <c r="C188" s="7" t="s">
        <v>5</v>
      </c>
      <c r="E188" s="11"/>
      <c r="F188" s="75" t="s">
        <v>15</v>
      </c>
      <c r="G188" s="58" t="s">
        <v>12</v>
      </c>
      <c r="H188" s="58" t="s">
        <v>14</v>
      </c>
      <c r="I188" s="58" t="s">
        <v>13</v>
      </c>
      <c r="J188" s="58" t="s">
        <v>42</v>
      </c>
      <c r="K188" s="58" t="s">
        <v>41</v>
      </c>
      <c r="L188" s="58" t="s">
        <v>43</v>
      </c>
      <c r="M188" s="58" t="s">
        <v>44</v>
      </c>
      <c r="N188" s="58" t="s">
        <v>15</v>
      </c>
      <c r="O188" s="58" t="s">
        <v>14</v>
      </c>
      <c r="P188" s="58" t="s">
        <v>45</v>
      </c>
      <c r="Q188" s="58" t="s">
        <v>46</v>
      </c>
      <c r="R188" s="58" t="s">
        <v>42</v>
      </c>
      <c r="S188" s="58" t="s">
        <v>41</v>
      </c>
      <c r="T188" s="58" t="s">
        <v>47</v>
      </c>
      <c r="U188" s="58" t="s">
        <v>48</v>
      </c>
      <c r="V188" s="58" t="s">
        <v>43</v>
      </c>
      <c r="W188" s="58" t="s">
        <v>44</v>
      </c>
      <c r="X188" s="75" t="s">
        <v>15</v>
      </c>
      <c r="Y188" s="58" t="s">
        <v>12</v>
      </c>
      <c r="Z188" s="58" t="s">
        <v>14</v>
      </c>
      <c r="AA188" s="58" t="s">
        <v>13</v>
      </c>
      <c r="AB188" s="58" t="s">
        <v>42</v>
      </c>
      <c r="AC188" s="58" t="s">
        <v>41</v>
      </c>
      <c r="AD188" s="58" t="s">
        <v>43</v>
      </c>
      <c r="AE188" s="58" t="s">
        <v>44</v>
      </c>
      <c r="AF188" s="58" t="s">
        <v>15</v>
      </c>
      <c r="AG188" s="58" t="s">
        <v>14</v>
      </c>
      <c r="AH188" s="58" t="s">
        <v>45</v>
      </c>
      <c r="AI188" s="58" t="s">
        <v>46</v>
      </c>
      <c r="AJ188" s="58" t="s">
        <v>42</v>
      </c>
      <c r="AK188" s="58" t="s">
        <v>41</v>
      </c>
      <c r="AL188" s="58" t="s">
        <v>47</v>
      </c>
      <c r="AM188" s="58" t="s">
        <v>48</v>
      </c>
      <c r="AN188" s="58" t="s">
        <v>43</v>
      </c>
      <c r="AO188" s="58" t="s">
        <v>44</v>
      </c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</row>
    <row r="189" spans="2:56" ht="16.5" customHeight="1" thickBot="1" x14ac:dyDescent="0.3">
      <c r="B189" s="1" t="s">
        <v>0</v>
      </c>
      <c r="C189" s="13">
        <f>SUM(F189:W189)</f>
        <v>0</v>
      </c>
      <c r="E189" s="10" t="s">
        <v>0</v>
      </c>
      <c r="F189" s="71"/>
      <c r="G189" s="60"/>
      <c r="H189" s="60"/>
      <c r="I189" s="61"/>
      <c r="J189" s="59"/>
      <c r="K189" s="60"/>
      <c r="L189" s="60"/>
      <c r="M189" s="60"/>
      <c r="N189" s="59"/>
      <c r="O189" s="61"/>
      <c r="P189" s="59"/>
      <c r="Q189" s="60"/>
      <c r="R189" s="60"/>
      <c r="S189" s="60"/>
      <c r="T189" s="60"/>
      <c r="U189" s="60"/>
      <c r="V189" s="60"/>
      <c r="W189" s="61"/>
      <c r="X189" s="71"/>
      <c r="Y189" s="60"/>
      <c r="Z189" s="60"/>
      <c r="AA189" s="60"/>
      <c r="AB189" s="59"/>
      <c r="AC189" s="60"/>
      <c r="AD189" s="60"/>
      <c r="AE189" s="61"/>
      <c r="AF189" s="60"/>
      <c r="AG189" s="61"/>
      <c r="AH189" s="60"/>
      <c r="AI189" s="60"/>
      <c r="AJ189" s="60"/>
      <c r="AK189" s="60"/>
      <c r="AL189" s="60"/>
      <c r="AM189" s="60"/>
      <c r="AN189" s="60"/>
      <c r="AO189" s="60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62"/>
      <c r="BB189" s="62"/>
      <c r="BC189" s="62"/>
      <c r="BD189" s="62"/>
    </row>
    <row r="190" spans="2:56" ht="16.5" customHeight="1" thickBot="1" x14ac:dyDescent="0.3">
      <c r="B190" s="1" t="s">
        <v>1</v>
      </c>
      <c r="C190" s="14">
        <f t="shared" ref="C190:C192" si="20">SUM(F190:W190)</f>
        <v>0</v>
      </c>
      <c r="E190" s="1" t="s">
        <v>1</v>
      </c>
      <c r="F190" s="72"/>
      <c r="G190" s="41"/>
      <c r="H190" s="41"/>
      <c r="I190" s="64"/>
      <c r="J190" s="63"/>
      <c r="K190" s="41"/>
      <c r="L190" s="41"/>
      <c r="M190" s="41"/>
      <c r="N190" s="63"/>
      <c r="O190" s="64"/>
      <c r="P190" s="63"/>
      <c r="Q190" s="41"/>
      <c r="R190" s="41"/>
      <c r="S190" s="41"/>
      <c r="T190" s="41"/>
      <c r="U190" s="41"/>
      <c r="V190" s="41"/>
      <c r="W190" s="64"/>
      <c r="X190" s="72"/>
      <c r="Y190" s="41"/>
      <c r="Z190" s="41"/>
      <c r="AA190" s="41"/>
      <c r="AB190" s="63"/>
      <c r="AC190" s="41"/>
      <c r="AD190" s="41"/>
      <c r="AE190" s="64"/>
      <c r="AF190" s="41"/>
      <c r="AG190" s="64"/>
      <c r="AH190" s="41"/>
      <c r="AI190" s="41"/>
      <c r="AJ190" s="41"/>
      <c r="AK190" s="41"/>
      <c r="AL190" s="41"/>
      <c r="AM190" s="41"/>
      <c r="AN190" s="41"/>
      <c r="AO190" s="41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5"/>
      <c r="BB190" s="65"/>
      <c r="BC190" s="65"/>
      <c r="BD190" s="65"/>
    </row>
    <row r="191" spans="2:56" ht="16.5" customHeight="1" thickBot="1" x14ac:dyDescent="0.3">
      <c r="B191" s="1" t="s">
        <v>2</v>
      </c>
      <c r="C191" s="14">
        <f t="shared" si="20"/>
        <v>0</v>
      </c>
      <c r="E191" s="1" t="s">
        <v>2</v>
      </c>
      <c r="F191" s="72"/>
      <c r="G191" s="41"/>
      <c r="H191" s="41"/>
      <c r="I191" s="64"/>
      <c r="J191" s="63"/>
      <c r="K191" s="41"/>
      <c r="L191" s="41"/>
      <c r="M191" s="41"/>
      <c r="N191" s="63"/>
      <c r="O191" s="64"/>
      <c r="P191" s="63"/>
      <c r="Q191" s="41"/>
      <c r="R191" s="41"/>
      <c r="S191" s="41"/>
      <c r="T191" s="41"/>
      <c r="U191" s="41"/>
      <c r="V191" s="41"/>
      <c r="W191" s="64"/>
      <c r="X191" s="72"/>
      <c r="Y191" s="41"/>
      <c r="Z191" s="41"/>
      <c r="AA191" s="41"/>
      <c r="AB191" s="63"/>
      <c r="AC191" s="41"/>
      <c r="AD191" s="41"/>
      <c r="AE191" s="64"/>
      <c r="AF191" s="41"/>
      <c r="AG191" s="64"/>
      <c r="AH191" s="41"/>
      <c r="AI191" s="41"/>
      <c r="AJ191" s="41"/>
      <c r="AK191" s="41"/>
      <c r="AL191" s="41"/>
      <c r="AM191" s="41"/>
      <c r="AN191" s="41"/>
      <c r="AO191" s="41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5"/>
      <c r="BB191" s="65"/>
      <c r="BC191" s="65"/>
      <c r="BD191" s="65"/>
    </row>
    <row r="192" spans="2:56" ht="16.5" customHeight="1" thickBot="1" x14ac:dyDescent="0.3">
      <c r="B192" s="1" t="s">
        <v>3</v>
      </c>
      <c r="C192" s="15">
        <f t="shared" si="20"/>
        <v>0</v>
      </c>
      <c r="E192" s="1" t="s">
        <v>3</v>
      </c>
      <c r="F192" s="73"/>
      <c r="G192" s="67"/>
      <c r="H192" s="67"/>
      <c r="I192" s="68"/>
      <c r="J192" s="66"/>
      <c r="K192" s="67"/>
      <c r="L192" s="67"/>
      <c r="M192" s="67"/>
      <c r="N192" s="66"/>
      <c r="O192" s="68"/>
      <c r="P192" s="66"/>
      <c r="Q192" s="67"/>
      <c r="R192" s="67"/>
      <c r="S192" s="67"/>
      <c r="T192" s="67"/>
      <c r="U192" s="67"/>
      <c r="V192" s="67"/>
      <c r="W192" s="68"/>
      <c r="X192" s="73"/>
      <c r="Y192" s="67"/>
      <c r="Z192" s="67"/>
      <c r="AA192" s="67"/>
      <c r="AB192" s="66"/>
      <c r="AC192" s="67"/>
      <c r="AD192" s="67"/>
      <c r="AE192" s="68"/>
      <c r="AF192" s="67"/>
      <c r="AG192" s="68"/>
      <c r="AH192" s="67"/>
      <c r="AI192" s="67"/>
      <c r="AJ192" s="67"/>
      <c r="AK192" s="67"/>
      <c r="AL192" s="67"/>
      <c r="AM192" s="67"/>
      <c r="AN192" s="67"/>
      <c r="AO192" s="67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9"/>
      <c r="BB192" s="69"/>
      <c r="BC192" s="69"/>
      <c r="BD192" s="69"/>
    </row>
    <row r="193" spans="2:56" ht="21" customHeight="1" x14ac:dyDescent="0.25">
      <c r="B193" s="2"/>
      <c r="C193" s="8">
        <f>SUM(C189:C192)</f>
        <v>0</v>
      </c>
      <c r="F193" s="74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74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</row>
    <row r="194" spans="2:56" x14ac:dyDescent="0.25"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</row>
    <row r="195" spans="2:56" ht="15.75" x14ac:dyDescent="0.25">
      <c r="F195" s="82" t="s">
        <v>17</v>
      </c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3" t="s">
        <v>16</v>
      </c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79"/>
      <c r="AQ195" s="79"/>
      <c r="AR195" s="79"/>
      <c r="AS195" s="79"/>
      <c r="AT195" s="79"/>
      <c r="AU195" s="41"/>
      <c r="AV195" s="41"/>
      <c r="AW195" s="41"/>
      <c r="AX195" s="41"/>
      <c r="AY195" s="41"/>
      <c r="AZ195" s="41"/>
      <c r="BA195" s="41"/>
    </row>
    <row r="196" spans="2:56" ht="32.25" thickBot="1" x14ac:dyDescent="0.3">
      <c r="F196" s="81" t="s">
        <v>9</v>
      </c>
      <c r="G196" s="81"/>
      <c r="H196" s="81"/>
      <c r="I196" s="81"/>
      <c r="J196" s="81" t="s">
        <v>10</v>
      </c>
      <c r="K196" s="81"/>
      <c r="L196" s="81"/>
      <c r="M196" s="81"/>
      <c r="N196" s="81" t="s">
        <v>49</v>
      </c>
      <c r="O196" s="81"/>
      <c r="P196" s="81" t="s">
        <v>11</v>
      </c>
      <c r="Q196" s="81"/>
      <c r="R196" s="81"/>
      <c r="S196" s="81"/>
      <c r="T196" s="81"/>
      <c r="U196" s="81"/>
      <c r="V196" s="81"/>
      <c r="W196" s="81"/>
      <c r="X196" s="81" t="s">
        <v>9</v>
      </c>
      <c r="Y196" s="81"/>
      <c r="Z196" s="81"/>
      <c r="AA196" s="81"/>
      <c r="AB196" s="81" t="s">
        <v>10</v>
      </c>
      <c r="AC196" s="81"/>
      <c r="AD196" s="81"/>
      <c r="AE196" s="81"/>
      <c r="AF196" s="81" t="s">
        <v>49</v>
      </c>
      <c r="AG196" s="81"/>
      <c r="AH196" s="81" t="s">
        <v>11</v>
      </c>
      <c r="AI196" s="81"/>
      <c r="AJ196" s="81"/>
      <c r="AK196" s="81"/>
      <c r="AL196" s="81"/>
      <c r="AM196" s="81"/>
      <c r="AN196" s="81"/>
      <c r="AO196" s="81"/>
      <c r="AP196" s="70" t="s">
        <v>50</v>
      </c>
      <c r="AQ196" s="70" t="s">
        <v>57</v>
      </c>
      <c r="AR196" s="70" t="s">
        <v>63</v>
      </c>
      <c r="AS196" s="70" t="s">
        <v>64</v>
      </c>
      <c r="AT196" s="70" t="s">
        <v>61</v>
      </c>
      <c r="AU196" s="70" t="s">
        <v>54</v>
      </c>
      <c r="AV196" s="70" t="s">
        <v>19</v>
      </c>
      <c r="AW196" s="70" t="s">
        <v>58</v>
      </c>
      <c r="AX196" s="70" t="s">
        <v>51</v>
      </c>
      <c r="AY196" s="70" t="s">
        <v>53</v>
      </c>
      <c r="AZ196" s="70" t="s">
        <v>52</v>
      </c>
      <c r="BA196" s="70" t="s">
        <v>55</v>
      </c>
      <c r="BB196" s="70" t="s">
        <v>56</v>
      </c>
      <c r="BC196" s="70" t="s">
        <v>59</v>
      </c>
      <c r="BD196" s="70" t="s">
        <v>60</v>
      </c>
    </row>
    <row r="197" spans="2:56" ht="16.5" thickBot="1" x14ac:dyDescent="0.3">
      <c r="B197" s="17">
        <v>0.21875</v>
      </c>
      <c r="C197" s="7" t="s">
        <v>5</v>
      </c>
      <c r="E197" s="11"/>
      <c r="F197" s="75" t="s">
        <v>15</v>
      </c>
      <c r="G197" s="58" t="s">
        <v>12</v>
      </c>
      <c r="H197" s="58" t="s">
        <v>14</v>
      </c>
      <c r="I197" s="58" t="s">
        <v>13</v>
      </c>
      <c r="J197" s="58" t="s">
        <v>42</v>
      </c>
      <c r="K197" s="58" t="s">
        <v>41</v>
      </c>
      <c r="L197" s="58" t="s">
        <v>43</v>
      </c>
      <c r="M197" s="58" t="s">
        <v>44</v>
      </c>
      <c r="N197" s="58" t="s">
        <v>15</v>
      </c>
      <c r="O197" s="58" t="s">
        <v>14</v>
      </c>
      <c r="P197" s="58" t="s">
        <v>45</v>
      </c>
      <c r="Q197" s="58" t="s">
        <v>46</v>
      </c>
      <c r="R197" s="58" t="s">
        <v>42</v>
      </c>
      <c r="S197" s="58" t="s">
        <v>41</v>
      </c>
      <c r="T197" s="58" t="s">
        <v>47</v>
      </c>
      <c r="U197" s="58" t="s">
        <v>48</v>
      </c>
      <c r="V197" s="58" t="s">
        <v>43</v>
      </c>
      <c r="W197" s="58" t="s">
        <v>44</v>
      </c>
      <c r="X197" s="75" t="s">
        <v>15</v>
      </c>
      <c r="Y197" s="58" t="s">
        <v>12</v>
      </c>
      <c r="Z197" s="58" t="s">
        <v>14</v>
      </c>
      <c r="AA197" s="58" t="s">
        <v>13</v>
      </c>
      <c r="AB197" s="58" t="s">
        <v>42</v>
      </c>
      <c r="AC197" s="58" t="s">
        <v>41</v>
      </c>
      <c r="AD197" s="58" t="s">
        <v>43</v>
      </c>
      <c r="AE197" s="58" t="s">
        <v>44</v>
      </c>
      <c r="AF197" s="58" t="s">
        <v>15</v>
      </c>
      <c r="AG197" s="58" t="s">
        <v>14</v>
      </c>
      <c r="AH197" s="58" t="s">
        <v>45</v>
      </c>
      <c r="AI197" s="58" t="s">
        <v>46</v>
      </c>
      <c r="AJ197" s="58" t="s">
        <v>42</v>
      </c>
      <c r="AK197" s="58" t="s">
        <v>41</v>
      </c>
      <c r="AL197" s="58" t="s">
        <v>47</v>
      </c>
      <c r="AM197" s="58" t="s">
        <v>48</v>
      </c>
      <c r="AN197" s="58" t="s">
        <v>43</v>
      </c>
      <c r="AO197" s="58" t="s">
        <v>44</v>
      </c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</row>
    <row r="198" spans="2:56" ht="16.5" customHeight="1" thickBot="1" x14ac:dyDescent="0.3">
      <c r="B198" s="1" t="s">
        <v>0</v>
      </c>
      <c r="C198" s="13">
        <f>SUM(F198:W198)</f>
        <v>1</v>
      </c>
      <c r="E198" s="10" t="s">
        <v>0</v>
      </c>
      <c r="F198" s="71"/>
      <c r="G198" s="60"/>
      <c r="H198" s="60"/>
      <c r="I198" s="61"/>
      <c r="J198" s="59"/>
      <c r="K198" s="60"/>
      <c r="L198" s="60"/>
      <c r="M198" s="60"/>
      <c r="N198" s="59"/>
      <c r="O198" s="61">
        <v>1</v>
      </c>
      <c r="P198" s="59"/>
      <c r="Q198" s="60"/>
      <c r="R198" s="60"/>
      <c r="S198" s="60"/>
      <c r="T198" s="60"/>
      <c r="U198" s="60"/>
      <c r="V198" s="60"/>
      <c r="W198" s="61"/>
      <c r="X198" s="71"/>
      <c r="Y198" s="60"/>
      <c r="Z198" s="60"/>
      <c r="AA198" s="60"/>
      <c r="AB198" s="59"/>
      <c r="AC198" s="60"/>
      <c r="AD198" s="60"/>
      <c r="AE198" s="61"/>
      <c r="AF198" s="60">
        <v>1</v>
      </c>
      <c r="AG198" s="61"/>
      <c r="AH198" s="60"/>
      <c r="AI198" s="60"/>
      <c r="AJ198" s="60"/>
      <c r="AK198" s="60"/>
      <c r="AL198" s="60"/>
      <c r="AM198" s="60"/>
      <c r="AN198" s="60"/>
      <c r="AO198" s="60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>
        <v>1</v>
      </c>
      <c r="BA198" s="62"/>
      <c r="BB198" s="62"/>
      <c r="BC198" s="62"/>
      <c r="BD198" s="62"/>
    </row>
    <row r="199" spans="2:56" ht="16.5" customHeight="1" thickBot="1" x14ac:dyDescent="0.3">
      <c r="B199" s="1" t="s">
        <v>1</v>
      </c>
      <c r="C199" s="14">
        <f t="shared" ref="C199:C201" si="21">SUM(F199:W199)</f>
        <v>0</v>
      </c>
      <c r="E199" s="1" t="s">
        <v>1</v>
      </c>
      <c r="F199" s="72"/>
      <c r="G199" s="41"/>
      <c r="H199" s="41"/>
      <c r="I199" s="64"/>
      <c r="J199" s="63"/>
      <c r="K199" s="41"/>
      <c r="L199" s="41"/>
      <c r="M199" s="41"/>
      <c r="N199" s="63"/>
      <c r="O199" s="64"/>
      <c r="P199" s="63"/>
      <c r="Q199" s="41"/>
      <c r="R199" s="41"/>
      <c r="S199" s="41"/>
      <c r="T199" s="41"/>
      <c r="U199" s="41"/>
      <c r="V199" s="41"/>
      <c r="W199" s="64"/>
      <c r="X199" s="72"/>
      <c r="Y199" s="41"/>
      <c r="Z199" s="41"/>
      <c r="AA199" s="41"/>
      <c r="AB199" s="63"/>
      <c r="AC199" s="41"/>
      <c r="AD199" s="41"/>
      <c r="AE199" s="64"/>
      <c r="AF199" s="41"/>
      <c r="AG199" s="64"/>
      <c r="AH199" s="41"/>
      <c r="AI199" s="41"/>
      <c r="AJ199" s="41"/>
      <c r="AK199" s="41"/>
      <c r="AL199" s="41"/>
      <c r="AM199" s="41"/>
      <c r="AN199" s="41"/>
      <c r="AO199" s="41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5"/>
      <c r="BB199" s="65"/>
      <c r="BC199" s="65"/>
      <c r="BD199" s="65"/>
    </row>
    <row r="200" spans="2:56" ht="16.5" customHeight="1" thickBot="1" x14ac:dyDescent="0.3">
      <c r="B200" s="1" t="s">
        <v>2</v>
      </c>
      <c r="C200" s="14">
        <f t="shared" si="21"/>
        <v>0</v>
      </c>
      <c r="E200" s="1" t="s">
        <v>2</v>
      </c>
      <c r="F200" s="72"/>
      <c r="G200" s="41"/>
      <c r="H200" s="41"/>
      <c r="I200" s="64"/>
      <c r="J200" s="63"/>
      <c r="K200" s="41"/>
      <c r="L200" s="41"/>
      <c r="M200" s="41"/>
      <c r="N200" s="63"/>
      <c r="O200" s="64"/>
      <c r="P200" s="63"/>
      <c r="Q200" s="41"/>
      <c r="R200" s="41"/>
      <c r="S200" s="41"/>
      <c r="T200" s="41"/>
      <c r="U200" s="41"/>
      <c r="V200" s="41"/>
      <c r="W200" s="64"/>
      <c r="X200" s="72"/>
      <c r="Y200" s="41"/>
      <c r="Z200" s="41"/>
      <c r="AA200" s="41"/>
      <c r="AB200" s="63"/>
      <c r="AC200" s="41"/>
      <c r="AD200" s="41"/>
      <c r="AE200" s="64"/>
      <c r="AF200" s="41"/>
      <c r="AG200" s="64"/>
      <c r="AH200" s="41"/>
      <c r="AI200" s="41"/>
      <c r="AJ200" s="41"/>
      <c r="AK200" s="41"/>
      <c r="AL200" s="41"/>
      <c r="AM200" s="41"/>
      <c r="AN200" s="41"/>
      <c r="AO200" s="41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5"/>
      <c r="BB200" s="65"/>
      <c r="BC200" s="65"/>
      <c r="BD200" s="65"/>
    </row>
    <row r="201" spans="2:56" ht="16.5" customHeight="1" thickBot="1" x14ac:dyDescent="0.3">
      <c r="B201" s="1" t="s">
        <v>3</v>
      </c>
      <c r="C201" s="15">
        <f t="shared" si="21"/>
        <v>0</v>
      </c>
      <c r="E201" s="1" t="s">
        <v>3</v>
      </c>
      <c r="F201" s="73"/>
      <c r="G201" s="67"/>
      <c r="H201" s="67"/>
      <c r="I201" s="68"/>
      <c r="J201" s="66"/>
      <c r="K201" s="67"/>
      <c r="L201" s="67"/>
      <c r="M201" s="67"/>
      <c r="N201" s="66"/>
      <c r="O201" s="68"/>
      <c r="P201" s="66"/>
      <c r="Q201" s="67"/>
      <c r="R201" s="67"/>
      <c r="S201" s="67"/>
      <c r="T201" s="67"/>
      <c r="U201" s="67"/>
      <c r="V201" s="67"/>
      <c r="W201" s="68"/>
      <c r="X201" s="73"/>
      <c r="Y201" s="67"/>
      <c r="Z201" s="67"/>
      <c r="AA201" s="67"/>
      <c r="AB201" s="66"/>
      <c r="AC201" s="67"/>
      <c r="AD201" s="67"/>
      <c r="AE201" s="68"/>
      <c r="AF201" s="67"/>
      <c r="AG201" s="68"/>
      <c r="AH201" s="67"/>
      <c r="AI201" s="67"/>
      <c r="AJ201" s="67"/>
      <c r="AK201" s="67"/>
      <c r="AL201" s="67"/>
      <c r="AM201" s="67"/>
      <c r="AN201" s="67"/>
      <c r="AO201" s="67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9"/>
      <c r="BB201" s="69"/>
      <c r="BC201" s="69"/>
      <c r="BD201" s="69"/>
    </row>
    <row r="202" spans="2:56" ht="21" customHeight="1" x14ac:dyDescent="0.25">
      <c r="B202" s="2"/>
      <c r="C202" s="8">
        <f>SUM(C198:C201)</f>
        <v>1</v>
      </c>
      <c r="F202" s="74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74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</row>
    <row r="203" spans="2:56" x14ac:dyDescent="0.25"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</row>
    <row r="204" spans="2:56" ht="15.75" x14ac:dyDescent="0.25">
      <c r="F204" s="82" t="s">
        <v>17</v>
      </c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3" t="s">
        <v>16</v>
      </c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79"/>
      <c r="AQ204" s="79"/>
      <c r="AR204" s="79"/>
      <c r="AS204" s="79"/>
      <c r="AT204" s="79"/>
      <c r="AU204" s="41"/>
      <c r="AV204" s="41"/>
      <c r="AW204" s="41"/>
      <c r="AX204" s="41"/>
      <c r="AY204" s="41"/>
      <c r="AZ204" s="41"/>
      <c r="BA204" s="41"/>
    </row>
    <row r="205" spans="2:56" ht="32.25" thickBot="1" x14ac:dyDescent="0.3">
      <c r="F205" s="81" t="s">
        <v>9</v>
      </c>
      <c r="G205" s="81"/>
      <c r="H205" s="81"/>
      <c r="I205" s="81"/>
      <c r="J205" s="81" t="s">
        <v>10</v>
      </c>
      <c r="K205" s="81"/>
      <c r="L205" s="81"/>
      <c r="M205" s="81"/>
      <c r="N205" s="81" t="s">
        <v>49</v>
      </c>
      <c r="O205" s="81"/>
      <c r="P205" s="81" t="s">
        <v>11</v>
      </c>
      <c r="Q205" s="81"/>
      <c r="R205" s="81"/>
      <c r="S205" s="81"/>
      <c r="T205" s="81"/>
      <c r="U205" s="81"/>
      <c r="V205" s="81"/>
      <c r="W205" s="81"/>
      <c r="X205" s="81" t="s">
        <v>9</v>
      </c>
      <c r="Y205" s="81"/>
      <c r="Z205" s="81"/>
      <c r="AA205" s="81"/>
      <c r="AB205" s="81" t="s">
        <v>10</v>
      </c>
      <c r="AC205" s="81"/>
      <c r="AD205" s="81"/>
      <c r="AE205" s="81"/>
      <c r="AF205" s="81" t="s">
        <v>49</v>
      </c>
      <c r="AG205" s="81"/>
      <c r="AH205" s="81" t="s">
        <v>11</v>
      </c>
      <c r="AI205" s="81"/>
      <c r="AJ205" s="81"/>
      <c r="AK205" s="81"/>
      <c r="AL205" s="81"/>
      <c r="AM205" s="81"/>
      <c r="AN205" s="81"/>
      <c r="AO205" s="81"/>
      <c r="AP205" s="70" t="s">
        <v>50</v>
      </c>
      <c r="AQ205" s="70" t="s">
        <v>57</v>
      </c>
      <c r="AR205" s="70" t="s">
        <v>63</v>
      </c>
      <c r="AS205" s="70" t="s">
        <v>64</v>
      </c>
      <c r="AT205" s="70" t="s">
        <v>61</v>
      </c>
      <c r="AU205" s="70" t="s">
        <v>54</v>
      </c>
      <c r="AV205" s="70" t="s">
        <v>19</v>
      </c>
      <c r="AW205" s="70" t="s">
        <v>58</v>
      </c>
      <c r="AX205" s="70" t="s">
        <v>51</v>
      </c>
      <c r="AY205" s="70" t="s">
        <v>53</v>
      </c>
      <c r="AZ205" s="70" t="s">
        <v>52</v>
      </c>
      <c r="BA205" s="70" t="s">
        <v>55</v>
      </c>
      <c r="BB205" s="70" t="s">
        <v>56</v>
      </c>
      <c r="BC205" s="70" t="s">
        <v>59</v>
      </c>
      <c r="BD205" s="70" t="s">
        <v>60</v>
      </c>
    </row>
    <row r="206" spans="2:56" ht="16.5" thickBot="1" x14ac:dyDescent="0.3">
      <c r="B206" s="17">
        <v>0.22916666666666666</v>
      </c>
      <c r="C206" s="7" t="s">
        <v>5</v>
      </c>
      <c r="E206" s="11"/>
      <c r="F206" s="75" t="s">
        <v>15</v>
      </c>
      <c r="G206" s="58" t="s">
        <v>12</v>
      </c>
      <c r="H206" s="58" t="s">
        <v>14</v>
      </c>
      <c r="I206" s="58" t="s">
        <v>13</v>
      </c>
      <c r="J206" s="58" t="s">
        <v>42</v>
      </c>
      <c r="K206" s="58" t="s">
        <v>41</v>
      </c>
      <c r="L206" s="58" t="s">
        <v>43</v>
      </c>
      <c r="M206" s="58" t="s">
        <v>44</v>
      </c>
      <c r="N206" s="58" t="s">
        <v>15</v>
      </c>
      <c r="O206" s="58" t="s">
        <v>14</v>
      </c>
      <c r="P206" s="58" t="s">
        <v>45</v>
      </c>
      <c r="Q206" s="58" t="s">
        <v>46</v>
      </c>
      <c r="R206" s="58" t="s">
        <v>42</v>
      </c>
      <c r="S206" s="58" t="s">
        <v>41</v>
      </c>
      <c r="T206" s="58" t="s">
        <v>47</v>
      </c>
      <c r="U206" s="58" t="s">
        <v>48</v>
      </c>
      <c r="V206" s="58" t="s">
        <v>43</v>
      </c>
      <c r="W206" s="58" t="s">
        <v>44</v>
      </c>
      <c r="X206" s="75" t="s">
        <v>15</v>
      </c>
      <c r="Y206" s="58" t="s">
        <v>12</v>
      </c>
      <c r="Z206" s="58" t="s">
        <v>14</v>
      </c>
      <c r="AA206" s="58" t="s">
        <v>13</v>
      </c>
      <c r="AB206" s="58" t="s">
        <v>42</v>
      </c>
      <c r="AC206" s="58" t="s">
        <v>41</v>
      </c>
      <c r="AD206" s="58" t="s">
        <v>43</v>
      </c>
      <c r="AE206" s="58" t="s">
        <v>44</v>
      </c>
      <c r="AF206" s="58" t="s">
        <v>15</v>
      </c>
      <c r="AG206" s="58" t="s">
        <v>14</v>
      </c>
      <c r="AH206" s="58" t="s">
        <v>45</v>
      </c>
      <c r="AI206" s="58" t="s">
        <v>46</v>
      </c>
      <c r="AJ206" s="58" t="s">
        <v>42</v>
      </c>
      <c r="AK206" s="58" t="s">
        <v>41</v>
      </c>
      <c r="AL206" s="58" t="s">
        <v>47</v>
      </c>
      <c r="AM206" s="58" t="s">
        <v>48</v>
      </c>
      <c r="AN206" s="58" t="s">
        <v>43</v>
      </c>
      <c r="AO206" s="58" t="s">
        <v>44</v>
      </c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</row>
    <row r="207" spans="2:56" ht="16.5" customHeight="1" thickBot="1" x14ac:dyDescent="0.3">
      <c r="B207" s="1" t="s">
        <v>0</v>
      </c>
      <c r="C207" s="13">
        <f>SUM(F207:W207)</f>
        <v>2</v>
      </c>
      <c r="E207" s="10" t="s">
        <v>0</v>
      </c>
      <c r="F207" s="71"/>
      <c r="G207" s="60"/>
      <c r="H207" s="60"/>
      <c r="I207" s="61"/>
      <c r="J207" s="59"/>
      <c r="K207" s="60"/>
      <c r="L207" s="60"/>
      <c r="M207" s="60"/>
      <c r="N207" s="59">
        <v>1</v>
      </c>
      <c r="O207" s="61">
        <v>1</v>
      </c>
      <c r="P207" s="59"/>
      <c r="Q207" s="60"/>
      <c r="R207" s="60"/>
      <c r="S207" s="60"/>
      <c r="T207" s="60"/>
      <c r="U207" s="60"/>
      <c r="V207" s="60"/>
      <c r="W207" s="61"/>
      <c r="X207" s="71"/>
      <c r="Y207" s="60"/>
      <c r="Z207" s="60"/>
      <c r="AA207" s="60"/>
      <c r="AB207" s="59"/>
      <c r="AC207" s="60"/>
      <c r="AD207" s="60"/>
      <c r="AE207" s="61"/>
      <c r="AF207" s="60"/>
      <c r="AG207" s="61">
        <v>1</v>
      </c>
      <c r="AH207" s="60"/>
      <c r="AI207" s="60"/>
      <c r="AJ207" s="60"/>
      <c r="AK207" s="60">
        <v>1</v>
      </c>
      <c r="AL207" s="60"/>
      <c r="AM207" s="60"/>
      <c r="AN207" s="60"/>
      <c r="AO207" s="60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>
        <v>2</v>
      </c>
      <c r="BA207" s="62"/>
      <c r="BB207" s="62"/>
      <c r="BC207" s="62"/>
      <c r="BD207" s="62"/>
    </row>
    <row r="208" spans="2:56" ht="16.5" customHeight="1" thickBot="1" x14ac:dyDescent="0.3">
      <c r="B208" s="1" t="s">
        <v>1</v>
      </c>
      <c r="C208" s="14">
        <f t="shared" ref="C208:C210" si="22">SUM(F208:W208)</f>
        <v>0</v>
      </c>
      <c r="E208" s="1" t="s">
        <v>1</v>
      </c>
      <c r="F208" s="72"/>
      <c r="G208" s="41"/>
      <c r="H208" s="41"/>
      <c r="I208" s="64"/>
      <c r="J208" s="63"/>
      <c r="K208" s="41"/>
      <c r="L208" s="41"/>
      <c r="M208" s="41"/>
      <c r="N208" s="63"/>
      <c r="O208" s="64"/>
      <c r="P208" s="63"/>
      <c r="Q208" s="41"/>
      <c r="R208" s="41"/>
      <c r="S208" s="41"/>
      <c r="T208" s="41"/>
      <c r="U208" s="41"/>
      <c r="V208" s="41"/>
      <c r="W208" s="64"/>
      <c r="X208" s="72"/>
      <c r="Y208" s="41"/>
      <c r="Z208" s="41"/>
      <c r="AA208" s="41"/>
      <c r="AB208" s="63"/>
      <c r="AC208" s="41"/>
      <c r="AD208" s="41"/>
      <c r="AE208" s="64"/>
      <c r="AF208" s="41"/>
      <c r="AG208" s="64"/>
      <c r="AH208" s="41"/>
      <c r="AI208" s="41"/>
      <c r="AJ208" s="41"/>
      <c r="AK208" s="41"/>
      <c r="AL208" s="41"/>
      <c r="AM208" s="41"/>
      <c r="AN208" s="41"/>
      <c r="AO208" s="41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5"/>
      <c r="BB208" s="65"/>
      <c r="BC208" s="65"/>
      <c r="BD208" s="65"/>
    </row>
    <row r="209" spans="2:56" ht="16.5" customHeight="1" thickBot="1" x14ac:dyDescent="0.3">
      <c r="B209" s="1" t="s">
        <v>2</v>
      </c>
      <c r="C209" s="14">
        <f t="shared" si="22"/>
        <v>0</v>
      </c>
      <c r="E209" s="1" t="s">
        <v>2</v>
      </c>
      <c r="F209" s="72"/>
      <c r="G209" s="41"/>
      <c r="H209" s="41"/>
      <c r="I209" s="64"/>
      <c r="J209" s="63"/>
      <c r="K209" s="41"/>
      <c r="L209" s="41"/>
      <c r="M209" s="41"/>
      <c r="N209" s="63"/>
      <c r="O209" s="64"/>
      <c r="P209" s="63"/>
      <c r="Q209" s="41"/>
      <c r="R209" s="41"/>
      <c r="S209" s="41"/>
      <c r="T209" s="41"/>
      <c r="U209" s="41"/>
      <c r="V209" s="41"/>
      <c r="W209" s="64"/>
      <c r="X209" s="72"/>
      <c r="Y209" s="41"/>
      <c r="Z209" s="41"/>
      <c r="AA209" s="41"/>
      <c r="AB209" s="63"/>
      <c r="AC209" s="41"/>
      <c r="AD209" s="41"/>
      <c r="AE209" s="64"/>
      <c r="AF209" s="41"/>
      <c r="AG209" s="64"/>
      <c r="AH209" s="41"/>
      <c r="AI209" s="41"/>
      <c r="AJ209" s="41"/>
      <c r="AK209" s="41"/>
      <c r="AL209" s="41"/>
      <c r="AM209" s="41"/>
      <c r="AN209" s="41"/>
      <c r="AO209" s="41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5"/>
      <c r="BB209" s="65"/>
      <c r="BC209" s="65"/>
      <c r="BD209" s="65"/>
    </row>
    <row r="210" spans="2:56" ht="16.5" customHeight="1" thickBot="1" x14ac:dyDescent="0.3">
      <c r="B210" s="1" t="s">
        <v>3</v>
      </c>
      <c r="C210" s="15">
        <f t="shared" si="22"/>
        <v>0</v>
      </c>
      <c r="E210" s="1" t="s">
        <v>3</v>
      </c>
      <c r="F210" s="73"/>
      <c r="G210" s="67"/>
      <c r="H210" s="67"/>
      <c r="I210" s="68"/>
      <c r="J210" s="66"/>
      <c r="K210" s="67"/>
      <c r="L210" s="67"/>
      <c r="M210" s="67"/>
      <c r="N210" s="66"/>
      <c r="O210" s="68"/>
      <c r="P210" s="66"/>
      <c r="Q210" s="67"/>
      <c r="R210" s="67"/>
      <c r="S210" s="67"/>
      <c r="T210" s="67"/>
      <c r="U210" s="67"/>
      <c r="V210" s="67"/>
      <c r="W210" s="68"/>
      <c r="X210" s="73"/>
      <c r="Y210" s="67"/>
      <c r="Z210" s="67"/>
      <c r="AA210" s="67"/>
      <c r="AB210" s="66"/>
      <c r="AC210" s="67"/>
      <c r="AD210" s="67"/>
      <c r="AE210" s="68"/>
      <c r="AF210" s="67"/>
      <c r="AG210" s="68"/>
      <c r="AH210" s="67"/>
      <c r="AI210" s="67"/>
      <c r="AJ210" s="67"/>
      <c r="AK210" s="67"/>
      <c r="AL210" s="67"/>
      <c r="AM210" s="67"/>
      <c r="AN210" s="67"/>
      <c r="AO210" s="67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9"/>
      <c r="BB210" s="69"/>
      <c r="BC210" s="69"/>
      <c r="BD210" s="69"/>
    </row>
    <row r="211" spans="2:56" ht="21" customHeight="1" x14ac:dyDescent="0.25">
      <c r="B211" s="2"/>
      <c r="C211" s="8">
        <f>SUM(C207:C210)</f>
        <v>2</v>
      </c>
      <c r="F211" s="74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74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</row>
    <row r="212" spans="2:56" x14ac:dyDescent="0.25"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</row>
    <row r="213" spans="2:56" ht="15.75" x14ac:dyDescent="0.25">
      <c r="F213" s="82" t="s">
        <v>17</v>
      </c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3" t="s">
        <v>16</v>
      </c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79"/>
      <c r="AQ213" s="79"/>
      <c r="AR213" s="79"/>
      <c r="AS213" s="79"/>
      <c r="AT213" s="79"/>
      <c r="AU213" s="41"/>
      <c r="AV213" s="41"/>
      <c r="AW213" s="41"/>
      <c r="AX213" s="41"/>
      <c r="AY213" s="41"/>
      <c r="AZ213" s="41"/>
      <c r="BA213" s="41"/>
    </row>
    <row r="214" spans="2:56" ht="32.25" thickBot="1" x14ac:dyDescent="0.3">
      <c r="F214" s="81" t="s">
        <v>9</v>
      </c>
      <c r="G214" s="81"/>
      <c r="H214" s="81"/>
      <c r="I214" s="81"/>
      <c r="J214" s="81" t="s">
        <v>10</v>
      </c>
      <c r="K214" s="81"/>
      <c r="L214" s="81"/>
      <c r="M214" s="81"/>
      <c r="N214" s="81" t="s">
        <v>49</v>
      </c>
      <c r="O214" s="81"/>
      <c r="P214" s="81" t="s">
        <v>11</v>
      </c>
      <c r="Q214" s="81"/>
      <c r="R214" s="81"/>
      <c r="S214" s="81"/>
      <c r="T214" s="81"/>
      <c r="U214" s="81"/>
      <c r="V214" s="81"/>
      <c r="W214" s="81"/>
      <c r="X214" s="81" t="s">
        <v>9</v>
      </c>
      <c r="Y214" s="81"/>
      <c r="Z214" s="81"/>
      <c r="AA214" s="81"/>
      <c r="AB214" s="81" t="s">
        <v>10</v>
      </c>
      <c r="AC214" s="81"/>
      <c r="AD214" s="81"/>
      <c r="AE214" s="81"/>
      <c r="AF214" s="81" t="s">
        <v>49</v>
      </c>
      <c r="AG214" s="81"/>
      <c r="AH214" s="81" t="s">
        <v>11</v>
      </c>
      <c r="AI214" s="81"/>
      <c r="AJ214" s="81"/>
      <c r="AK214" s="81"/>
      <c r="AL214" s="81"/>
      <c r="AM214" s="81"/>
      <c r="AN214" s="81"/>
      <c r="AO214" s="81"/>
      <c r="AP214" s="70" t="s">
        <v>50</v>
      </c>
      <c r="AQ214" s="70" t="s">
        <v>57</v>
      </c>
      <c r="AR214" s="70" t="s">
        <v>63</v>
      </c>
      <c r="AS214" s="70" t="s">
        <v>64</v>
      </c>
      <c r="AT214" s="70" t="s">
        <v>61</v>
      </c>
      <c r="AU214" s="70" t="s">
        <v>54</v>
      </c>
      <c r="AV214" s="70" t="s">
        <v>19</v>
      </c>
      <c r="AW214" s="70" t="s">
        <v>58</v>
      </c>
      <c r="AX214" s="70" t="s">
        <v>51</v>
      </c>
      <c r="AY214" s="70" t="s">
        <v>53</v>
      </c>
      <c r="AZ214" s="70" t="s">
        <v>52</v>
      </c>
      <c r="BA214" s="70" t="s">
        <v>55</v>
      </c>
      <c r="BB214" s="70" t="s">
        <v>56</v>
      </c>
      <c r="BC214" s="70" t="s">
        <v>59</v>
      </c>
      <c r="BD214" s="70" t="s">
        <v>60</v>
      </c>
    </row>
    <row r="215" spans="2:56" ht="16.5" thickBot="1" x14ac:dyDescent="0.3">
      <c r="B215" s="17">
        <v>0.23958333333333334</v>
      </c>
      <c r="C215" s="7" t="s">
        <v>5</v>
      </c>
      <c r="E215" s="11"/>
      <c r="F215" s="75" t="s">
        <v>15</v>
      </c>
      <c r="G215" s="58" t="s">
        <v>12</v>
      </c>
      <c r="H215" s="58" t="s">
        <v>14</v>
      </c>
      <c r="I215" s="58" t="s">
        <v>13</v>
      </c>
      <c r="J215" s="58" t="s">
        <v>42</v>
      </c>
      <c r="K215" s="58" t="s">
        <v>41</v>
      </c>
      <c r="L215" s="58" t="s">
        <v>43</v>
      </c>
      <c r="M215" s="58" t="s">
        <v>44</v>
      </c>
      <c r="N215" s="58" t="s">
        <v>15</v>
      </c>
      <c r="O215" s="58" t="s">
        <v>14</v>
      </c>
      <c r="P215" s="58" t="s">
        <v>45</v>
      </c>
      <c r="Q215" s="58" t="s">
        <v>46</v>
      </c>
      <c r="R215" s="58" t="s">
        <v>42</v>
      </c>
      <c r="S215" s="58" t="s">
        <v>41</v>
      </c>
      <c r="T215" s="58" t="s">
        <v>47</v>
      </c>
      <c r="U215" s="58" t="s">
        <v>48</v>
      </c>
      <c r="V215" s="58" t="s">
        <v>43</v>
      </c>
      <c r="W215" s="58" t="s">
        <v>44</v>
      </c>
      <c r="X215" s="75" t="s">
        <v>15</v>
      </c>
      <c r="Y215" s="58" t="s">
        <v>12</v>
      </c>
      <c r="Z215" s="58" t="s">
        <v>14</v>
      </c>
      <c r="AA215" s="58" t="s">
        <v>13</v>
      </c>
      <c r="AB215" s="58" t="s">
        <v>42</v>
      </c>
      <c r="AC215" s="58" t="s">
        <v>41</v>
      </c>
      <c r="AD215" s="58" t="s">
        <v>43</v>
      </c>
      <c r="AE215" s="58" t="s">
        <v>44</v>
      </c>
      <c r="AF215" s="58" t="s">
        <v>15</v>
      </c>
      <c r="AG215" s="58" t="s">
        <v>14</v>
      </c>
      <c r="AH215" s="58" t="s">
        <v>45</v>
      </c>
      <c r="AI215" s="58" t="s">
        <v>46</v>
      </c>
      <c r="AJ215" s="58" t="s">
        <v>42</v>
      </c>
      <c r="AK215" s="58" t="s">
        <v>41</v>
      </c>
      <c r="AL215" s="58" t="s">
        <v>47</v>
      </c>
      <c r="AM215" s="58" t="s">
        <v>48</v>
      </c>
      <c r="AN215" s="58" t="s">
        <v>43</v>
      </c>
      <c r="AO215" s="58" t="s">
        <v>44</v>
      </c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</row>
    <row r="216" spans="2:56" ht="16.5" customHeight="1" thickBot="1" x14ac:dyDescent="0.3">
      <c r="B216" s="1" t="s">
        <v>0</v>
      </c>
      <c r="C216" s="13">
        <f>SUM(F216:W216)</f>
        <v>4</v>
      </c>
      <c r="E216" s="10" t="s">
        <v>0</v>
      </c>
      <c r="F216" s="71"/>
      <c r="G216" s="60"/>
      <c r="H216" s="60"/>
      <c r="I216" s="61"/>
      <c r="J216" s="59"/>
      <c r="K216" s="60"/>
      <c r="L216" s="60"/>
      <c r="M216" s="60">
        <v>1</v>
      </c>
      <c r="N216" s="59"/>
      <c r="O216" s="61"/>
      <c r="P216" s="59"/>
      <c r="Q216" s="60"/>
      <c r="R216" s="60">
        <v>1</v>
      </c>
      <c r="S216" s="60"/>
      <c r="T216" s="60"/>
      <c r="U216" s="60"/>
      <c r="V216" s="60"/>
      <c r="W216" s="61">
        <v>2</v>
      </c>
      <c r="X216" s="71"/>
      <c r="Y216" s="60"/>
      <c r="Z216" s="60"/>
      <c r="AA216" s="60"/>
      <c r="AB216" s="59"/>
      <c r="AC216" s="60"/>
      <c r="AD216" s="60"/>
      <c r="AE216" s="61"/>
      <c r="AF216" s="60"/>
      <c r="AG216" s="61"/>
      <c r="AH216" s="60"/>
      <c r="AI216" s="60"/>
      <c r="AJ216" s="60"/>
      <c r="AK216" s="60"/>
      <c r="AL216" s="60"/>
      <c r="AM216" s="60">
        <v>3</v>
      </c>
      <c r="AN216" s="60"/>
      <c r="AO216" s="60">
        <v>1</v>
      </c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>
        <v>4</v>
      </c>
      <c r="BA216" s="62"/>
      <c r="BB216" s="62"/>
      <c r="BC216" s="62"/>
      <c r="BD216" s="62"/>
    </row>
    <row r="217" spans="2:56" ht="16.5" customHeight="1" thickBot="1" x14ac:dyDescent="0.3">
      <c r="B217" s="1" t="s">
        <v>1</v>
      </c>
      <c r="C217" s="14">
        <f t="shared" ref="C217:C219" si="23">SUM(F217:W217)</f>
        <v>0</v>
      </c>
      <c r="E217" s="1" t="s">
        <v>1</v>
      </c>
      <c r="F217" s="72"/>
      <c r="G217" s="41"/>
      <c r="H217" s="41"/>
      <c r="I217" s="64"/>
      <c r="J217" s="63"/>
      <c r="K217" s="41"/>
      <c r="L217" s="41"/>
      <c r="M217" s="41"/>
      <c r="N217" s="63"/>
      <c r="O217" s="64"/>
      <c r="P217" s="63"/>
      <c r="Q217" s="41"/>
      <c r="R217" s="41"/>
      <c r="S217" s="41"/>
      <c r="T217" s="41"/>
      <c r="U217" s="41"/>
      <c r="V217" s="41"/>
      <c r="W217" s="64"/>
      <c r="X217" s="72"/>
      <c r="Y217" s="41"/>
      <c r="Z217" s="41"/>
      <c r="AA217" s="41"/>
      <c r="AB217" s="63"/>
      <c r="AC217" s="41"/>
      <c r="AD217" s="41"/>
      <c r="AE217" s="64"/>
      <c r="AF217" s="41"/>
      <c r="AG217" s="64"/>
      <c r="AH217" s="41"/>
      <c r="AI217" s="41"/>
      <c r="AJ217" s="41"/>
      <c r="AK217" s="41"/>
      <c r="AL217" s="41"/>
      <c r="AM217" s="41"/>
      <c r="AN217" s="41"/>
      <c r="AO217" s="41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5"/>
      <c r="BB217" s="65"/>
      <c r="BC217" s="65"/>
      <c r="BD217" s="65"/>
    </row>
    <row r="218" spans="2:56" ht="16.5" customHeight="1" thickBot="1" x14ac:dyDescent="0.3">
      <c r="B218" s="1" t="s">
        <v>2</v>
      </c>
      <c r="C218" s="14">
        <f t="shared" si="23"/>
        <v>0</v>
      </c>
      <c r="E218" s="1" t="s">
        <v>2</v>
      </c>
      <c r="F218" s="72"/>
      <c r="G218" s="41"/>
      <c r="H218" s="41"/>
      <c r="I218" s="64"/>
      <c r="J218" s="63"/>
      <c r="K218" s="41"/>
      <c r="L218" s="41"/>
      <c r="M218" s="41"/>
      <c r="N218" s="63"/>
      <c r="O218" s="64"/>
      <c r="P218" s="63"/>
      <c r="Q218" s="41"/>
      <c r="R218" s="41"/>
      <c r="S218" s="41"/>
      <c r="T218" s="41"/>
      <c r="U218" s="41"/>
      <c r="V218" s="41"/>
      <c r="W218" s="64"/>
      <c r="X218" s="72"/>
      <c r="Y218" s="41"/>
      <c r="Z218" s="41"/>
      <c r="AA218" s="41"/>
      <c r="AB218" s="63"/>
      <c r="AC218" s="41"/>
      <c r="AD218" s="41"/>
      <c r="AE218" s="64"/>
      <c r="AF218" s="41"/>
      <c r="AG218" s="64"/>
      <c r="AH218" s="41"/>
      <c r="AI218" s="41"/>
      <c r="AJ218" s="41"/>
      <c r="AK218" s="41"/>
      <c r="AL218" s="41"/>
      <c r="AM218" s="41"/>
      <c r="AN218" s="41"/>
      <c r="AO218" s="41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5"/>
      <c r="BB218" s="65"/>
      <c r="BC218" s="65"/>
      <c r="BD218" s="65"/>
    </row>
    <row r="219" spans="2:56" ht="16.5" customHeight="1" thickBot="1" x14ac:dyDescent="0.3">
      <c r="B219" s="1" t="s">
        <v>3</v>
      </c>
      <c r="C219" s="15">
        <f t="shared" si="23"/>
        <v>0</v>
      </c>
      <c r="E219" s="1" t="s">
        <v>3</v>
      </c>
      <c r="F219" s="73"/>
      <c r="G219" s="67"/>
      <c r="H219" s="67"/>
      <c r="I219" s="68"/>
      <c r="J219" s="66"/>
      <c r="K219" s="67"/>
      <c r="L219" s="67"/>
      <c r="M219" s="67"/>
      <c r="N219" s="66"/>
      <c r="O219" s="68"/>
      <c r="P219" s="66"/>
      <c r="Q219" s="67"/>
      <c r="R219" s="67"/>
      <c r="S219" s="67"/>
      <c r="T219" s="67"/>
      <c r="U219" s="67"/>
      <c r="V219" s="67"/>
      <c r="W219" s="68"/>
      <c r="X219" s="73"/>
      <c r="Y219" s="67"/>
      <c r="Z219" s="67"/>
      <c r="AA219" s="67"/>
      <c r="AB219" s="66"/>
      <c r="AC219" s="67"/>
      <c r="AD219" s="67"/>
      <c r="AE219" s="68"/>
      <c r="AF219" s="67"/>
      <c r="AG219" s="68"/>
      <c r="AH219" s="67"/>
      <c r="AI219" s="67"/>
      <c r="AJ219" s="67"/>
      <c r="AK219" s="67"/>
      <c r="AL219" s="67"/>
      <c r="AM219" s="67"/>
      <c r="AN219" s="67"/>
      <c r="AO219" s="67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9"/>
      <c r="BB219" s="69"/>
      <c r="BC219" s="69"/>
      <c r="BD219" s="69"/>
    </row>
    <row r="220" spans="2:56" ht="21" customHeight="1" x14ac:dyDescent="0.25">
      <c r="B220" s="2"/>
      <c r="C220" s="8">
        <f>SUM(C216:C219)</f>
        <v>4</v>
      </c>
      <c r="F220" s="74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74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</row>
    <row r="221" spans="2:56" x14ac:dyDescent="0.25"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</row>
    <row r="222" spans="2:56" ht="15.75" x14ac:dyDescent="0.25">
      <c r="F222" s="82" t="s">
        <v>17</v>
      </c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3" t="s">
        <v>16</v>
      </c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79"/>
      <c r="AQ222" s="79"/>
      <c r="AR222" s="79"/>
      <c r="AS222" s="79"/>
      <c r="AT222" s="79"/>
      <c r="AU222" s="41"/>
      <c r="AV222" s="41"/>
      <c r="AW222" s="41"/>
      <c r="AX222" s="41"/>
      <c r="AY222" s="41"/>
      <c r="AZ222" s="41"/>
      <c r="BA222" s="41"/>
    </row>
    <row r="223" spans="2:56" ht="32.25" thickBot="1" x14ac:dyDescent="0.3">
      <c r="F223" s="81" t="s">
        <v>9</v>
      </c>
      <c r="G223" s="81"/>
      <c r="H223" s="81"/>
      <c r="I223" s="81"/>
      <c r="J223" s="81" t="s">
        <v>10</v>
      </c>
      <c r="K223" s="81"/>
      <c r="L223" s="81"/>
      <c r="M223" s="81"/>
      <c r="N223" s="81" t="s">
        <v>49</v>
      </c>
      <c r="O223" s="81"/>
      <c r="P223" s="81" t="s">
        <v>11</v>
      </c>
      <c r="Q223" s="81"/>
      <c r="R223" s="81"/>
      <c r="S223" s="81"/>
      <c r="T223" s="81"/>
      <c r="U223" s="81"/>
      <c r="V223" s="81"/>
      <c r="W223" s="81"/>
      <c r="X223" s="81" t="s">
        <v>9</v>
      </c>
      <c r="Y223" s="81"/>
      <c r="Z223" s="81"/>
      <c r="AA223" s="81"/>
      <c r="AB223" s="81" t="s">
        <v>10</v>
      </c>
      <c r="AC223" s="81"/>
      <c r="AD223" s="81"/>
      <c r="AE223" s="81"/>
      <c r="AF223" s="81" t="s">
        <v>49</v>
      </c>
      <c r="AG223" s="81"/>
      <c r="AH223" s="81" t="s">
        <v>11</v>
      </c>
      <c r="AI223" s="81"/>
      <c r="AJ223" s="81"/>
      <c r="AK223" s="81"/>
      <c r="AL223" s="81"/>
      <c r="AM223" s="81"/>
      <c r="AN223" s="81"/>
      <c r="AO223" s="81"/>
      <c r="AP223" s="70" t="s">
        <v>50</v>
      </c>
      <c r="AQ223" s="70" t="s">
        <v>57</v>
      </c>
      <c r="AR223" s="70" t="s">
        <v>63</v>
      </c>
      <c r="AS223" s="70" t="s">
        <v>64</v>
      </c>
      <c r="AT223" s="70" t="s">
        <v>61</v>
      </c>
      <c r="AU223" s="70" t="s">
        <v>54</v>
      </c>
      <c r="AV223" s="70" t="s">
        <v>19</v>
      </c>
      <c r="AW223" s="70" t="s">
        <v>58</v>
      </c>
      <c r="AX223" s="70" t="s">
        <v>51</v>
      </c>
      <c r="AY223" s="70" t="s">
        <v>53</v>
      </c>
      <c r="AZ223" s="70" t="s">
        <v>52</v>
      </c>
      <c r="BA223" s="70" t="s">
        <v>55</v>
      </c>
      <c r="BB223" s="70" t="s">
        <v>56</v>
      </c>
      <c r="BC223" s="70" t="s">
        <v>59</v>
      </c>
      <c r="BD223" s="70" t="s">
        <v>60</v>
      </c>
    </row>
    <row r="224" spans="2:56" ht="16.5" thickBot="1" x14ac:dyDescent="0.3">
      <c r="B224" s="16">
        <v>0.25</v>
      </c>
      <c r="C224" s="7" t="s">
        <v>5</v>
      </c>
      <c r="E224" s="11"/>
      <c r="F224" s="75" t="s">
        <v>15</v>
      </c>
      <c r="G224" s="58" t="s">
        <v>12</v>
      </c>
      <c r="H224" s="58" t="s">
        <v>14</v>
      </c>
      <c r="I224" s="58" t="s">
        <v>13</v>
      </c>
      <c r="J224" s="58" t="s">
        <v>42</v>
      </c>
      <c r="K224" s="58" t="s">
        <v>41</v>
      </c>
      <c r="L224" s="58" t="s">
        <v>43</v>
      </c>
      <c r="M224" s="58" t="s">
        <v>44</v>
      </c>
      <c r="N224" s="58" t="s">
        <v>15</v>
      </c>
      <c r="O224" s="58" t="s">
        <v>14</v>
      </c>
      <c r="P224" s="58" t="s">
        <v>45</v>
      </c>
      <c r="Q224" s="58" t="s">
        <v>46</v>
      </c>
      <c r="R224" s="58" t="s">
        <v>42</v>
      </c>
      <c r="S224" s="58" t="s">
        <v>41</v>
      </c>
      <c r="T224" s="58" t="s">
        <v>47</v>
      </c>
      <c r="U224" s="58" t="s">
        <v>48</v>
      </c>
      <c r="V224" s="58" t="s">
        <v>43</v>
      </c>
      <c r="W224" s="58" t="s">
        <v>44</v>
      </c>
      <c r="X224" s="75" t="s">
        <v>15</v>
      </c>
      <c r="Y224" s="58" t="s">
        <v>12</v>
      </c>
      <c r="Z224" s="58" t="s">
        <v>14</v>
      </c>
      <c r="AA224" s="58" t="s">
        <v>13</v>
      </c>
      <c r="AB224" s="58" t="s">
        <v>42</v>
      </c>
      <c r="AC224" s="58" t="s">
        <v>41</v>
      </c>
      <c r="AD224" s="58" t="s">
        <v>43</v>
      </c>
      <c r="AE224" s="58" t="s">
        <v>44</v>
      </c>
      <c r="AF224" s="58" t="s">
        <v>15</v>
      </c>
      <c r="AG224" s="58" t="s">
        <v>14</v>
      </c>
      <c r="AH224" s="58" t="s">
        <v>45</v>
      </c>
      <c r="AI224" s="58" t="s">
        <v>46</v>
      </c>
      <c r="AJ224" s="58" t="s">
        <v>42</v>
      </c>
      <c r="AK224" s="58" t="s">
        <v>41</v>
      </c>
      <c r="AL224" s="58" t="s">
        <v>47</v>
      </c>
      <c r="AM224" s="58" t="s">
        <v>48</v>
      </c>
      <c r="AN224" s="58" t="s">
        <v>43</v>
      </c>
      <c r="AO224" s="58" t="s">
        <v>44</v>
      </c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</row>
    <row r="225" spans="2:56" ht="16.5" customHeight="1" thickBot="1" x14ac:dyDescent="0.3">
      <c r="B225" s="1" t="s">
        <v>0</v>
      </c>
      <c r="C225" s="13">
        <f>SUM(F225:W225)</f>
        <v>1</v>
      </c>
      <c r="E225" s="10" t="s">
        <v>0</v>
      </c>
      <c r="F225" s="71"/>
      <c r="G225" s="60"/>
      <c r="H225" s="60"/>
      <c r="I225" s="61"/>
      <c r="J225" s="59"/>
      <c r="K225" s="60"/>
      <c r="L225" s="60"/>
      <c r="M225" s="60"/>
      <c r="N225" s="59"/>
      <c r="O225" s="61"/>
      <c r="P225" s="59"/>
      <c r="Q225" s="60"/>
      <c r="R225" s="60"/>
      <c r="S225" s="60"/>
      <c r="T225" s="60"/>
      <c r="U225" s="60"/>
      <c r="V225" s="60"/>
      <c r="W225" s="61">
        <v>1</v>
      </c>
      <c r="X225" s="71"/>
      <c r="Y225" s="60"/>
      <c r="Z225" s="60"/>
      <c r="AA225" s="60"/>
      <c r="AB225" s="59"/>
      <c r="AC225" s="60"/>
      <c r="AD225" s="60"/>
      <c r="AE225" s="61"/>
      <c r="AF225" s="60"/>
      <c r="AG225" s="61"/>
      <c r="AH225" s="60">
        <v>1</v>
      </c>
      <c r="AI225" s="60"/>
      <c r="AJ225" s="60"/>
      <c r="AK225" s="60"/>
      <c r="AL225" s="60"/>
      <c r="AM225" s="60"/>
      <c r="AN225" s="60"/>
      <c r="AO225" s="60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62"/>
      <c r="BB225" s="62"/>
      <c r="BC225" s="62"/>
      <c r="BD225" s="62"/>
    </row>
    <row r="226" spans="2:56" ht="16.5" customHeight="1" thickBot="1" x14ac:dyDescent="0.3">
      <c r="B226" s="1" t="s">
        <v>1</v>
      </c>
      <c r="C226" s="14">
        <f t="shared" ref="C226:C228" si="24">SUM(F226:W226)</f>
        <v>0</v>
      </c>
      <c r="E226" s="1" t="s">
        <v>1</v>
      </c>
      <c r="F226" s="72"/>
      <c r="G226" s="41"/>
      <c r="H226" s="41"/>
      <c r="I226" s="64"/>
      <c r="J226" s="63"/>
      <c r="K226" s="41"/>
      <c r="L226" s="41"/>
      <c r="M226" s="41"/>
      <c r="N226" s="63"/>
      <c r="O226" s="64"/>
      <c r="P226" s="63"/>
      <c r="Q226" s="41"/>
      <c r="R226" s="41"/>
      <c r="S226" s="41"/>
      <c r="T226" s="41"/>
      <c r="U226" s="41"/>
      <c r="V226" s="41"/>
      <c r="W226" s="64"/>
      <c r="X226" s="72"/>
      <c r="Y226" s="41"/>
      <c r="Z226" s="41"/>
      <c r="AA226" s="41"/>
      <c r="AB226" s="63"/>
      <c r="AC226" s="41"/>
      <c r="AD226" s="41"/>
      <c r="AE226" s="64"/>
      <c r="AF226" s="41"/>
      <c r="AG226" s="64"/>
      <c r="AH226" s="41"/>
      <c r="AI226" s="41"/>
      <c r="AJ226" s="41"/>
      <c r="AK226" s="41"/>
      <c r="AL226" s="41"/>
      <c r="AM226" s="41"/>
      <c r="AN226" s="41"/>
      <c r="AO226" s="41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5"/>
      <c r="BB226" s="65"/>
      <c r="BC226" s="65"/>
      <c r="BD226" s="65"/>
    </row>
    <row r="227" spans="2:56" ht="16.5" customHeight="1" thickBot="1" x14ac:dyDescent="0.3">
      <c r="B227" s="1" t="s">
        <v>2</v>
      </c>
      <c r="C227" s="14">
        <f t="shared" si="24"/>
        <v>0</v>
      </c>
      <c r="E227" s="1" t="s">
        <v>2</v>
      </c>
      <c r="F227" s="72"/>
      <c r="G227" s="41"/>
      <c r="H227" s="41"/>
      <c r="I227" s="64"/>
      <c r="J227" s="63"/>
      <c r="K227" s="41"/>
      <c r="L227" s="41"/>
      <c r="M227" s="41"/>
      <c r="N227" s="63"/>
      <c r="O227" s="64"/>
      <c r="P227" s="63"/>
      <c r="Q227" s="41"/>
      <c r="R227" s="41"/>
      <c r="S227" s="41"/>
      <c r="T227" s="41"/>
      <c r="U227" s="41"/>
      <c r="V227" s="41"/>
      <c r="W227" s="64"/>
      <c r="X227" s="72"/>
      <c r="Y227" s="41"/>
      <c r="Z227" s="41"/>
      <c r="AA227" s="41"/>
      <c r="AB227" s="63"/>
      <c r="AC227" s="41"/>
      <c r="AD227" s="41"/>
      <c r="AE227" s="64"/>
      <c r="AF227" s="41"/>
      <c r="AG227" s="64"/>
      <c r="AH227" s="41"/>
      <c r="AI227" s="41"/>
      <c r="AJ227" s="41"/>
      <c r="AK227" s="41"/>
      <c r="AL227" s="41"/>
      <c r="AM227" s="41"/>
      <c r="AN227" s="41"/>
      <c r="AO227" s="41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5"/>
      <c r="BB227" s="65"/>
      <c r="BC227" s="65"/>
      <c r="BD227" s="65"/>
    </row>
    <row r="228" spans="2:56" ht="16.5" customHeight="1" thickBot="1" x14ac:dyDescent="0.3">
      <c r="B228" s="1" t="s">
        <v>3</v>
      </c>
      <c r="C228" s="15">
        <f t="shared" si="24"/>
        <v>0</v>
      </c>
      <c r="E228" s="1" t="s">
        <v>3</v>
      </c>
      <c r="F228" s="73"/>
      <c r="G228" s="67"/>
      <c r="H228" s="67"/>
      <c r="I228" s="68"/>
      <c r="J228" s="66"/>
      <c r="K228" s="67"/>
      <c r="L228" s="67"/>
      <c r="M228" s="67"/>
      <c r="N228" s="66"/>
      <c r="O228" s="68"/>
      <c r="P228" s="66"/>
      <c r="Q228" s="67"/>
      <c r="R228" s="67"/>
      <c r="S228" s="67"/>
      <c r="T228" s="67"/>
      <c r="U228" s="67"/>
      <c r="V228" s="67"/>
      <c r="W228" s="68"/>
      <c r="X228" s="73"/>
      <c r="Y228" s="67"/>
      <c r="Z228" s="67"/>
      <c r="AA228" s="67"/>
      <c r="AB228" s="66"/>
      <c r="AC228" s="67"/>
      <c r="AD228" s="67"/>
      <c r="AE228" s="68"/>
      <c r="AF228" s="67"/>
      <c r="AG228" s="68"/>
      <c r="AH228" s="67"/>
      <c r="AI228" s="67"/>
      <c r="AJ228" s="67"/>
      <c r="AK228" s="67"/>
      <c r="AL228" s="67"/>
      <c r="AM228" s="67"/>
      <c r="AN228" s="67"/>
      <c r="AO228" s="67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9"/>
      <c r="BB228" s="69"/>
      <c r="BC228" s="69"/>
      <c r="BD228" s="69"/>
    </row>
    <row r="229" spans="2:56" ht="21" customHeight="1" x14ac:dyDescent="0.25">
      <c r="B229" s="2"/>
      <c r="C229" s="8">
        <f>SUM(C225:C228)</f>
        <v>1</v>
      </c>
      <c r="F229" s="74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74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</row>
    <row r="230" spans="2:56" x14ac:dyDescent="0.25"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</row>
    <row r="231" spans="2:56" ht="15.75" x14ac:dyDescent="0.25">
      <c r="F231" s="82" t="s">
        <v>17</v>
      </c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3" t="s">
        <v>16</v>
      </c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79"/>
      <c r="AQ231" s="79"/>
      <c r="AR231" s="79"/>
      <c r="AS231" s="79"/>
      <c r="AT231" s="79"/>
      <c r="AU231" s="41"/>
      <c r="AV231" s="41"/>
      <c r="AW231" s="41"/>
      <c r="AX231" s="41"/>
      <c r="AY231" s="41"/>
      <c r="AZ231" s="41"/>
      <c r="BA231" s="41"/>
    </row>
    <row r="232" spans="2:56" ht="32.25" thickBot="1" x14ac:dyDescent="0.3">
      <c r="F232" s="81" t="s">
        <v>9</v>
      </c>
      <c r="G232" s="81"/>
      <c r="H232" s="81"/>
      <c r="I232" s="81"/>
      <c r="J232" s="81" t="s">
        <v>10</v>
      </c>
      <c r="K232" s="81"/>
      <c r="L232" s="81"/>
      <c r="M232" s="81"/>
      <c r="N232" s="81" t="s">
        <v>49</v>
      </c>
      <c r="O232" s="81"/>
      <c r="P232" s="81" t="s">
        <v>11</v>
      </c>
      <c r="Q232" s="81"/>
      <c r="R232" s="81"/>
      <c r="S232" s="81"/>
      <c r="T232" s="81"/>
      <c r="U232" s="81"/>
      <c r="V232" s="81"/>
      <c r="W232" s="81"/>
      <c r="X232" s="81" t="s">
        <v>9</v>
      </c>
      <c r="Y232" s="81"/>
      <c r="Z232" s="81"/>
      <c r="AA232" s="81"/>
      <c r="AB232" s="81" t="s">
        <v>10</v>
      </c>
      <c r="AC232" s="81"/>
      <c r="AD232" s="81"/>
      <c r="AE232" s="81"/>
      <c r="AF232" s="81" t="s">
        <v>49</v>
      </c>
      <c r="AG232" s="81"/>
      <c r="AH232" s="81" t="s">
        <v>11</v>
      </c>
      <c r="AI232" s="81"/>
      <c r="AJ232" s="81"/>
      <c r="AK232" s="81"/>
      <c r="AL232" s="81"/>
      <c r="AM232" s="81"/>
      <c r="AN232" s="81"/>
      <c r="AO232" s="81"/>
      <c r="AP232" s="70" t="s">
        <v>50</v>
      </c>
      <c r="AQ232" s="70" t="s">
        <v>57</v>
      </c>
      <c r="AR232" s="70" t="s">
        <v>63</v>
      </c>
      <c r="AS232" s="70" t="s">
        <v>64</v>
      </c>
      <c r="AT232" s="70" t="s">
        <v>61</v>
      </c>
      <c r="AU232" s="70" t="s">
        <v>54</v>
      </c>
      <c r="AV232" s="70" t="s">
        <v>19</v>
      </c>
      <c r="AW232" s="70" t="s">
        <v>58</v>
      </c>
      <c r="AX232" s="70" t="s">
        <v>51</v>
      </c>
      <c r="AY232" s="70" t="s">
        <v>53</v>
      </c>
      <c r="AZ232" s="70" t="s">
        <v>52</v>
      </c>
      <c r="BA232" s="70" t="s">
        <v>55</v>
      </c>
      <c r="BB232" s="70" t="s">
        <v>56</v>
      </c>
      <c r="BC232" s="70" t="s">
        <v>59</v>
      </c>
      <c r="BD232" s="70" t="s">
        <v>60</v>
      </c>
    </row>
    <row r="233" spans="2:56" ht="16.5" thickBot="1" x14ac:dyDescent="0.3">
      <c r="B233" s="16">
        <v>0.26041666666666669</v>
      </c>
      <c r="C233" s="7" t="s">
        <v>5</v>
      </c>
      <c r="E233" s="11"/>
      <c r="F233" s="75" t="s">
        <v>15</v>
      </c>
      <c r="G233" s="58" t="s">
        <v>12</v>
      </c>
      <c r="H233" s="58" t="s">
        <v>14</v>
      </c>
      <c r="I233" s="58" t="s">
        <v>13</v>
      </c>
      <c r="J233" s="58" t="s">
        <v>42</v>
      </c>
      <c r="K233" s="58" t="s">
        <v>41</v>
      </c>
      <c r="L233" s="58" t="s">
        <v>43</v>
      </c>
      <c r="M233" s="58" t="s">
        <v>44</v>
      </c>
      <c r="N233" s="58" t="s">
        <v>15</v>
      </c>
      <c r="O233" s="58" t="s">
        <v>14</v>
      </c>
      <c r="P233" s="58" t="s">
        <v>45</v>
      </c>
      <c r="Q233" s="58" t="s">
        <v>46</v>
      </c>
      <c r="R233" s="58" t="s">
        <v>42</v>
      </c>
      <c r="S233" s="58" t="s">
        <v>41</v>
      </c>
      <c r="T233" s="58" t="s">
        <v>47</v>
      </c>
      <c r="U233" s="58" t="s">
        <v>48</v>
      </c>
      <c r="V233" s="58" t="s">
        <v>43</v>
      </c>
      <c r="W233" s="58" t="s">
        <v>44</v>
      </c>
      <c r="X233" s="75" t="s">
        <v>15</v>
      </c>
      <c r="Y233" s="58" t="s">
        <v>12</v>
      </c>
      <c r="Z233" s="58" t="s">
        <v>14</v>
      </c>
      <c r="AA233" s="58" t="s">
        <v>13</v>
      </c>
      <c r="AB233" s="58" t="s">
        <v>42</v>
      </c>
      <c r="AC233" s="58" t="s">
        <v>41</v>
      </c>
      <c r="AD233" s="58" t="s">
        <v>43</v>
      </c>
      <c r="AE233" s="58" t="s">
        <v>44</v>
      </c>
      <c r="AF233" s="58" t="s">
        <v>15</v>
      </c>
      <c r="AG233" s="58" t="s">
        <v>14</v>
      </c>
      <c r="AH233" s="58" t="s">
        <v>45</v>
      </c>
      <c r="AI233" s="58" t="s">
        <v>46</v>
      </c>
      <c r="AJ233" s="58" t="s">
        <v>42</v>
      </c>
      <c r="AK233" s="58" t="s">
        <v>41</v>
      </c>
      <c r="AL233" s="58" t="s">
        <v>47</v>
      </c>
      <c r="AM233" s="58" t="s">
        <v>48</v>
      </c>
      <c r="AN233" s="58" t="s">
        <v>43</v>
      </c>
      <c r="AO233" s="58" t="s">
        <v>44</v>
      </c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</row>
    <row r="234" spans="2:56" ht="16.5" customHeight="1" thickBot="1" x14ac:dyDescent="0.3">
      <c r="B234" s="1" t="s">
        <v>0</v>
      </c>
      <c r="C234" s="13">
        <f>SUM(F234:W234)</f>
        <v>6</v>
      </c>
      <c r="E234" s="10" t="s">
        <v>0</v>
      </c>
      <c r="F234" s="71"/>
      <c r="G234" s="60"/>
      <c r="H234" s="60"/>
      <c r="I234" s="61"/>
      <c r="J234" s="59"/>
      <c r="K234" s="60">
        <v>3</v>
      </c>
      <c r="L234" s="60"/>
      <c r="M234" s="60"/>
      <c r="N234" s="59">
        <v>1</v>
      </c>
      <c r="O234" s="61"/>
      <c r="P234" s="59">
        <v>2</v>
      </c>
      <c r="Q234" s="60"/>
      <c r="R234" s="60"/>
      <c r="S234" s="60"/>
      <c r="T234" s="60"/>
      <c r="U234" s="60"/>
      <c r="V234" s="60"/>
      <c r="W234" s="61"/>
      <c r="X234" s="71"/>
      <c r="Y234" s="60"/>
      <c r="Z234" s="60"/>
      <c r="AA234" s="60"/>
      <c r="AB234" s="59"/>
      <c r="AC234" s="60"/>
      <c r="AD234" s="60"/>
      <c r="AE234" s="61"/>
      <c r="AF234" s="60"/>
      <c r="AG234" s="61">
        <v>1</v>
      </c>
      <c r="AH234" s="60"/>
      <c r="AI234" s="60"/>
      <c r="AJ234" s="60"/>
      <c r="AK234" s="60"/>
      <c r="AL234" s="60"/>
      <c r="AM234" s="60">
        <v>2</v>
      </c>
      <c r="AN234" s="60">
        <v>3</v>
      </c>
      <c r="AO234" s="60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62">
        <v>1</v>
      </c>
      <c r="BB234" s="62"/>
      <c r="BC234" s="62"/>
      <c r="BD234" s="62"/>
    </row>
    <row r="235" spans="2:56" ht="16.5" customHeight="1" thickBot="1" x14ac:dyDescent="0.3">
      <c r="B235" s="1" t="s">
        <v>1</v>
      </c>
      <c r="C235" s="14">
        <f t="shared" ref="C235:C237" si="25">SUM(F235:W235)</f>
        <v>0</v>
      </c>
      <c r="E235" s="1" t="s">
        <v>1</v>
      </c>
      <c r="F235" s="72"/>
      <c r="G235" s="41"/>
      <c r="H235" s="41"/>
      <c r="I235" s="64"/>
      <c r="J235" s="63"/>
      <c r="K235" s="41"/>
      <c r="L235" s="41"/>
      <c r="M235" s="41"/>
      <c r="N235" s="63"/>
      <c r="O235" s="64"/>
      <c r="P235" s="63"/>
      <c r="Q235" s="41"/>
      <c r="R235" s="41"/>
      <c r="S235" s="41"/>
      <c r="T235" s="41"/>
      <c r="U235" s="41"/>
      <c r="V235" s="41"/>
      <c r="W235" s="64"/>
      <c r="X235" s="72"/>
      <c r="Y235" s="41"/>
      <c r="Z235" s="41"/>
      <c r="AA235" s="41"/>
      <c r="AB235" s="63"/>
      <c r="AC235" s="41"/>
      <c r="AD235" s="41"/>
      <c r="AE235" s="64"/>
      <c r="AF235" s="41"/>
      <c r="AG235" s="64"/>
      <c r="AH235" s="41"/>
      <c r="AI235" s="41"/>
      <c r="AJ235" s="41"/>
      <c r="AK235" s="41"/>
      <c r="AL235" s="41"/>
      <c r="AM235" s="41"/>
      <c r="AN235" s="41"/>
      <c r="AO235" s="41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5"/>
      <c r="BB235" s="65"/>
      <c r="BC235" s="65"/>
      <c r="BD235" s="65"/>
    </row>
    <row r="236" spans="2:56" ht="16.5" customHeight="1" thickBot="1" x14ac:dyDescent="0.3">
      <c r="B236" s="1" t="s">
        <v>2</v>
      </c>
      <c r="C236" s="14">
        <f t="shared" si="25"/>
        <v>0</v>
      </c>
      <c r="E236" s="1" t="s">
        <v>2</v>
      </c>
      <c r="F236" s="72"/>
      <c r="G236" s="41"/>
      <c r="H236" s="41"/>
      <c r="I236" s="64"/>
      <c r="J236" s="63"/>
      <c r="K236" s="41"/>
      <c r="L236" s="41"/>
      <c r="M236" s="41"/>
      <c r="N236" s="63"/>
      <c r="O236" s="64"/>
      <c r="P236" s="63"/>
      <c r="Q236" s="41"/>
      <c r="R236" s="41"/>
      <c r="S236" s="41"/>
      <c r="T236" s="41"/>
      <c r="U236" s="41"/>
      <c r="V236" s="41"/>
      <c r="W236" s="64"/>
      <c r="X236" s="72"/>
      <c r="Y236" s="41"/>
      <c r="Z236" s="41"/>
      <c r="AA236" s="41"/>
      <c r="AB236" s="63"/>
      <c r="AC236" s="41"/>
      <c r="AD236" s="41"/>
      <c r="AE236" s="64"/>
      <c r="AF236" s="41"/>
      <c r="AG236" s="64"/>
      <c r="AH236" s="41"/>
      <c r="AI236" s="41"/>
      <c r="AJ236" s="41"/>
      <c r="AK236" s="41"/>
      <c r="AL236" s="41"/>
      <c r="AM236" s="41"/>
      <c r="AN236" s="41"/>
      <c r="AO236" s="41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5"/>
      <c r="BB236" s="65"/>
      <c r="BC236" s="65"/>
      <c r="BD236" s="65"/>
    </row>
    <row r="237" spans="2:56" ht="16.5" customHeight="1" thickBot="1" x14ac:dyDescent="0.3">
      <c r="B237" s="1" t="s">
        <v>3</v>
      </c>
      <c r="C237" s="15">
        <f t="shared" si="25"/>
        <v>0</v>
      </c>
      <c r="E237" s="1" t="s">
        <v>3</v>
      </c>
      <c r="F237" s="73"/>
      <c r="G237" s="67"/>
      <c r="H237" s="67"/>
      <c r="I237" s="68"/>
      <c r="J237" s="66"/>
      <c r="K237" s="67"/>
      <c r="L237" s="67"/>
      <c r="M237" s="67"/>
      <c r="N237" s="66"/>
      <c r="O237" s="68"/>
      <c r="P237" s="66"/>
      <c r="Q237" s="67"/>
      <c r="R237" s="67"/>
      <c r="S237" s="67"/>
      <c r="T237" s="67"/>
      <c r="U237" s="67"/>
      <c r="V237" s="67"/>
      <c r="W237" s="68"/>
      <c r="X237" s="73"/>
      <c r="Y237" s="67"/>
      <c r="Z237" s="67"/>
      <c r="AA237" s="67"/>
      <c r="AB237" s="66"/>
      <c r="AC237" s="67"/>
      <c r="AD237" s="67"/>
      <c r="AE237" s="68"/>
      <c r="AF237" s="67"/>
      <c r="AG237" s="68"/>
      <c r="AH237" s="67"/>
      <c r="AI237" s="67"/>
      <c r="AJ237" s="67"/>
      <c r="AK237" s="67"/>
      <c r="AL237" s="67"/>
      <c r="AM237" s="67"/>
      <c r="AN237" s="67"/>
      <c r="AO237" s="67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9"/>
      <c r="BB237" s="69"/>
      <c r="BC237" s="69"/>
      <c r="BD237" s="69"/>
    </row>
    <row r="238" spans="2:56" ht="21" customHeight="1" x14ac:dyDescent="0.25">
      <c r="B238" s="2"/>
      <c r="C238" s="8">
        <f>SUM(C234:C237)</f>
        <v>6</v>
      </c>
      <c r="F238" s="74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74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</row>
    <row r="239" spans="2:56" x14ac:dyDescent="0.25"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</row>
    <row r="240" spans="2:56" ht="15.75" x14ac:dyDescent="0.25">
      <c r="F240" s="82" t="s">
        <v>17</v>
      </c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3" t="s">
        <v>16</v>
      </c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79"/>
      <c r="AQ240" s="79"/>
      <c r="AR240" s="79"/>
      <c r="AS240" s="79"/>
      <c r="AT240" s="79"/>
      <c r="AU240" s="41"/>
      <c r="AV240" s="41"/>
      <c r="AW240" s="41"/>
      <c r="AX240" s="41"/>
      <c r="AY240" s="41"/>
      <c r="AZ240" s="41"/>
      <c r="BA240" s="41"/>
    </row>
    <row r="241" spans="2:56" ht="32.25" thickBot="1" x14ac:dyDescent="0.3">
      <c r="F241" s="81" t="s">
        <v>9</v>
      </c>
      <c r="G241" s="81"/>
      <c r="H241" s="81"/>
      <c r="I241" s="81"/>
      <c r="J241" s="81" t="s">
        <v>10</v>
      </c>
      <c r="K241" s="81"/>
      <c r="L241" s="81"/>
      <c r="M241" s="81"/>
      <c r="N241" s="81" t="s">
        <v>49</v>
      </c>
      <c r="O241" s="81"/>
      <c r="P241" s="81" t="s">
        <v>11</v>
      </c>
      <c r="Q241" s="81"/>
      <c r="R241" s="81"/>
      <c r="S241" s="81"/>
      <c r="T241" s="81"/>
      <c r="U241" s="81"/>
      <c r="V241" s="81"/>
      <c r="W241" s="81"/>
      <c r="X241" s="81" t="s">
        <v>9</v>
      </c>
      <c r="Y241" s="81"/>
      <c r="Z241" s="81"/>
      <c r="AA241" s="81"/>
      <c r="AB241" s="81" t="s">
        <v>10</v>
      </c>
      <c r="AC241" s="81"/>
      <c r="AD241" s="81"/>
      <c r="AE241" s="81"/>
      <c r="AF241" s="81" t="s">
        <v>49</v>
      </c>
      <c r="AG241" s="81"/>
      <c r="AH241" s="81" t="s">
        <v>11</v>
      </c>
      <c r="AI241" s="81"/>
      <c r="AJ241" s="81"/>
      <c r="AK241" s="81"/>
      <c r="AL241" s="81"/>
      <c r="AM241" s="81"/>
      <c r="AN241" s="81"/>
      <c r="AO241" s="81"/>
      <c r="AP241" s="70" t="s">
        <v>50</v>
      </c>
      <c r="AQ241" s="70" t="s">
        <v>57</v>
      </c>
      <c r="AR241" s="70" t="s">
        <v>63</v>
      </c>
      <c r="AS241" s="70" t="s">
        <v>64</v>
      </c>
      <c r="AT241" s="70" t="s">
        <v>61</v>
      </c>
      <c r="AU241" s="70" t="s">
        <v>54</v>
      </c>
      <c r="AV241" s="70" t="s">
        <v>19</v>
      </c>
      <c r="AW241" s="70" t="s">
        <v>58</v>
      </c>
      <c r="AX241" s="70" t="s">
        <v>51</v>
      </c>
      <c r="AY241" s="70" t="s">
        <v>53</v>
      </c>
      <c r="AZ241" s="70" t="s">
        <v>52</v>
      </c>
      <c r="BA241" s="70" t="s">
        <v>55</v>
      </c>
      <c r="BB241" s="70" t="s">
        <v>56</v>
      </c>
      <c r="BC241" s="70" t="s">
        <v>59</v>
      </c>
      <c r="BD241" s="70" t="s">
        <v>60</v>
      </c>
    </row>
    <row r="242" spans="2:56" ht="16.5" thickBot="1" x14ac:dyDescent="0.3">
      <c r="B242" s="16">
        <v>0.27083333333333331</v>
      </c>
      <c r="C242" s="7" t="s">
        <v>5</v>
      </c>
      <c r="E242" s="11"/>
      <c r="F242" s="75" t="s">
        <v>15</v>
      </c>
      <c r="G242" s="58" t="s">
        <v>12</v>
      </c>
      <c r="H242" s="58" t="s">
        <v>14</v>
      </c>
      <c r="I242" s="58" t="s">
        <v>13</v>
      </c>
      <c r="J242" s="58" t="s">
        <v>42</v>
      </c>
      <c r="K242" s="58" t="s">
        <v>41</v>
      </c>
      <c r="L242" s="58" t="s">
        <v>43</v>
      </c>
      <c r="M242" s="58" t="s">
        <v>44</v>
      </c>
      <c r="N242" s="58" t="s">
        <v>15</v>
      </c>
      <c r="O242" s="58" t="s">
        <v>14</v>
      </c>
      <c r="P242" s="58" t="s">
        <v>45</v>
      </c>
      <c r="Q242" s="58" t="s">
        <v>46</v>
      </c>
      <c r="R242" s="58" t="s">
        <v>42</v>
      </c>
      <c r="S242" s="58" t="s">
        <v>41</v>
      </c>
      <c r="T242" s="58" t="s">
        <v>47</v>
      </c>
      <c r="U242" s="58" t="s">
        <v>48</v>
      </c>
      <c r="V242" s="58" t="s">
        <v>43</v>
      </c>
      <c r="W242" s="58" t="s">
        <v>44</v>
      </c>
      <c r="X242" s="75" t="s">
        <v>15</v>
      </c>
      <c r="Y242" s="58" t="s">
        <v>12</v>
      </c>
      <c r="Z242" s="58" t="s">
        <v>14</v>
      </c>
      <c r="AA242" s="58" t="s">
        <v>13</v>
      </c>
      <c r="AB242" s="58" t="s">
        <v>42</v>
      </c>
      <c r="AC242" s="58" t="s">
        <v>41</v>
      </c>
      <c r="AD242" s="58" t="s">
        <v>43</v>
      </c>
      <c r="AE242" s="58" t="s">
        <v>44</v>
      </c>
      <c r="AF242" s="58" t="s">
        <v>15</v>
      </c>
      <c r="AG242" s="58" t="s">
        <v>14</v>
      </c>
      <c r="AH242" s="58" t="s">
        <v>45</v>
      </c>
      <c r="AI242" s="58" t="s">
        <v>46</v>
      </c>
      <c r="AJ242" s="58" t="s">
        <v>42</v>
      </c>
      <c r="AK242" s="58" t="s">
        <v>41</v>
      </c>
      <c r="AL242" s="58" t="s">
        <v>47</v>
      </c>
      <c r="AM242" s="58" t="s">
        <v>48</v>
      </c>
      <c r="AN242" s="58" t="s">
        <v>43</v>
      </c>
      <c r="AO242" s="58" t="s">
        <v>44</v>
      </c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</row>
    <row r="243" spans="2:56" ht="16.5" customHeight="1" thickBot="1" x14ac:dyDescent="0.3">
      <c r="B243" s="1" t="s">
        <v>0</v>
      </c>
      <c r="C243" s="13">
        <f>SUM(F243:W243)</f>
        <v>6</v>
      </c>
      <c r="E243" s="10" t="s">
        <v>0</v>
      </c>
      <c r="F243" s="71"/>
      <c r="G243" s="60"/>
      <c r="H243" s="60"/>
      <c r="I243" s="61"/>
      <c r="J243" s="59"/>
      <c r="K243" s="60"/>
      <c r="L243" s="60"/>
      <c r="M243" s="60"/>
      <c r="N243" s="59">
        <v>1</v>
      </c>
      <c r="O243" s="61"/>
      <c r="P243" s="59"/>
      <c r="Q243" s="60"/>
      <c r="R243" s="60"/>
      <c r="S243" s="60">
        <v>1</v>
      </c>
      <c r="T243" s="60"/>
      <c r="U243" s="60">
        <v>3</v>
      </c>
      <c r="V243" s="60"/>
      <c r="W243" s="61">
        <v>1</v>
      </c>
      <c r="X243" s="71"/>
      <c r="Y243" s="60"/>
      <c r="Z243" s="60"/>
      <c r="AA243" s="60"/>
      <c r="AB243" s="59">
        <v>1</v>
      </c>
      <c r="AC243" s="60"/>
      <c r="AD243" s="60"/>
      <c r="AE243" s="61"/>
      <c r="AF243" s="60"/>
      <c r="AG243" s="61">
        <v>1</v>
      </c>
      <c r="AH243" s="60">
        <v>3</v>
      </c>
      <c r="AI243" s="60"/>
      <c r="AJ243" s="60"/>
      <c r="AK243" s="60"/>
      <c r="AL243" s="60"/>
      <c r="AM243" s="60"/>
      <c r="AN243" s="60">
        <v>1</v>
      </c>
      <c r="AO243" s="60"/>
      <c r="AP243" s="59">
        <v>1</v>
      </c>
      <c r="AQ243" s="59">
        <v>3</v>
      </c>
      <c r="AR243" s="59"/>
      <c r="AS243" s="59"/>
      <c r="AT243" s="59"/>
      <c r="AU243" s="59"/>
      <c r="AV243" s="59">
        <v>1</v>
      </c>
      <c r="AW243" s="59"/>
      <c r="AX243" s="59"/>
      <c r="AY243" s="59"/>
      <c r="AZ243" s="59">
        <v>1</v>
      </c>
      <c r="BA243" s="62">
        <v>2</v>
      </c>
      <c r="BB243" s="62"/>
      <c r="BC243" s="62"/>
      <c r="BD243" s="62"/>
    </row>
    <row r="244" spans="2:56" ht="16.5" customHeight="1" thickBot="1" x14ac:dyDescent="0.3">
      <c r="B244" s="1" t="s">
        <v>1</v>
      </c>
      <c r="C244" s="14">
        <f t="shared" ref="C244:C246" si="26">SUM(F244:W244)</f>
        <v>2</v>
      </c>
      <c r="E244" s="1" t="s">
        <v>1</v>
      </c>
      <c r="F244" s="72"/>
      <c r="G244" s="41"/>
      <c r="H244" s="41">
        <v>2</v>
      </c>
      <c r="I244" s="64"/>
      <c r="J244" s="63"/>
      <c r="K244" s="41"/>
      <c r="L244" s="41"/>
      <c r="M244" s="41"/>
      <c r="N244" s="63"/>
      <c r="O244" s="64"/>
      <c r="P244" s="63"/>
      <c r="Q244" s="41"/>
      <c r="R244" s="41"/>
      <c r="S244" s="41"/>
      <c r="T244" s="41"/>
      <c r="U244" s="41"/>
      <c r="V244" s="41"/>
      <c r="W244" s="64"/>
      <c r="X244" s="72">
        <v>2</v>
      </c>
      <c r="Y244" s="41"/>
      <c r="Z244" s="41"/>
      <c r="AA244" s="41"/>
      <c r="AB244" s="63"/>
      <c r="AC244" s="41"/>
      <c r="AD244" s="41"/>
      <c r="AE244" s="64"/>
      <c r="AF244" s="41"/>
      <c r="AG244" s="64"/>
      <c r="AH244" s="41"/>
      <c r="AI244" s="41"/>
      <c r="AJ244" s="41"/>
      <c r="AK244" s="41"/>
      <c r="AL244" s="41"/>
      <c r="AM244" s="41"/>
      <c r="AN244" s="41"/>
      <c r="AO244" s="41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5"/>
      <c r="BB244" s="65"/>
      <c r="BC244" s="65"/>
      <c r="BD244" s="65"/>
    </row>
    <row r="245" spans="2:56" ht="16.5" customHeight="1" thickBot="1" x14ac:dyDescent="0.3">
      <c r="B245" s="1" t="s">
        <v>2</v>
      </c>
      <c r="C245" s="14">
        <f t="shared" si="26"/>
        <v>0</v>
      </c>
      <c r="E245" s="1" t="s">
        <v>2</v>
      </c>
      <c r="F245" s="72"/>
      <c r="G245" s="41"/>
      <c r="H245" s="41"/>
      <c r="I245" s="64"/>
      <c r="J245" s="63"/>
      <c r="K245" s="41"/>
      <c r="L245" s="41"/>
      <c r="M245" s="41"/>
      <c r="N245" s="63"/>
      <c r="O245" s="64"/>
      <c r="P245" s="63"/>
      <c r="Q245" s="41"/>
      <c r="R245" s="41"/>
      <c r="S245" s="41"/>
      <c r="T245" s="41"/>
      <c r="U245" s="41"/>
      <c r="V245" s="41"/>
      <c r="W245" s="64"/>
      <c r="X245" s="72"/>
      <c r="Y245" s="41"/>
      <c r="Z245" s="41"/>
      <c r="AA245" s="41"/>
      <c r="AB245" s="63"/>
      <c r="AC245" s="41"/>
      <c r="AD245" s="41"/>
      <c r="AE245" s="64"/>
      <c r="AF245" s="41"/>
      <c r="AG245" s="64"/>
      <c r="AH245" s="41"/>
      <c r="AI245" s="41"/>
      <c r="AJ245" s="41"/>
      <c r="AK245" s="41"/>
      <c r="AL245" s="41"/>
      <c r="AM245" s="41"/>
      <c r="AN245" s="41"/>
      <c r="AO245" s="41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5"/>
      <c r="BB245" s="65"/>
      <c r="BC245" s="65"/>
      <c r="BD245" s="65"/>
    </row>
    <row r="246" spans="2:56" ht="16.5" customHeight="1" thickBot="1" x14ac:dyDescent="0.3">
      <c r="B246" s="1" t="s">
        <v>3</v>
      </c>
      <c r="C246" s="15">
        <f t="shared" si="26"/>
        <v>0</v>
      </c>
      <c r="E246" s="1" t="s">
        <v>3</v>
      </c>
      <c r="F246" s="73"/>
      <c r="G246" s="67"/>
      <c r="H246" s="67"/>
      <c r="I246" s="68"/>
      <c r="J246" s="66"/>
      <c r="K246" s="67"/>
      <c r="L246" s="67"/>
      <c r="M246" s="67"/>
      <c r="N246" s="66"/>
      <c r="O246" s="68"/>
      <c r="P246" s="66"/>
      <c r="Q246" s="67"/>
      <c r="R246" s="67"/>
      <c r="S246" s="67"/>
      <c r="T246" s="67"/>
      <c r="U246" s="67"/>
      <c r="V246" s="67"/>
      <c r="W246" s="68"/>
      <c r="X246" s="73"/>
      <c r="Y246" s="67"/>
      <c r="Z246" s="67"/>
      <c r="AA246" s="67"/>
      <c r="AB246" s="66"/>
      <c r="AC246" s="67"/>
      <c r="AD246" s="67"/>
      <c r="AE246" s="68"/>
      <c r="AF246" s="67"/>
      <c r="AG246" s="68"/>
      <c r="AH246" s="67"/>
      <c r="AI246" s="67"/>
      <c r="AJ246" s="67"/>
      <c r="AK246" s="67"/>
      <c r="AL246" s="67"/>
      <c r="AM246" s="67"/>
      <c r="AN246" s="67"/>
      <c r="AO246" s="67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9"/>
      <c r="BB246" s="69"/>
      <c r="BC246" s="69"/>
      <c r="BD246" s="69"/>
    </row>
    <row r="247" spans="2:56" ht="21" customHeight="1" x14ac:dyDescent="0.25">
      <c r="B247" s="2"/>
      <c r="C247" s="8">
        <f>SUM(C243:C246)</f>
        <v>8</v>
      </c>
      <c r="F247" s="74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74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</row>
    <row r="248" spans="2:56" x14ac:dyDescent="0.25"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</row>
    <row r="249" spans="2:56" ht="15.75" x14ac:dyDescent="0.25">
      <c r="F249" s="82" t="s">
        <v>17</v>
      </c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3" t="s">
        <v>16</v>
      </c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79"/>
      <c r="AQ249" s="79"/>
      <c r="AR249" s="79"/>
      <c r="AS249" s="79"/>
      <c r="AT249" s="79"/>
      <c r="AU249" s="41"/>
      <c r="AV249" s="41"/>
      <c r="AW249" s="41"/>
      <c r="AX249" s="41"/>
      <c r="AY249" s="41"/>
      <c r="AZ249" s="41"/>
      <c r="BA249" s="41"/>
    </row>
    <row r="250" spans="2:56" ht="32.25" thickBot="1" x14ac:dyDescent="0.3">
      <c r="F250" s="81" t="s">
        <v>9</v>
      </c>
      <c r="G250" s="81"/>
      <c r="H250" s="81"/>
      <c r="I250" s="81"/>
      <c r="J250" s="81" t="s">
        <v>10</v>
      </c>
      <c r="K250" s="81"/>
      <c r="L250" s="81"/>
      <c r="M250" s="81"/>
      <c r="N250" s="81" t="s">
        <v>49</v>
      </c>
      <c r="O250" s="81"/>
      <c r="P250" s="81" t="s">
        <v>11</v>
      </c>
      <c r="Q250" s="81"/>
      <c r="R250" s="81"/>
      <c r="S250" s="81"/>
      <c r="T250" s="81"/>
      <c r="U250" s="81"/>
      <c r="V250" s="81"/>
      <c r="W250" s="81"/>
      <c r="X250" s="81" t="s">
        <v>9</v>
      </c>
      <c r="Y250" s="81"/>
      <c r="Z250" s="81"/>
      <c r="AA250" s="81"/>
      <c r="AB250" s="81" t="s">
        <v>10</v>
      </c>
      <c r="AC250" s="81"/>
      <c r="AD250" s="81"/>
      <c r="AE250" s="81"/>
      <c r="AF250" s="81" t="s">
        <v>49</v>
      </c>
      <c r="AG250" s="81"/>
      <c r="AH250" s="81" t="s">
        <v>11</v>
      </c>
      <c r="AI250" s="81"/>
      <c r="AJ250" s="81"/>
      <c r="AK250" s="81"/>
      <c r="AL250" s="81"/>
      <c r="AM250" s="81"/>
      <c r="AN250" s="81"/>
      <c r="AO250" s="81"/>
      <c r="AP250" s="70" t="s">
        <v>50</v>
      </c>
      <c r="AQ250" s="70" t="s">
        <v>57</v>
      </c>
      <c r="AR250" s="70" t="s">
        <v>63</v>
      </c>
      <c r="AS250" s="70" t="s">
        <v>64</v>
      </c>
      <c r="AT250" s="70" t="s">
        <v>61</v>
      </c>
      <c r="AU250" s="70" t="s">
        <v>54</v>
      </c>
      <c r="AV250" s="70" t="s">
        <v>19</v>
      </c>
      <c r="AW250" s="70" t="s">
        <v>58</v>
      </c>
      <c r="AX250" s="70" t="s">
        <v>51</v>
      </c>
      <c r="AY250" s="70" t="s">
        <v>53</v>
      </c>
      <c r="AZ250" s="70" t="s">
        <v>52</v>
      </c>
      <c r="BA250" s="70" t="s">
        <v>55</v>
      </c>
      <c r="BB250" s="70" t="s">
        <v>56</v>
      </c>
      <c r="BC250" s="70" t="s">
        <v>59</v>
      </c>
      <c r="BD250" s="70" t="s">
        <v>60</v>
      </c>
    </row>
    <row r="251" spans="2:56" ht="16.5" thickBot="1" x14ac:dyDescent="0.3">
      <c r="B251" s="16">
        <v>0.28125</v>
      </c>
      <c r="C251" s="7" t="s">
        <v>5</v>
      </c>
      <c r="E251" s="11"/>
      <c r="F251" s="75" t="s">
        <v>15</v>
      </c>
      <c r="G251" s="58" t="s">
        <v>12</v>
      </c>
      <c r="H251" s="58" t="s">
        <v>14</v>
      </c>
      <c r="I251" s="58" t="s">
        <v>13</v>
      </c>
      <c r="J251" s="58" t="s">
        <v>42</v>
      </c>
      <c r="K251" s="58" t="s">
        <v>41</v>
      </c>
      <c r="L251" s="58" t="s">
        <v>43</v>
      </c>
      <c r="M251" s="58" t="s">
        <v>44</v>
      </c>
      <c r="N251" s="58" t="s">
        <v>15</v>
      </c>
      <c r="O251" s="58" t="s">
        <v>14</v>
      </c>
      <c r="P251" s="58" t="s">
        <v>45</v>
      </c>
      <c r="Q251" s="58" t="s">
        <v>46</v>
      </c>
      <c r="R251" s="58" t="s">
        <v>42</v>
      </c>
      <c r="S251" s="58" t="s">
        <v>41</v>
      </c>
      <c r="T251" s="58" t="s">
        <v>47</v>
      </c>
      <c r="U251" s="58" t="s">
        <v>48</v>
      </c>
      <c r="V251" s="58" t="s">
        <v>43</v>
      </c>
      <c r="W251" s="58" t="s">
        <v>44</v>
      </c>
      <c r="X251" s="75" t="s">
        <v>15</v>
      </c>
      <c r="Y251" s="58" t="s">
        <v>12</v>
      </c>
      <c r="Z251" s="58" t="s">
        <v>14</v>
      </c>
      <c r="AA251" s="58" t="s">
        <v>13</v>
      </c>
      <c r="AB251" s="58" t="s">
        <v>42</v>
      </c>
      <c r="AC251" s="58" t="s">
        <v>41</v>
      </c>
      <c r="AD251" s="58" t="s">
        <v>43</v>
      </c>
      <c r="AE251" s="58" t="s">
        <v>44</v>
      </c>
      <c r="AF251" s="58" t="s">
        <v>15</v>
      </c>
      <c r="AG251" s="58" t="s">
        <v>14</v>
      </c>
      <c r="AH251" s="58" t="s">
        <v>45</v>
      </c>
      <c r="AI251" s="58" t="s">
        <v>46</v>
      </c>
      <c r="AJ251" s="58" t="s">
        <v>42</v>
      </c>
      <c r="AK251" s="58" t="s">
        <v>41</v>
      </c>
      <c r="AL251" s="58" t="s">
        <v>47</v>
      </c>
      <c r="AM251" s="58" t="s">
        <v>48</v>
      </c>
      <c r="AN251" s="58" t="s">
        <v>43</v>
      </c>
      <c r="AO251" s="58" t="s">
        <v>44</v>
      </c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</row>
    <row r="252" spans="2:56" ht="16.5" customHeight="1" thickBot="1" x14ac:dyDescent="0.3">
      <c r="B252" s="1" t="s">
        <v>0</v>
      </c>
      <c r="C252" s="13">
        <f>SUM(F252:W252)</f>
        <v>4</v>
      </c>
      <c r="E252" s="10" t="s">
        <v>0</v>
      </c>
      <c r="F252" s="71"/>
      <c r="G252" s="60"/>
      <c r="H252" s="60"/>
      <c r="I252" s="61"/>
      <c r="J252" s="59"/>
      <c r="K252" s="60"/>
      <c r="L252" s="60"/>
      <c r="M252" s="60"/>
      <c r="N252" s="59"/>
      <c r="O252" s="61"/>
      <c r="P252" s="59"/>
      <c r="Q252" s="60"/>
      <c r="R252" s="60"/>
      <c r="S252" s="60"/>
      <c r="T252" s="60"/>
      <c r="U252" s="60">
        <v>1</v>
      </c>
      <c r="V252" s="60"/>
      <c r="W252" s="61">
        <v>3</v>
      </c>
      <c r="X252" s="71"/>
      <c r="Y252" s="60"/>
      <c r="Z252" s="60"/>
      <c r="AA252" s="60"/>
      <c r="AB252" s="59"/>
      <c r="AC252" s="60"/>
      <c r="AD252" s="60"/>
      <c r="AE252" s="61"/>
      <c r="AF252" s="60"/>
      <c r="AG252" s="61"/>
      <c r="AH252" s="60">
        <v>4</v>
      </c>
      <c r="AI252" s="60"/>
      <c r="AJ252" s="60"/>
      <c r="AK252" s="60"/>
      <c r="AL252" s="60"/>
      <c r="AM252" s="60"/>
      <c r="AN252" s="60"/>
      <c r="AO252" s="60"/>
      <c r="AP252" s="59"/>
      <c r="AQ252" s="59">
        <v>1</v>
      </c>
      <c r="AR252" s="59"/>
      <c r="AS252" s="59"/>
      <c r="AT252" s="59"/>
      <c r="AU252" s="59"/>
      <c r="AV252" s="59"/>
      <c r="AW252" s="59"/>
      <c r="AX252" s="59"/>
      <c r="AY252" s="59"/>
      <c r="AZ252" s="59"/>
      <c r="BA252" s="62"/>
      <c r="BB252" s="62"/>
      <c r="BC252" s="62"/>
      <c r="BD252" s="62"/>
    </row>
    <row r="253" spans="2:56" ht="16.5" customHeight="1" thickBot="1" x14ac:dyDescent="0.3">
      <c r="B253" s="1" t="s">
        <v>1</v>
      </c>
      <c r="C253" s="14">
        <f t="shared" ref="C253:C255" si="27">SUM(F253:W253)</f>
        <v>0</v>
      </c>
      <c r="E253" s="1" t="s">
        <v>1</v>
      </c>
      <c r="F253" s="72"/>
      <c r="G253" s="41"/>
      <c r="H253" s="41"/>
      <c r="I253" s="64"/>
      <c r="J253" s="63"/>
      <c r="K253" s="41"/>
      <c r="L253" s="41"/>
      <c r="M253" s="41"/>
      <c r="N253" s="63"/>
      <c r="O253" s="64"/>
      <c r="P253" s="63"/>
      <c r="Q253" s="41"/>
      <c r="R253" s="41"/>
      <c r="S253" s="41"/>
      <c r="T253" s="41"/>
      <c r="U253" s="41"/>
      <c r="V253" s="41"/>
      <c r="W253" s="64"/>
      <c r="X253" s="72"/>
      <c r="Y253" s="41"/>
      <c r="Z253" s="41"/>
      <c r="AA253" s="41"/>
      <c r="AB253" s="63"/>
      <c r="AC253" s="41"/>
      <c r="AD253" s="41"/>
      <c r="AE253" s="64"/>
      <c r="AF253" s="41"/>
      <c r="AG253" s="64"/>
      <c r="AH253" s="41"/>
      <c r="AI253" s="41"/>
      <c r="AJ253" s="41"/>
      <c r="AK253" s="41"/>
      <c r="AL253" s="41"/>
      <c r="AM253" s="41"/>
      <c r="AN253" s="41"/>
      <c r="AO253" s="41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5"/>
      <c r="BB253" s="65"/>
      <c r="BC253" s="65"/>
      <c r="BD253" s="65"/>
    </row>
    <row r="254" spans="2:56" ht="16.5" customHeight="1" thickBot="1" x14ac:dyDescent="0.3">
      <c r="B254" s="1" t="s">
        <v>2</v>
      </c>
      <c r="C254" s="14">
        <f t="shared" si="27"/>
        <v>0</v>
      </c>
      <c r="E254" s="1" t="s">
        <v>2</v>
      </c>
      <c r="F254" s="72"/>
      <c r="G254" s="41"/>
      <c r="H254" s="41"/>
      <c r="I254" s="64"/>
      <c r="J254" s="63"/>
      <c r="K254" s="41"/>
      <c r="L254" s="41"/>
      <c r="M254" s="41"/>
      <c r="N254" s="63"/>
      <c r="O254" s="64"/>
      <c r="P254" s="63"/>
      <c r="Q254" s="41"/>
      <c r="R254" s="41"/>
      <c r="S254" s="41"/>
      <c r="T254" s="41"/>
      <c r="U254" s="41"/>
      <c r="V254" s="41"/>
      <c r="W254" s="64"/>
      <c r="X254" s="72"/>
      <c r="Y254" s="41"/>
      <c r="Z254" s="41"/>
      <c r="AA254" s="41"/>
      <c r="AB254" s="63"/>
      <c r="AC254" s="41"/>
      <c r="AD254" s="41"/>
      <c r="AE254" s="64"/>
      <c r="AF254" s="41"/>
      <c r="AG254" s="64"/>
      <c r="AH254" s="41"/>
      <c r="AI254" s="41"/>
      <c r="AJ254" s="41"/>
      <c r="AK254" s="41"/>
      <c r="AL254" s="41"/>
      <c r="AM254" s="41"/>
      <c r="AN254" s="41"/>
      <c r="AO254" s="41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5"/>
      <c r="BB254" s="65"/>
      <c r="BC254" s="65"/>
      <c r="BD254" s="65"/>
    </row>
    <row r="255" spans="2:56" ht="16.5" customHeight="1" thickBot="1" x14ac:dyDescent="0.3">
      <c r="B255" s="1" t="s">
        <v>3</v>
      </c>
      <c r="C255" s="15">
        <f t="shared" si="27"/>
        <v>0</v>
      </c>
      <c r="E255" s="1" t="s">
        <v>3</v>
      </c>
      <c r="F255" s="73"/>
      <c r="G255" s="67"/>
      <c r="H255" s="67"/>
      <c r="I255" s="68"/>
      <c r="J255" s="66"/>
      <c r="K255" s="67"/>
      <c r="L255" s="67"/>
      <c r="M255" s="67"/>
      <c r="N255" s="66"/>
      <c r="O255" s="68"/>
      <c r="P255" s="66"/>
      <c r="Q255" s="67"/>
      <c r="R255" s="67"/>
      <c r="S255" s="67"/>
      <c r="T255" s="67"/>
      <c r="U255" s="67"/>
      <c r="V255" s="67"/>
      <c r="W255" s="68"/>
      <c r="X255" s="73"/>
      <c r="Y255" s="67"/>
      <c r="Z255" s="67"/>
      <c r="AA255" s="67"/>
      <c r="AB255" s="66"/>
      <c r="AC255" s="67"/>
      <c r="AD255" s="67"/>
      <c r="AE255" s="68"/>
      <c r="AF255" s="67"/>
      <c r="AG255" s="68"/>
      <c r="AH255" s="67"/>
      <c r="AI255" s="67"/>
      <c r="AJ255" s="67"/>
      <c r="AK255" s="67"/>
      <c r="AL255" s="67"/>
      <c r="AM255" s="67"/>
      <c r="AN255" s="67"/>
      <c r="AO255" s="67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9"/>
      <c r="BB255" s="69"/>
      <c r="BC255" s="69"/>
      <c r="BD255" s="69"/>
    </row>
    <row r="256" spans="2:56" ht="21" customHeight="1" x14ac:dyDescent="0.25">
      <c r="B256" s="2"/>
      <c r="C256" s="8">
        <f>SUM(C252:C255)</f>
        <v>4</v>
      </c>
      <c r="F256" s="74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74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</row>
    <row r="257" spans="2:56" x14ac:dyDescent="0.25"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</row>
    <row r="258" spans="2:56" ht="15.75" x14ac:dyDescent="0.25">
      <c r="F258" s="82" t="s">
        <v>17</v>
      </c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3" t="s">
        <v>16</v>
      </c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79"/>
      <c r="AQ258" s="79"/>
      <c r="AR258" s="79"/>
      <c r="AS258" s="79"/>
      <c r="AT258" s="79"/>
      <c r="AU258" s="41"/>
      <c r="AV258" s="41"/>
      <c r="AW258" s="41"/>
      <c r="AX258" s="41"/>
      <c r="AY258" s="41"/>
      <c r="AZ258" s="41"/>
      <c r="BA258" s="41"/>
    </row>
    <row r="259" spans="2:56" ht="32.25" thickBot="1" x14ac:dyDescent="0.3">
      <c r="F259" s="81" t="s">
        <v>9</v>
      </c>
      <c r="G259" s="81"/>
      <c r="H259" s="81"/>
      <c r="I259" s="81"/>
      <c r="J259" s="81" t="s">
        <v>10</v>
      </c>
      <c r="K259" s="81"/>
      <c r="L259" s="81"/>
      <c r="M259" s="81"/>
      <c r="N259" s="81" t="s">
        <v>49</v>
      </c>
      <c r="O259" s="81"/>
      <c r="P259" s="81" t="s">
        <v>11</v>
      </c>
      <c r="Q259" s="81"/>
      <c r="R259" s="81"/>
      <c r="S259" s="81"/>
      <c r="T259" s="81"/>
      <c r="U259" s="81"/>
      <c r="V259" s="81"/>
      <c r="W259" s="81"/>
      <c r="X259" s="81" t="s">
        <v>9</v>
      </c>
      <c r="Y259" s="81"/>
      <c r="Z259" s="81"/>
      <c r="AA259" s="81"/>
      <c r="AB259" s="81" t="s">
        <v>10</v>
      </c>
      <c r="AC259" s="81"/>
      <c r="AD259" s="81"/>
      <c r="AE259" s="81"/>
      <c r="AF259" s="81" t="s">
        <v>49</v>
      </c>
      <c r="AG259" s="81"/>
      <c r="AH259" s="81" t="s">
        <v>11</v>
      </c>
      <c r="AI259" s="81"/>
      <c r="AJ259" s="81"/>
      <c r="AK259" s="81"/>
      <c r="AL259" s="81"/>
      <c r="AM259" s="81"/>
      <c r="AN259" s="81"/>
      <c r="AO259" s="81"/>
      <c r="AP259" s="70" t="s">
        <v>50</v>
      </c>
      <c r="AQ259" s="70" t="s">
        <v>57</v>
      </c>
      <c r="AR259" s="70" t="s">
        <v>63</v>
      </c>
      <c r="AS259" s="70" t="s">
        <v>64</v>
      </c>
      <c r="AT259" s="70" t="s">
        <v>61</v>
      </c>
      <c r="AU259" s="70" t="s">
        <v>54</v>
      </c>
      <c r="AV259" s="70" t="s">
        <v>19</v>
      </c>
      <c r="AW259" s="70" t="s">
        <v>58</v>
      </c>
      <c r="AX259" s="70" t="s">
        <v>51</v>
      </c>
      <c r="AY259" s="70" t="s">
        <v>53</v>
      </c>
      <c r="AZ259" s="70" t="s">
        <v>52</v>
      </c>
      <c r="BA259" s="70" t="s">
        <v>55</v>
      </c>
      <c r="BB259" s="70" t="s">
        <v>56</v>
      </c>
      <c r="BC259" s="70" t="s">
        <v>59</v>
      </c>
      <c r="BD259" s="70" t="s">
        <v>60</v>
      </c>
    </row>
    <row r="260" spans="2:56" ht="16.5" thickBot="1" x14ac:dyDescent="0.3">
      <c r="B260" s="17">
        <v>0.29166666666666669</v>
      </c>
      <c r="C260" s="7" t="s">
        <v>5</v>
      </c>
      <c r="E260" s="11"/>
      <c r="F260" s="75" t="s">
        <v>15</v>
      </c>
      <c r="G260" s="58" t="s">
        <v>12</v>
      </c>
      <c r="H260" s="58" t="s">
        <v>14</v>
      </c>
      <c r="I260" s="58" t="s">
        <v>13</v>
      </c>
      <c r="J260" s="58" t="s">
        <v>42</v>
      </c>
      <c r="K260" s="58" t="s">
        <v>41</v>
      </c>
      <c r="L260" s="58" t="s">
        <v>43</v>
      </c>
      <c r="M260" s="58" t="s">
        <v>44</v>
      </c>
      <c r="N260" s="58" t="s">
        <v>15</v>
      </c>
      <c r="O260" s="58" t="s">
        <v>14</v>
      </c>
      <c r="P260" s="58" t="s">
        <v>45</v>
      </c>
      <c r="Q260" s="58" t="s">
        <v>46</v>
      </c>
      <c r="R260" s="58" t="s">
        <v>42</v>
      </c>
      <c r="S260" s="58" t="s">
        <v>41</v>
      </c>
      <c r="T260" s="58" t="s">
        <v>47</v>
      </c>
      <c r="U260" s="58" t="s">
        <v>48</v>
      </c>
      <c r="V260" s="58" t="s">
        <v>43</v>
      </c>
      <c r="W260" s="58" t="s">
        <v>44</v>
      </c>
      <c r="X260" s="75" t="s">
        <v>15</v>
      </c>
      <c r="Y260" s="58" t="s">
        <v>12</v>
      </c>
      <c r="Z260" s="58" t="s">
        <v>14</v>
      </c>
      <c r="AA260" s="58" t="s">
        <v>13</v>
      </c>
      <c r="AB260" s="58" t="s">
        <v>42</v>
      </c>
      <c r="AC260" s="58" t="s">
        <v>41</v>
      </c>
      <c r="AD260" s="58" t="s">
        <v>43</v>
      </c>
      <c r="AE260" s="58" t="s">
        <v>44</v>
      </c>
      <c r="AF260" s="58" t="s">
        <v>15</v>
      </c>
      <c r="AG260" s="58" t="s">
        <v>14</v>
      </c>
      <c r="AH260" s="58" t="s">
        <v>45</v>
      </c>
      <c r="AI260" s="58" t="s">
        <v>46</v>
      </c>
      <c r="AJ260" s="58" t="s">
        <v>42</v>
      </c>
      <c r="AK260" s="58" t="s">
        <v>41</v>
      </c>
      <c r="AL260" s="58" t="s">
        <v>47</v>
      </c>
      <c r="AM260" s="58" t="s">
        <v>48</v>
      </c>
      <c r="AN260" s="58" t="s">
        <v>43</v>
      </c>
      <c r="AO260" s="58" t="s">
        <v>44</v>
      </c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</row>
    <row r="261" spans="2:56" ht="16.5" customHeight="1" thickBot="1" x14ac:dyDescent="0.3">
      <c r="B261" s="1" t="s">
        <v>0</v>
      </c>
      <c r="C261" s="13">
        <f>SUM(F261:W261)</f>
        <v>5</v>
      </c>
      <c r="E261" s="10" t="s">
        <v>0</v>
      </c>
      <c r="F261" s="71"/>
      <c r="G261" s="60"/>
      <c r="H261" s="60"/>
      <c r="I261" s="61"/>
      <c r="J261" s="59"/>
      <c r="K261" s="60"/>
      <c r="L261" s="60"/>
      <c r="M261" s="60"/>
      <c r="N261" s="59">
        <v>1</v>
      </c>
      <c r="O261" s="61">
        <v>2</v>
      </c>
      <c r="P261" s="59">
        <v>1</v>
      </c>
      <c r="Q261" s="60"/>
      <c r="R261" s="60">
        <v>1</v>
      </c>
      <c r="S261" s="60"/>
      <c r="T261" s="60"/>
      <c r="U261" s="60"/>
      <c r="V261" s="60"/>
      <c r="W261" s="61"/>
      <c r="X261" s="71"/>
      <c r="Y261" s="60"/>
      <c r="Z261" s="60"/>
      <c r="AA261" s="60"/>
      <c r="AB261" s="59"/>
      <c r="AC261" s="60"/>
      <c r="AD261" s="60"/>
      <c r="AE261" s="61"/>
      <c r="AF261" s="60"/>
      <c r="AG261" s="61">
        <v>3</v>
      </c>
      <c r="AH261" s="60"/>
      <c r="AI261" s="60">
        <v>1</v>
      </c>
      <c r="AJ261" s="60"/>
      <c r="AK261" s="60"/>
      <c r="AL261" s="60"/>
      <c r="AM261" s="60">
        <v>1</v>
      </c>
      <c r="AN261" s="60"/>
      <c r="AO261" s="60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>
        <v>1</v>
      </c>
      <c r="BA261" s="62">
        <v>1</v>
      </c>
      <c r="BB261" s="62"/>
      <c r="BC261" s="62"/>
      <c r="BD261" s="62"/>
    </row>
    <row r="262" spans="2:56" ht="16.5" customHeight="1" thickBot="1" x14ac:dyDescent="0.3">
      <c r="B262" s="1" t="s">
        <v>1</v>
      </c>
      <c r="C262" s="14">
        <f t="shared" ref="C262:C264" si="28">SUM(F262:W262)</f>
        <v>0</v>
      </c>
      <c r="E262" s="1" t="s">
        <v>1</v>
      </c>
      <c r="F262" s="72"/>
      <c r="G262" s="41"/>
      <c r="H262" s="41"/>
      <c r="I262" s="64"/>
      <c r="J262" s="63"/>
      <c r="K262" s="41"/>
      <c r="L262" s="41"/>
      <c r="M262" s="41"/>
      <c r="N262" s="63"/>
      <c r="O262" s="64"/>
      <c r="P262" s="63"/>
      <c r="Q262" s="41"/>
      <c r="R262" s="41"/>
      <c r="S262" s="41"/>
      <c r="T262" s="41"/>
      <c r="U262" s="41"/>
      <c r="V262" s="41"/>
      <c r="W262" s="64"/>
      <c r="X262" s="72"/>
      <c r="Y262" s="41"/>
      <c r="Z262" s="41"/>
      <c r="AA262" s="41"/>
      <c r="AB262" s="63"/>
      <c r="AC262" s="41"/>
      <c r="AD262" s="41"/>
      <c r="AE262" s="64"/>
      <c r="AF262" s="41"/>
      <c r="AG262" s="64"/>
      <c r="AH262" s="41"/>
      <c r="AI262" s="41"/>
      <c r="AJ262" s="41"/>
      <c r="AK262" s="41"/>
      <c r="AL262" s="41"/>
      <c r="AM262" s="41"/>
      <c r="AN262" s="41"/>
      <c r="AO262" s="41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5"/>
      <c r="BB262" s="65"/>
      <c r="BC262" s="65"/>
      <c r="BD262" s="65"/>
    </row>
    <row r="263" spans="2:56" ht="16.5" customHeight="1" thickBot="1" x14ac:dyDescent="0.3">
      <c r="B263" s="1" t="s">
        <v>2</v>
      </c>
      <c r="C263" s="14">
        <f t="shared" si="28"/>
        <v>1</v>
      </c>
      <c r="E263" s="1" t="s">
        <v>2</v>
      </c>
      <c r="F263" s="72"/>
      <c r="G263" s="41"/>
      <c r="H263" s="41"/>
      <c r="I263" s="64"/>
      <c r="J263" s="63"/>
      <c r="K263" s="41"/>
      <c r="L263" s="41"/>
      <c r="M263" s="41"/>
      <c r="N263" s="63"/>
      <c r="O263" s="64">
        <v>1</v>
      </c>
      <c r="P263" s="63"/>
      <c r="Q263" s="41"/>
      <c r="R263" s="41"/>
      <c r="S263" s="41"/>
      <c r="T263" s="41"/>
      <c r="U263" s="41"/>
      <c r="V263" s="41"/>
      <c r="W263" s="64"/>
      <c r="X263" s="72"/>
      <c r="Y263" s="41"/>
      <c r="Z263" s="41"/>
      <c r="AA263" s="41"/>
      <c r="AB263" s="63"/>
      <c r="AC263" s="41"/>
      <c r="AD263" s="41"/>
      <c r="AE263" s="64">
        <v>1</v>
      </c>
      <c r="AF263" s="41"/>
      <c r="AG263" s="64"/>
      <c r="AH263" s="41"/>
      <c r="AI263" s="41"/>
      <c r="AJ263" s="41"/>
      <c r="AK263" s="41"/>
      <c r="AL263" s="41"/>
      <c r="AM263" s="41"/>
      <c r="AN263" s="41"/>
      <c r="AO263" s="41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5"/>
      <c r="BB263" s="65">
        <v>1</v>
      </c>
      <c r="BC263" s="65"/>
      <c r="BD263" s="65"/>
    </row>
    <row r="264" spans="2:56" ht="16.5" customHeight="1" thickBot="1" x14ac:dyDescent="0.3">
      <c r="B264" s="1" t="s">
        <v>3</v>
      </c>
      <c r="C264" s="15">
        <f t="shared" si="28"/>
        <v>0</v>
      </c>
      <c r="E264" s="1" t="s">
        <v>3</v>
      </c>
      <c r="F264" s="73"/>
      <c r="G264" s="67"/>
      <c r="H264" s="67"/>
      <c r="I264" s="68"/>
      <c r="J264" s="66"/>
      <c r="K264" s="67"/>
      <c r="L264" s="67"/>
      <c r="M264" s="67"/>
      <c r="N264" s="66"/>
      <c r="O264" s="68"/>
      <c r="P264" s="66"/>
      <c r="Q264" s="67"/>
      <c r="R264" s="67"/>
      <c r="S264" s="67"/>
      <c r="T264" s="67"/>
      <c r="U264" s="67"/>
      <c r="V264" s="67"/>
      <c r="W264" s="68"/>
      <c r="X264" s="73"/>
      <c r="Y264" s="67"/>
      <c r="Z264" s="67"/>
      <c r="AA264" s="67"/>
      <c r="AB264" s="66"/>
      <c r="AC264" s="67"/>
      <c r="AD264" s="67"/>
      <c r="AE264" s="68"/>
      <c r="AF264" s="67"/>
      <c r="AG264" s="68"/>
      <c r="AH264" s="67"/>
      <c r="AI264" s="67"/>
      <c r="AJ264" s="67"/>
      <c r="AK264" s="67"/>
      <c r="AL264" s="67"/>
      <c r="AM264" s="67"/>
      <c r="AN264" s="67"/>
      <c r="AO264" s="67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9"/>
      <c r="BB264" s="69"/>
      <c r="BC264" s="69"/>
      <c r="BD264" s="69"/>
    </row>
    <row r="265" spans="2:56" ht="21" customHeight="1" x14ac:dyDescent="0.25">
      <c r="B265" s="2"/>
      <c r="C265" s="8">
        <f>SUM(C261:C264)</f>
        <v>6</v>
      </c>
      <c r="F265" s="74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74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</row>
    <row r="266" spans="2:56" x14ac:dyDescent="0.25"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</row>
    <row r="267" spans="2:56" ht="15.75" x14ac:dyDescent="0.25">
      <c r="F267" s="82" t="s">
        <v>17</v>
      </c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3" t="s">
        <v>16</v>
      </c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79"/>
      <c r="AQ267" s="79"/>
      <c r="AR267" s="79"/>
      <c r="AS267" s="79"/>
      <c r="AT267" s="79"/>
      <c r="AU267" s="41"/>
      <c r="AV267" s="41"/>
      <c r="AW267" s="41"/>
      <c r="AX267" s="41"/>
      <c r="AY267" s="41"/>
      <c r="AZ267" s="41"/>
      <c r="BA267" s="41"/>
    </row>
    <row r="268" spans="2:56" ht="32.25" thickBot="1" x14ac:dyDescent="0.3">
      <c r="F268" s="81" t="s">
        <v>9</v>
      </c>
      <c r="G268" s="81"/>
      <c r="H268" s="81"/>
      <c r="I268" s="81"/>
      <c r="J268" s="81" t="s">
        <v>10</v>
      </c>
      <c r="K268" s="81"/>
      <c r="L268" s="81"/>
      <c r="M268" s="81"/>
      <c r="N268" s="81" t="s">
        <v>49</v>
      </c>
      <c r="O268" s="81"/>
      <c r="P268" s="81" t="s">
        <v>11</v>
      </c>
      <c r="Q268" s="81"/>
      <c r="R268" s="81"/>
      <c r="S268" s="81"/>
      <c r="T268" s="81"/>
      <c r="U268" s="81"/>
      <c r="V268" s="81"/>
      <c r="W268" s="81"/>
      <c r="X268" s="81" t="s">
        <v>9</v>
      </c>
      <c r="Y268" s="81"/>
      <c r="Z268" s="81"/>
      <c r="AA268" s="81"/>
      <c r="AB268" s="81" t="s">
        <v>10</v>
      </c>
      <c r="AC268" s="81"/>
      <c r="AD268" s="81"/>
      <c r="AE268" s="81"/>
      <c r="AF268" s="81" t="s">
        <v>49</v>
      </c>
      <c r="AG268" s="81"/>
      <c r="AH268" s="81" t="s">
        <v>11</v>
      </c>
      <c r="AI268" s="81"/>
      <c r="AJ268" s="81"/>
      <c r="AK268" s="81"/>
      <c r="AL268" s="81"/>
      <c r="AM268" s="81"/>
      <c r="AN268" s="81"/>
      <c r="AO268" s="81"/>
      <c r="AP268" s="70" t="s">
        <v>50</v>
      </c>
      <c r="AQ268" s="70" t="s">
        <v>57</v>
      </c>
      <c r="AR268" s="70" t="s">
        <v>63</v>
      </c>
      <c r="AS268" s="70" t="s">
        <v>64</v>
      </c>
      <c r="AT268" s="70" t="s">
        <v>61</v>
      </c>
      <c r="AU268" s="70" t="s">
        <v>54</v>
      </c>
      <c r="AV268" s="70" t="s">
        <v>19</v>
      </c>
      <c r="AW268" s="70" t="s">
        <v>58</v>
      </c>
      <c r="AX268" s="70" t="s">
        <v>51</v>
      </c>
      <c r="AY268" s="70" t="s">
        <v>53</v>
      </c>
      <c r="AZ268" s="70" t="s">
        <v>52</v>
      </c>
      <c r="BA268" s="70" t="s">
        <v>55</v>
      </c>
      <c r="BB268" s="70" t="s">
        <v>56</v>
      </c>
      <c r="BC268" s="70" t="s">
        <v>59</v>
      </c>
      <c r="BD268" s="70" t="s">
        <v>60</v>
      </c>
    </row>
    <row r="269" spans="2:56" ht="16.5" thickBot="1" x14ac:dyDescent="0.3">
      <c r="B269" s="17">
        <v>0.30208333333333331</v>
      </c>
      <c r="C269" s="7" t="s">
        <v>5</v>
      </c>
      <c r="E269" s="11"/>
      <c r="F269" s="75" t="s">
        <v>15</v>
      </c>
      <c r="G269" s="58" t="s">
        <v>12</v>
      </c>
      <c r="H269" s="58" t="s">
        <v>14</v>
      </c>
      <c r="I269" s="58" t="s">
        <v>13</v>
      </c>
      <c r="J269" s="58" t="s">
        <v>42</v>
      </c>
      <c r="K269" s="58" t="s">
        <v>41</v>
      </c>
      <c r="L269" s="58" t="s">
        <v>43</v>
      </c>
      <c r="M269" s="58" t="s">
        <v>44</v>
      </c>
      <c r="N269" s="58" t="s">
        <v>15</v>
      </c>
      <c r="O269" s="58" t="s">
        <v>14</v>
      </c>
      <c r="P269" s="58" t="s">
        <v>45</v>
      </c>
      <c r="Q269" s="58" t="s">
        <v>46</v>
      </c>
      <c r="R269" s="58" t="s">
        <v>42</v>
      </c>
      <c r="S269" s="58" t="s">
        <v>41</v>
      </c>
      <c r="T269" s="58" t="s">
        <v>47</v>
      </c>
      <c r="U269" s="58" t="s">
        <v>48</v>
      </c>
      <c r="V269" s="58" t="s">
        <v>43</v>
      </c>
      <c r="W269" s="58" t="s">
        <v>44</v>
      </c>
      <c r="X269" s="75" t="s">
        <v>15</v>
      </c>
      <c r="Y269" s="58" t="s">
        <v>12</v>
      </c>
      <c r="Z269" s="58" t="s">
        <v>14</v>
      </c>
      <c r="AA269" s="58" t="s">
        <v>13</v>
      </c>
      <c r="AB269" s="58" t="s">
        <v>42</v>
      </c>
      <c r="AC269" s="58" t="s">
        <v>41</v>
      </c>
      <c r="AD269" s="58" t="s">
        <v>43</v>
      </c>
      <c r="AE269" s="58" t="s">
        <v>44</v>
      </c>
      <c r="AF269" s="58" t="s">
        <v>15</v>
      </c>
      <c r="AG269" s="58" t="s">
        <v>14</v>
      </c>
      <c r="AH269" s="58" t="s">
        <v>45</v>
      </c>
      <c r="AI269" s="58" t="s">
        <v>46</v>
      </c>
      <c r="AJ269" s="58" t="s">
        <v>42</v>
      </c>
      <c r="AK269" s="58" t="s">
        <v>41</v>
      </c>
      <c r="AL269" s="58" t="s">
        <v>47</v>
      </c>
      <c r="AM269" s="58" t="s">
        <v>48</v>
      </c>
      <c r="AN269" s="58" t="s">
        <v>43</v>
      </c>
      <c r="AO269" s="58" t="s">
        <v>44</v>
      </c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</row>
    <row r="270" spans="2:56" ht="16.5" customHeight="1" thickBot="1" x14ac:dyDescent="0.3">
      <c r="B270" s="1" t="s">
        <v>0</v>
      </c>
      <c r="C270" s="13">
        <f>SUM(F270:W270)</f>
        <v>5</v>
      </c>
      <c r="E270" s="10" t="s">
        <v>0</v>
      </c>
      <c r="F270" s="71"/>
      <c r="G270" s="60"/>
      <c r="H270" s="60"/>
      <c r="I270" s="61"/>
      <c r="J270" s="59"/>
      <c r="K270" s="60"/>
      <c r="L270" s="60"/>
      <c r="M270" s="60"/>
      <c r="N270" s="59"/>
      <c r="O270" s="61">
        <v>2</v>
      </c>
      <c r="P270" s="59"/>
      <c r="Q270" s="60"/>
      <c r="R270" s="60">
        <v>2</v>
      </c>
      <c r="S270" s="60"/>
      <c r="T270" s="60"/>
      <c r="U270" s="60"/>
      <c r="V270" s="60">
        <v>1</v>
      </c>
      <c r="W270" s="61"/>
      <c r="X270" s="71"/>
      <c r="Y270" s="60"/>
      <c r="Z270" s="60"/>
      <c r="AA270" s="60"/>
      <c r="AB270" s="59">
        <v>1</v>
      </c>
      <c r="AC270" s="60"/>
      <c r="AD270" s="60"/>
      <c r="AE270" s="61"/>
      <c r="AF270" s="60">
        <v>1</v>
      </c>
      <c r="AG270" s="61"/>
      <c r="AH270" s="60">
        <v>2</v>
      </c>
      <c r="AI270" s="60"/>
      <c r="AJ270" s="60"/>
      <c r="AK270" s="60">
        <v>1</v>
      </c>
      <c r="AL270" s="60"/>
      <c r="AM270" s="60"/>
      <c r="AN270" s="60"/>
      <c r="AO270" s="60"/>
      <c r="AP270" s="59">
        <v>1</v>
      </c>
      <c r="AQ270" s="59">
        <v>2</v>
      </c>
      <c r="AR270" s="59"/>
      <c r="AS270" s="59"/>
      <c r="AT270" s="59"/>
      <c r="AU270" s="59"/>
      <c r="AV270" s="59"/>
      <c r="AW270" s="59"/>
      <c r="AX270" s="59"/>
      <c r="AY270" s="59"/>
      <c r="AZ270" s="59">
        <v>1</v>
      </c>
      <c r="BA270" s="62">
        <v>1</v>
      </c>
      <c r="BB270" s="62"/>
      <c r="BC270" s="62"/>
      <c r="BD270" s="62"/>
    </row>
    <row r="271" spans="2:56" ht="16.5" customHeight="1" thickBot="1" x14ac:dyDescent="0.3">
      <c r="B271" s="1" t="s">
        <v>1</v>
      </c>
      <c r="C271" s="14">
        <f t="shared" ref="C271:C273" si="29">SUM(F271:W271)</f>
        <v>4</v>
      </c>
      <c r="E271" s="1" t="s">
        <v>1</v>
      </c>
      <c r="F271" s="72"/>
      <c r="G271" s="41"/>
      <c r="H271" s="41"/>
      <c r="I271" s="64"/>
      <c r="J271" s="63">
        <v>1</v>
      </c>
      <c r="K271" s="41"/>
      <c r="L271" s="41"/>
      <c r="M271" s="41"/>
      <c r="N271" s="63">
        <v>1</v>
      </c>
      <c r="O271" s="64">
        <v>1</v>
      </c>
      <c r="P271" s="63"/>
      <c r="Q271" s="41">
        <v>1</v>
      </c>
      <c r="R271" s="41"/>
      <c r="S271" s="41"/>
      <c r="T271" s="41"/>
      <c r="U271" s="41"/>
      <c r="V271" s="41"/>
      <c r="W271" s="64"/>
      <c r="X271" s="72"/>
      <c r="Y271" s="41"/>
      <c r="Z271" s="41"/>
      <c r="AA271" s="41"/>
      <c r="AB271" s="63"/>
      <c r="AC271" s="41"/>
      <c r="AD271" s="41"/>
      <c r="AE271" s="64">
        <v>1</v>
      </c>
      <c r="AF271" s="41"/>
      <c r="AG271" s="64">
        <v>2</v>
      </c>
      <c r="AH271" s="41"/>
      <c r="AI271" s="41"/>
      <c r="AJ271" s="41"/>
      <c r="AK271" s="41"/>
      <c r="AL271" s="41"/>
      <c r="AM271" s="41"/>
      <c r="AN271" s="41"/>
      <c r="AO271" s="41">
        <v>1</v>
      </c>
      <c r="AP271" s="63"/>
      <c r="AQ271" s="63">
        <v>1</v>
      </c>
      <c r="AR271" s="63"/>
      <c r="AS271" s="63"/>
      <c r="AT271" s="63"/>
      <c r="AU271" s="63"/>
      <c r="AV271" s="63"/>
      <c r="AW271" s="63"/>
      <c r="AX271" s="63"/>
      <c r="AY271" s="63"/>
      <c r="AZ271" s="63"/>
      <c r="BA271" s="65"/>
      <c r="BB271" s="65">
        <v>3</v>
      </c>
      <c r="BC271" s="65"/>
      <c r="BD271" s="65"/>
    </row>
    <row r="272" spans="2:56" ht="16.5" customHeight="1" thickBot="1" x14ac:dyDescent="0.3">
      <c r="B272" s="1" t="s">
        <v>2</v>
      </c>
      <c r="C272" s="14">
        <f t="shared" si="29"/>
        <v>0</v>
      </c>
      <c r="E272" s="1" t="s">
        <v>2</v>
      </c>
      <c r="F272" s="72"/>
      <c r="G272" s="41"/>
      <c r="H272" s="41"/>
      <c r="I272" s="64"/>
      <c r="J272" s="63"/>
      <c r="K272" s="41"/>
      <c r="L272" s="41"/>
      <c r="M272" s="41"/>
      <c r="N272" s="63"/>
      <c r="O272" s="64"/>
      <c r="P272" s="63"/>
      <c r="Q272" s="41"/>
      <c r="R272" s="41"/>
      <c r="S272" s="41"/>
      <c r="T272" s="41"/>
      <c r="U272" s="41"/>
      <c r="V272" s="41"/>
      <c r="W272" s="64"/>
      <c r="X272" s="72"/>
      <c r="Y272" s="41"/>
      <c r="Z272" s="41"/>
      <c r="AA272" s="41"/>
      <c r="AB272" s="63"/>
      <c r="AC272" s="41"/>
      <c r="AD272" s="41"/>
      <c r="AE272" s="64"/>
      <c r="AF272" s="41"/>
      <c r="AG272" s="64"/>
      <c r="AH272" s="41"/>
      <c r="AI272" s="41"/>
      <c r="AJ272" s="41"/>
      <c r="AK272" s="41"/>
      <c r="AL272" s="41"/>
      <c r="AM272" s="41"/>
      <c r="AN272" s="41"/>
      <c r="AO272" s="41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5"/>
      <c r="BB272" s="65"/>
      <c r="BC272" s="65"/>
      <c r="BD272" s="65"/>
    </row>
    <row r="273" spans="2:56" ht="16.5" customHeight="1" thickBot="1" x14ac:dyDescent="0.3">
      <c r="B273" s="1" t="s">
        <v>3</v>
      </c>
      <c r="C273" s="15">
        <f t="shared" si="29"/>
        <v>0</v>
      </c>
      <c r="E273" s="1" t="s">
        <v>3</v>
      </c>
      <c r="F273" s="73"/>
      <c r="G273" s="67"/>
      <c r="H273" s="67"/>
      <c r="I273" s="68"/>
      <c r="J273" s="66"/>
      <c r="K273" s="67"/>
      <c r="L273" s="67"/>
      <c r="M273" s="67"/>
      <c r="N273" s="66"/>
      <c r="O273" s="68"/>
      <c r="P273" s="66"/>
      <c r="Q273" s="67"/>
      <c r="R273" s="67"/>
      <c r="S273" s="67"/>
      <c r="T273" s="67"/>
      <c r="U273" s="67"/>
      <c r="V273" s="67"/>
      <c r="W273" s="68"/>
      <c r="X273" s="73"/>
      <c r="Y273" s="67"/>
      <c r="Z273" s="67"/>
      <c r="AA273" s="67"/>
      <c r="AB273" s="66"/>
      <c r="AC273" s="67"/>
      <c r="AD273" s="67"/>
      <c r="AE273" s="68"/>
      <c r="AF273" s="67"/>
      <c r="AG273" s="68"/>
      <c r="AH273" s="67"/>
      <c r="AI273" s="67"/>
      <c r="AJ273" s="67"/>
      <c r="AK273" s="67"/>
      <c r="AL273" s="67"/>
      <c r="AM273" s="67"/>
      <c r="AN273" s="67"/>
      <c r="AO273" s="67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9"/>
      <c r="BB273" s="69"/>
      <c r="BC273" s="69"/>
      <c r="BD273" s="69"/>
    </row>
    <row r="274" spans="2:56" ht="21" customHeight="1" x14ac:dyDescent="0.25">
      <c r="B274" s="2"/>
      <c r="C274" s="8">
        <f>SUM(C270:C273)</f>
        <v>9</v>
      </c>
      <c r="F274" s="74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74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</row>
    <row r="275" spans="2:56" x14ac:dyDescent="0.25"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</row>
    <row r="276" spans="2:56" ht="15.75" x14ac:dyDescent="0.25">
      <c r="F276" s="82" t="s">
        <v>17</v>
      </c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3" t="s">
        <v>16</v>
      </c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79"/>
      <c r="AQ276" s="79"/>
      <c r="AR276" s="79"/>
      <c r="AS276" s="79"/>
      <c r="AT276" s="79"/>
      <c r="AU276" s="41"/>
      <c r="AV276" s="41"/>
      <c r="AW276" s="41"/>
      <c r="AX276" s="41"/>
      <c r="AY276" s="41"/>
      <c r="AZ276" s="41"/>
      <c r="BA276" s="41"/>
    </row>
    <row r="277" spans="2:56" ht="32.25" thickBot="1" x14ac:dyDescent="0.3">
      <c r="F277" s="81" t="s">
        <v>9</v>
      </c>
      <c r="G277" s="81"/>
      <c r="H277" s="81"/>
      <c r="I277" s="81"/>
      <c r="J277" s="81" t="s">
        <v>10</v>
      </c>
      <c r="K277" s="81"/>
      <c r="L277" s="81"/>
      <c r="M277" s="81"/>
      <c r="N277" s="81" t="s">
        <v>49</v>
      </c>
      <c r="O277" s="81"/>
      <c r="P277" s="81" t="s">
        <v>11</v>
      </c>
      <c r="Q277" s="81"/>
      <c r="R277" s="81"/>
      <c r="S277" s="81"/>
      <c r="T277" s="81"/>
      <c r="U277" s="81"/>
      <c r="V277" s="81"/>
      <c r="W277" s="81"/>
      <c r="X277" s="81" t="s">
        <v>9</v>
      </c>
      <c r="Y277" s="81"/>
      <c r="Z277" s="81"/>
      <c r="AA277" s="81"/>
      <c r="AB277" s="81" t="s">
        <v>10</v>
      </c>
      <c r="AC277" s="81"/>
      <c r="AD277" s="81"/>
      <c r="AE277" s="81"/>
      <c r="AF277" s="81" t="s">
        <v>49</v>
      </c>
      <c r="AG277" s="81"/>
      <c r="AH277" s="81" t="s">
        <v>11</v>
      </c>
      <c r="AI277" s="81"/>
      <c r="AJ277" s="81"/>
      <c r="AK277" s="81"/>
      <c r="AL277" s="81"/>
      <c r="AM277" s="81"/>
      <c r="AN277" s="81"/>
      <c r="AO277" s="81"/>
      <c r="AP277" s="70" t="s">
        <v>50</v>
      </c>
      <c r="AQ277" s="70" t="s">
        <v>57</v>
      </c>
      <c r="AR277" s="70" t="s">
        <v>63</v>
      </c>
      <c r="AS277" s="70" t="s">
        <v>64</v>
      </c>
      <c r="AT277" s="70" t="s">
        <v>61</v>
      </c>
      <c r="AU277" s="70" t="s">
        <v>54</v>
      </c>
      <c r="AV277" s="70" t="s">
        <v>19</v>
      </c>
      <c r="AW277" s="70" t="s">
        <v>58</v>
      </c>
      <c r="AX277" s="70" t="s">
        <v>51</v>
      </c>
      <c r="AY277" s="70" t="s">
        <v>53</v>
      </c>
      <c r="AZ277" s="70" t="s">
        <v>52</v>
      </c>
      <c r="BA277" s="70" t="s">
        <v>55</v>
      </c>
      <c r="BB277" s="70" t="s">
        <v>56</v>
      </c>
      <c r="BC277" s="70" t="s">
        <v>59</v>
      </c>
      <c r="BD277" s="70" t="s">
        <v>60</v>
      </c>
    </row>
    <row r="278" spans="2:56" ht="16.5" thickBot="1" x14ac:dyDescent="0.3">
      <c r="B278" s="17">
        <v>0.3125</v>
      </c>
      <c r="C278" s="7" t="s">
        <v>5</v>
      </c>
      <c r="E278" s="11"/>
      <c r="F278" s="75" t="s">
        <v>15</v>
      </c>
      <c r="G278" s="58" t="s">
        <v>12</v>
      </c>
      <c r="H278" s="58" t="s">
        <v>14</v>
      </c>
      <c r="I278" s="58" t="s">
        <v>13</v>
      </c>
      <c r="J278" s="58" t="s">
        <v>42</v>
      </c>
      <c r="K278" s="58" t="s">
        <v>41</v>
      </c>
      <c r="L278" s="58" t="s">
        <v>43</v>
      </c>
      <c r="M278" s="58" t="s">
        <v>44</v>
      </c>
      <c r="N278" s="58" t="s">
        <v>15</v>
      </c>
      <c r="O278" s="58" t="s">
        <v>14</v>
      </c>
      <c r="P278" s="58" t="s">
        <v>45</v>
      </c>
      <c r="Q278" s="58" t="s">
        <v>46</v>
      </c>
      <c r="R278" s="58" t="s">
        <v>42</v>
      </c>
      <c r="S278" s="58" t="s">
        <v>41</v>
      </c>
      <c r="T278" s="58" t="s">
        <v>47</v>
      </c>
      <c r="U278" s="58" t="s">
        <v>48</v>
      </c>
      <c r="V278" s="58" t="s">
        <v>43</v>
      </c>
      <c r="W278" s="58" t="s">
        <v>44</v>
      </c>
      <c r="X278" s="75" t="s">
        <v>15</v>
      </c>
      <c r="Y278" s="58" t="s">
        <v>12</v>
      </c>
      <c r="Z278" s="58" t="s">
        <v>14</v>
      </c>
      <c r="AA278" s="58" t="s">
        <v>13</v>
      </c>
      <c r="AB278" s="58" t="s">
        <v>42</v>
      </c>
      <c r="AC278" s="58" t="s">
        <v>41</v>
      </c>
      <c r="AD278" s="58" t="s">
        <v>43</v>
      </c>
      <c r="AE278" s="58" t="s">
        <v>44</v>
      </c>
      <c r="AF278" s="58" t="s">
        <v>15</v>
      </c>
      <c r="AG278" s="58" t="s">
        <v>14</v>
      </c>
      <c r="AH278" s="58" t="s">
        <v>45</v>
      </c>
      <c r="AI278" s="58" t="s">
        <v>46</v>
      </c>
      <c r="AJ278" s="58" t="s">
        <v>42</v>
      </c>
      <c r="AK278" s="58" t="s">
        <v>41</v>
      </c>
      <c r="AL278" s="58" t="s">
        <v>47</v>
      </c>
      <c r="AM278" s="58" t="s">
        <v>48</v>
      </c>
      <c r="AN278" s="58" t="s">
        <v>43</v>
      </c>
      <c r="AO278" s="58" t="s">
        <v>44</v>
      </c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</row>
    <row r="279" spans="2:56" ht="16.5" customHeight="1" thickBot="1" x14ac:dyDescent="0.3">
      <c r="B279" s="1" t="s">
        <v>0</v>
      </c>
      <c r="C279" s="13">
        <f>SUM(F279:W279)</f>
        <v>1</v>
      </c>
      <c r="E279" s="10" t="s">
        <v>0</v>
      </c>
      <c r="F279" s="71"/>
      <c r="G279" s="60"/>
      <c r="H279" s="60"/>
      <c r="I279" s="61"/>
      <c r="J279" s="59"/>
      <c r="K279" s="60"/>
      <c r="L279" s="60"/>
      <c r="M279" s="60"/>
      <c r="N279" s="59"/>
      <c r="O279" s="61"/>
      <c r="P279" s="59"/>
      <c r="Q279" s="60"/>
      <c r="R279" s="60">
        <v>1</v>
      </c>
      <c r="S279" s="60"/>
      <c r="T279" s="60"/>
      <c r="U279" s="60"/>
      <c r="V279" s="60"/>
      <c r="W279" s="61"/>
      <c r="X279" s="71"/>
      <c r="Y279" s="60"/>
      <c r="Z279" s="60"/>
      <c r="AA279" s="60"/>
      <c r="AB279" s="59"/>
      <c r="AC279" s="60"/>
      <c r="AD279" s="60"/>
      <c r="AE279" s="61"/>
      <c r="AF279" s="60"/>
      <c r="AG279" s="61"/>
      <c r="AH279" s="60"/>
      <c r="AI279" s="60"/>
      <c r="AJ279" s="60"/>
      <c r="AK279" s="60"/>
      <c r="AL279" s="60"/>
      <c r="AM279" s="60"/>
      <c r="AN279" s="60"/>
      <c r="AO279" s="60">
        <v>1</v>
      </c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62">
        <v>1</v>
      </c>
      <c r="BB279" s="62"/>
      <c r="BC279" s="62"/>
      <c r="BD279" s="62"/>
    </row>
    <row r="280" spans="2:56" ht="16.5" customHeight="1" thickBot="1" x14ac:dyDescent="0.3">
      <c r="B280" s="1" t="s">
        <v>1</v>
      </c>
      <c r="C280" s="14">
        <f t="shared" ref="C280:C282" si="30">SUM(F280:W280)</f>
        <v>1</v>
      </c>
      <c r="E280" s="1" t="s">
        <v>1</v>
      </c>
      <c r="F280" s="72"/>
      <c r="G280" s="41"/>
      <c r="H280" s="41"/>
      <c r="I280" s="64"/>
      <c r="J280" s="63"/>
      <c r="K280" s="41"/>
      <c r="L280" s="41"/>
      <c r="M280" s="41"/>
      <c r="N280" s="63"/>
      <c r="O280" s="64">
        <v>1</v>
      </c>
      <c r="P280" s="63"/>
      <c r="Q280" s="41"/>
      <c r="R280" s="41"/>
      <c r="S280" s="41"/>
      <c r="T280" s="41"/>
      <c r="U280" s="41"/>
      <c r="V280" s="41"/>
      <c r="W280" s="64"/>
      <c r="X280" s="72"/>
      <c r="Y280" s="41"/>
      <c r="Z280" s="41"/>
      <c r="AA280" s="41"/>
      <c r="AB280" s="63"/>
      <c r="AC280" s="41"/>
      <c r="AD280" s="41"/>
      <c r="AE280" s="64"/>
      <c r="AF280" s="41">
        <v>1</v>
      </c>
      <c r="AG280" s="64"/>
      <c r="AH280" s="41"/>
      <c r="AI280" s="41"/>
      <c r="AJ280" s="41"/>
      <c r="AK280" s="41"/>
      <c r="AL280" s="41"/>
      <c r="AM280" s="41"/>
      <c r="AN280" s="41"/>
      <c r="AO280" s="41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5"/>
      <c r="BB280" s="65">
        <v>1</v>
      </c>
      <c r="BC280" s="65"/>
      <c r="BD280" s="65"/>
    </row>
    <row r="281" spans="2:56" ht="16.5" customHeight="1" thickBot="1" x14ac:dyDescent="0.3">
      <c r="B281" s="1" t="s">
        <v>2</v>
      </c>
      <c r="C281" s="14">
        <f t="shared" si="30"/>
        <v>0</v>
      </c>
      <c r="E281" s="1" t="s">
        <v>2</v>
      </c>
      <c r="F281" s="72"/>
      <c r="G281" s="41"/>
      <c r="H281" s="41"/>
      <c r="I281" s="64"/>
      <c r="J281" s="63"/>
      <c r="K281" s="41"/>
      <c r="L281" s="41"/>
      <c r="M281" s="41"/>
      <c r="N281" s="63"/>
      <c r="O281" s="64"/>
      <c r="P281" s="63"/>
      <c r="Q281" s="41"/>
      <c r="R281" s="41"/>
      <c r="S281" s="41"/>
      <c r="T281" s="41"/>
      <c r="U281" s="41"/>
      <c r="V281" s="41"/>
      <c r="W281" s="64"/>
      <c r="X281" s="72"/>
      <c r="Y281" s="41"/>
      <c r="Z281" s="41"/>
      <c r="AA281" s="41"/>
      <c r="AB281" s="63"/>
      <c r="AC281" s="41"/>
      <c r="AD281" s="41"/>
      <c r="AE281" s="64"/>
      <c r="AF281" s="41"/>
      <c r="AG281" s="64"/>
      <c r="AH281" s="41"/>
      <c r="AI281" s="41"/>
      <c r="AJ281" s="41"/>
      <c r="AK281" s="41"/>
      <c r="AL281" s="41"/>
      <c r="AM281" s="41"/>
      <c r="AN281" s="41"/>
      <c r="AO281" s="41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5"/>
      <c r="BB281" s="65"/>
      <c r="BC281" s="65"/>
      <c r="BD281" s="65"/>
    </row>
    <row r="282" spans="2:56" ht="16.5" customHeight="1" thickBot="1" x14ac:dyDescent="0.3">
      <c r="B282" s="1" t="s">
        <v>3</v>
      </c>
      <c r="C282" s="15">
        <f t="shared" si="30"/>
        <v>0</v>
      </c>
      <c r="E282" s="1" t="s">
        <v>3</v>
      </c>
      <c r="F282" s="73"/>
      <c r="G282" s="67"/>
      <c r="H282" s="67"/>
      <c r="I282" s="68"/>
      <c r="J282" s="66"/>
      <c r="K282" s="67"/>
      <c r="L282" s="67"/>
      <c r="M282" s="67"/>
      <c r="N282" s="66"/>
      <c r="O282" s="68"/>
      <c r="P282" s="66"/>
      <c r="Q282" s="67"/>
      <c r="R282" s="67"/>
      <c r="S282" s="67"/>
      <c r="T282" s="67"/>
      <c r="U282" s="67"/>
      <c r="V282" s="67"/>
      <c r="W282" s="68"/>
      <c r="X282" s="73"/>
      <c r="Y282" s="67"/>
      <c r="Z282" s="67"/>
      <c r="AA282" s="67"/>
      <c r="AB282" s="66"/>
      <c r="AC282" s="67"/>
      <c r="AD282" s="67"/>
      <c r="AE282" s="68"/>
      <c r="AF282" s="67"/>
      <c r="AG282" s="68"/>
      <c r="AH282" s="67"/>
      <c r="AI282" s="67"/>
      <c r="AJ282" s="67"/>
      <c r="AK282" s="67"/>
      <c r="AL282" s="67"/>
      <c r="AM282" s="67"/>
      <c r="AN282" s="67"/>
      <c r="AO282" s="67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9"/>
      <c r="BB282" s="69"/>
      <c r="BC282" s="69"/>
      <c r="BD282" s="69"/>
    </row>
    <row r="283" spans="2:56" ht="21" customHeight="1" x14ac:dyDescent="0.25">
      <c r="B283" s="2"/>
      <c r="C283" s="8">
        <f>SUM(C279:C282)</f>
        <v>2</v>
      </c>
      <c r="F283" s="74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74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</row>
    <row r="284" spans="2:56" x14ac:dyDescent="0.25"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</row>
    <row r="285" spans="2:56" ht="15.75" x14ac:dyDescent="0.25">
      <c r="F285" s="82" t="s">
        <v>17</v>
      </c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3" t="s">
        <v>16</v>
      </c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79"/>
      <c r="AQ285" s="79"/>
      <c r="AR285" s="79"/>
      <c r="AS285" s="79"/>
      <c r="AT285" s="79"/>
      <c r="AU285" s="41"/>
      <c r="AV285" s="41"/>
      <c r="AW285" s="41"/>
      <c r="AX285" s="41"/>
      <c r="AY285" s="41"/>
      <c r="AZ285" s="41"/>
      <c r="BA285" s="41"/>
    </row>
    <row r="286" spans="2:56" ht="32.25" thickBot="1" x14ac:dyDescent="0.3">
      <c r="F286" s="81" t="s">
        <v>9</v>
      </c>
      <c r="G286" s="81"/>
      <c r="H286" s="81"/>
      <c r="I286" s="81"/>
      <c r="J286" s="81" t="s">
        <v>10</v>
      </c>
      <c r="K286" s="81"/>
      <c r="L286" s="81"/>
      <c r="M286" s="81"/>
      <c r="N286" s="81" t="s">
        <v>49</v>
      </c>
      <c r="O286" s="81"/>
      <c r="P286" s="81" t="s">
        <v>11</v>
      </c>
      <c r="Q286" s="81"/>
      <c r="R286" s="81"/>
      <c r="S286" s="81"/>
      <c r="T286" s="81"/>
      <c r="U286" s="81"/>
      <c r="V286" s="81"/>
      <c r="W286" s="81"/>
      <c r="X286" s="81" t="s">
        <v>9</v>
      </c>
      <c r="Y286" s="81"/>
      <c r="Z286" s="81"/>
      <c r="AA286" s="81"/>
      <c r="AB286" s="81" t="s">
        <v>10</v>
      </c>
      <c r="AC286" s="81"/>
      <c r="AD286" s="81"/>
      <c r="AE286" s="81"/>
      <c r="AF286" s="81" t="s">
        <v>49</v>
      </c>
      <c r="AG286" s="81"/>
      <c r="AH286" s="81" t="s">
        <v>11</v>
      </c>
      <c r="AI286" s="81"/>
      <c r="AJ286" s="81"/>
      <c r="AK286" s="81"/>
      <c r="AL286" s="81"/>
      <c r="AM286" s="81"/>
      <c r="AN286" s="81"/>
      <c r="AO286" s="81"/>
      <c r="AP286" s="70" t="s">
        <v>50</v>
      </c>
      <c r="AQ286" s="70" t="s">
        <v>57</v>
      </c>
      <c r="AR286" s="70" t="s">
        <v>63</v>
      </c>
      <c r="AS286" s="70" t="s">
        <v>64</v>
      </c>
      <c r="AT286" s="70" t="s">
        <v>61</v>
      </c>
      <c r="AU286" s="70" t="s">
        <v>54</v>
      </c>
      <c r="AV286" s="70" t="s">
        <v>19</v>
      </c>
      <c r="AW286" s="70" t="s">
        <v>58</v>
      </c>
      <c r="AX286" s="70" t="s">
        <v>51</v>
      </c>
      <c r="AY286" s="70" t="s">
        <v>53</v>
      </c>
      <c r="AZ286" s="70" t="s">
        <v>52</v>
      </c>
      <c r="BA286" s="70" t="s">
        <v>55</v>
      </c>
      <c r="BB286" s="70" t="s">
        <v>56</v>
      </c>
      <c r="BC286" s="70" t="s">
        <v>59</v>
      </c>
      <c r="BD286" s="70" t="s">
        <v>60</v>
      </c>
    </row>
    <row r="287" spans="2:56" ht="16.5" thickBot="1" x14ac:dyDescent="0.3">
      <c r="B287" s="17">
        <v>0.32291666666666669</v>
      </c>
      <c r="C287" s="7" t="s">
        <v>5</v>
      </c>
      <c r="E287" s="11"/>
      <c r="F287" s="75" t="s">
        <v>15</v>
      </c>
      <c r="G287" s="58" t="s">
        <v>12</v>
      </c>
      <c r="H287" s="58" t="s">
        <v>14</v>
      </c>
      <c r="I287" s="58" t="s">
        <v>13</v>
      </c>
      <c r="J287" s="58" t="s">
        <v>42</v>
      </c>
      <c r="K287" s="58" t="s">
        <v>41</v>
      </c>
      <c r="L287" s="58" t="s">
        <v>43</v>
      </c>
      <c r="M287" s="58" t="s">
        <v>44</v>
      </c>
      <c r="N287" s="58" t="s">
        <v>15</v>
      </c>
      <c r="O287" s="58" t="s">
        <v>14</v>
      </c>
      <c r="P287" s="58" t="s">
        <v>45</v>
      </c>
      <c r="Q287" s="58" t="s">
        <v>46</v>
      </c>
      <c r="R287" s="58" t="s">
        <v>42</v>
      </c>
      <c r="S287" s="58" t="s">
        <v>41</v>
      </c>
      <c r="T287" s="58" t="s">
        <v>47</v>
      </c>
      <c r="U287" s="58" t="s">
        <v>48</v>
      </c>
      <c r="V287" s="58" t="s">
        <v>43</v>
      </c>
      <c r="W287" s="58" t="s">
        <v>44</v>
      </c>
      <c r="X287" s="75" t="s">
        <v>15</v>
      </c>
      <c r="Y287" s="58" t="s">
        <v>12</v>
      </c>
      <c r="Z287" s="58" t="s">
        <v>14</v>
      </c>
      <c r="AA287" s="58" t="s">
        <v>13</v>
      </c>
      <c r="AB287" s="58" t="s">
        <v>42</v>
      </c>
      <c r="AC287" s="58" t="s">
        <v>41</v>
      </c>
      <c r="AD287" s="58" t="s">
        <v>43</v>
      </c>
      <c r="AE287" s="58" t="s">
        <v>44</v>
      </c>
      <c r="AF287" s="58" t="s">
        <v>15</v>
      </c>
      <c r="AG287" s="58" t="s">
        <v>14</v>
      </c>
      <c r="AH287" s="58" t="s">
        <v>45</v>
      </c>
      <c r="AI287" s="58" t="s">
        <v>46</v>
      </c>
      <c r="AJ287" s="58" t="s">
        <v>42</v>
      </c>
      <c r="AK287" s="58" t="s">
        <v>41</v>
      </c>
      <c r="AL287" s="58" t="s">
        <v>47</v>
      </c>
      <c r="AM287" s="58" t="s">
        <v>48</v>
      </c>
      <c r="AN287" s="58" t="s">
        <v>43</v>
      </c>
      <c r="AO287" s="58" t="s">
        <v>44</v>
      </c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</row>
    <row r="288" spans="2:56" ht="16.5" customHeight="1" thickBot="1" x14ac:dyDescent="0.3">
      <c r="B288" s="1" t="s">
        <v>0</v>
      </c>
      <c r="C288" s="13">
        <f>SUM(F288:W288)</f>
        <v>1</v>
      </c>
      <c r="E288" s="10" t="s">
        <v>0</v>
      </c>
      <c r="F288" s="71"/>
      <c r="G288" s="60"/>
      <c r="H288" s="60"/>
      <c r="I288" s="61"/>
      <c r="J288" s="59"/>
      <c r="K288" s="60"/>
      <c r="L288" s="60"/>
      <c r="M288" s="60"/>
      <c r="N288" s="59"/>
      <c r="O288" s="61"/>
      <c r="P288" s="59"/>
      <c r="Q288" s="60"/>
      <c r="R288" s="60"/>
      <c r="S288" s="60"/>
      <c r="T288" s="60"/>
      <c r="U288" s="60"/>
      <c r="V288" s="60"/>
      <c r="W288" s="61">
        <v>1</v>
      </c>
      <c r="X288" s="71"/>
      <c r="Y288" s="60"/>
      <c r="Z288" s="60"/>
      <c r="AA288" s="60"/>
      <c r="AB288" s="59"/>
      <c r="AC288" s="60"/>
      <c r="AD288" s="60"/>
      <c r="AE288" s="61"/>
      <c r="AF288" s="60"/>
      <c r="AG288" s="61"/>
      <c r="AH288" s="60"/>
      <c r="AI288" s="60"/>
      <c r="AJ288" s="60">
        <v>1</v>
      </c>
      <c r="AK288" s="60"/>
      <c r="AL288" s="60"/>
      <c r="AM288" s="60"/>
      <c r="AN288" s="60"/>
      <c r="AO288" s="60"/>
      <c r="AP288" s="59">
        <v>1</v>
      </c>
      <c r="AQ288" s="59">
        <v>1</v>
      </c>
      <c r="AR288" s="59"/>
      <c r="AS288" s="59"/>
      <c r="AT288" s="59"/>
      <c r="AU288" s="59"/>
      <c r="AV288" s="59"/>
      <c r="AW288" s="59"/>
      <c r="AX288" s="59"/>
      <c r="AY288" s="59"/>
      <c r="AZ288" s="59"/>
      <c r="BA288" s="62">
        <v>1</v>
      </c>
      <c r="BB288" s="62"/>
      <c r="BC288" s="62"/>
      <c r="BD288" s="62"/>
    </row>
    <row r="289" spans="2:56" ht="16.5" customHeight="1" thickBot="1" x14ac:dyDescent="0.3">
      <c r="B289" s="1" t="s">
        <v>1</v>
      </c>
      <c r="C289" s="14">
        <f t="shared" ref="C289:C291" si="31">SUM(F289:W289)</f>
        <v>0</v>
      </c>
      <c r="E289" s="1" t="s">
        <v>1</v>
      </c>
      <c r="F289" s="72"/>
      <c r="G289" s="41"/>
      <c r="H289" s="41"/>
      <c r="I289" s="64"/>
      <c r="J289" s="63"/>
      <c r="K289" s="41"/>
      <c r="L289" s="41"/>
      <c r="M289" s="41"/>
      <c r="N289" s="63"/>
      <c r="O289" s="64"/>
      <c r="P289" s="63"/>
      <c r="Q289" s="41"/>
      <c r="R289" s="41"/>
      <c r="S289" s="41"/>
      <c r="T289" s="41"/>
      <c r="U289" s="41"/>
      <c r="V289" s="41"/>
      <c r="W289" s="64"/>
      <c r="X289" s="72"/>
      <c r="Y289" s="41"/>
      <c r="Z289" s="41"/>
      <c r="AA289" s="41"/>
      <c r="AB289" s="63"/>
      <c r="AC289" s="41"/>
      <c r="AD289" s="41"/>
      <c r="AE289" s="64"/>
      <c r="AF289" s="41"/>
      <c r="AG289" s="64"/>
      <c r="AH289" s="41"/>
      <c r="AI289" s="41"/>
      <c r="AJ289" s="41"/>
      <c r="AK289" s="41"/>
      <c r="AL289" s="41"/>
      <c r="AM289" s="41"/>
      <c r="AN289" s="41"/>
      <c r="AO289" s="41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5"/>
      <c r="BB289" s="65"/>
      <c r="BC289" s="65"/>
      <c r="BD289" s="65"/>
    </row>
    <row r="290" spans="2:56" ht="16.5" customHeight="1" thickBot="1" x14ac:dyDescent="0.3">
      <c r="B290" s="1" t="s">
        <v>2</v>
      </c>
      <c r="C290" s="14">
        <f t="shared" si="31"/>
        <v>0</v>
      </c>
      <c r="E290" s="1" t="s">
        <v>2</v>
      </c>
      <c r="F290" s="72"/>
      <c r="G290" s="41"/>
      <c r="H290" s="41"/>
      <c r="I290" s="64"/>
      <c r="J290" s="63"/>
      <c r="K290" s="41"/>
      <c r="L290" s="41"/>
      <c r="M290" s="41"/>
      <c r="N290" s="63"/>
      <c r="O290" s="64"/>
      <c r="P290" s="63"/>
      <c r="Q290" s="41"/>
      <c r="R290" s="41"/>
      <c r="S290" s="41"/>
      <c r="T290" s="41"/>
      <c r="U290" s="41"/>
      <c r="V290" s="41"/>
      <c r="W290" s="64"/>
      <c r="X290" s="72"/>
      <c r="Y290" s="41"/>
      <c r="Z290" s="41"/>
      <c r="AA290" s="41"/>
      <c r="AB290" s="63"/>
      <c r="AC290" s="41"/>
      <c r="AD290" s="41"/>
      <c r="AE290" s="64"/>
      <c r="AF290" s="41"/>
      <c r="AG290" s="64"/>
      <c r="AH290" s="41"/>
      <c r="AI290" s="41"/>
      <c r="AJ290" s="41"/>
      <c r="AK290" s="41"/>
      <c r="AL290" s="41"/>
      <c r="AM290" s="41"/>
      <c r="AN290" s="41"/>
      <c r="AO290" s="41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5"/>
      <c r="BB290" s="65"/>
      <c r="BC290" s="65"/>
      <c r="BD290" s="65"/>
    </row>
    <row r="291" spans="2:56" ht="16.5" customHeight="1" thickBot="1" x14ac:dyDescent="0.3">
      <c r="B291" s="1" t="s">
        <v>3</v>
      </c>
      <c r="C291" s="15">
        <f t="shared" si="31"/>
        <v>0</v>
      </c>
      <c r="E291" s="1" t="s">
        <v>3</v>
      </c>
      <c r="F291" s="73"/>
      <c r="G291" s="67"/>
      <c r="H291" s="67"/>
      <c r="I291" s="68"/>
      <c r="J291" s="66"/>
      <c r="K291" s="67"/>
      <c r="L291" s="67"/>
      <c r="M291" s="67"/>
      <c r="N291" s="66"/>
      <c r="O291" s="68"/>
      <c r="P291" s="66"/>
      <c r="Q291" s="67"/>
      <c r="R291" s="67"/>
      <c r="S291" s="67"/>
      <c r="T291" s="67"/>
      <c r="U291" s="67"/>
      <c r="V291" s="67"/>
      <c r="W291" s="68"/>
      <c r="X291" s="73"/>
      <c r="Y291" s="67"/>
      <c r="Z291" s="67"/>
      <c r="AA291" s="67"/>
      <c r="AB291" s="66"/>
      <c r="AC291" s="67"/>
      <c r="AD291" s="67"/>
      <c r="AE291" s="68"/>
      <c r="AF291" s="67"/>
      <c r="AG291" s="68"/>
      <c r="AH291" s="67"/>
      <c r="AI291" s="67"/>
      <c r="AJ291" s="67"/>
      <c r="AK291" s="67"/>
      <c r="AL291" s="67"/>
      <c r="AM291" s="67"/>
      <c r="AN291" s="67"/>
      <c r="AO291" s="67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9"/>
      <c r="BB291" s="69"/>
      <c r="BC291" s="69"/>
      <c r="BD291" s="69"/>
    </row>
    <row r="292" spans="2:56" ht="21" customHeight="1" x14ac:dyDescent="0.25">
      <c r="B292" s="2"/>
      <c r="C292" s="8">
        <f>SUM(C288:C291)</f>
        <v>1</v>
      </c>
      <c r="F292" s="74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74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</row>
    <row r="293" spans="2:56" x14ac:dyDescent="0.25"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</row>
    <row r="294" spans="2:56" ht="15.75" x14ac:dyDescent="0.25">
      <c r="F294" s="82" t="s">
        <v>17</v>
      </c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3" t="s">
        <v>16</v>
      </c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79"/>
      <c r="AQ294" s="79"/>
      <c r="AR294" s="79"/>
      <c r="AS294" s="79"/>
      <c r="AT294" s="79"/>
      <c r="AU294" s="41"/>
      <c r="AV294" s="41"/>
      <c r="AW294" s="41"/>
      <c r="AX294" s="41"/>
      <c r="AY294" s="41"/>
      <c r="AZ294" s="41"/>
      <c r="BA294" s="41"/>
    </row>
    <row r="295" spans="2:56" ht="32.25" thickBot="1" x14ac:dyDescent="0.3">
      <c r="F295" s="81" t="s">
        <v>9</v>
      </c>
      <c r="G295" s="81"/>
      <c r="H295" s="81"/>
      <c r="I295" s="81"/>
      <c r="J295" s="81" t="s">
        <v>10</v>
      </c>
      <c r="K295" s="81"/>
      <c r="L295" s="81"/>
      <c r="M295" s="81"/>
      <c r="N295" s="81" t="s">
        <v>49</v>
      </c>
      <c r="O295" s="81"/>
      <c r="P295" s="81" t="s">
        <v>11</v>
      </c>
      <c r="Q295" s="81"/>
      <c r="R295" s="81"/>
      <c r="S295" s="81"/>
      <c r="T295" s="81"/>
      <c r="U295" s="81"/>
      <c r="V295" s="81"/>
      <c r="W295" s="81"/>
      <c r="X295" s="81" t="s">
        <v>9</v>
      </c>
      <c r="Y295" s="81"/>
      <c r="Z295" s="81"/>
      <c r="AA295" s="81"/>
      <c r="AB295" s="81" t="s">
        <v>10</v>
      </c>
      <c r="AC295" s="81"/>
      <c r="AD295" s="81"/>
      <c r="AE295" s="81"/>
      <c r="AF295" s="81" t="s">
        <v>49</v>
      </c>
      <c r="AG295" s="81"/>
      <c r="AH295" s="81" t="s">
        <v>11</v>
      </c>
      <c r="AI295" s="81"/>
      <c r="AJ295" s="81"/>
      <c r="AK295" s="81"/>
      <c r="AL295" s="81"/>
      <c r="AM295" s="81"/>
      <c r="AN295" s="81"/>
      <c r="AO295" s="81"/>
      <c r="AP295" s="70" t="s">
        <v>50</v>
      </c>
      <c r="AQ295" s="70" t="s">
        <v>57</v>
      </c>
      <c r="AR295" s="70" t="s">
        <v>63</v>
      </c>
      <c r="AS295" s="70" t="s">
        <v>64</v>
      </c>
      <c r="AT295" s="70" t="s">
        <v>61</v>
      </c>
      <c r="AU295" s="70" t="s">
        <v>54</v>
      </c>
      <c r="AV295" s="70" t="s">
        <v>19</v>
      </c>
      <c r="AW295" s="70" t="s">
        <v>58</v>
      </c>
      <c r="AX295" s="70" t="s">
        <v>51</v>
      </c>
      <c r="AY295" s="70" t="s">
        <v>53</v>
      </c>
      <c r="AZ295" s="70" t="s">
        <v>52</v>
      </c>
      <c r="BA295" s="70" t="s">
        <v>55</v>
      </c>
      <c r="BB295" s="70" t="s">
        <v>56</v>
      </c>
      <c r="BC295" s="70" t="s">
        <v>59</v>
      </c>
      <c r="BD295" s="70" t="s">
        <v>60</v>
      </c>
    </row>
    <row r="296" spans="2:56" ht="16.5" thickBot="1" x14ac:dyDescent="0.3">
      <c r="B296" s="16">
        <v>0.33333333333333331</v>
      </c>
      <c r="C296" s="7" t="s">
        <v>5</v>
      </c>
      <c r="E296" s="11"/>
      <c r="F296" s="75" t="s">
        <v>15</v>
      </c>
      <c r="G296" s="58" t="s">
        <v>12</v>
      </c>
      <c r="H296" s="58" t="s">
        <v>14</v>
      </c>
      <c r="I296" s="58" t="s">
        <v>13</v>
      </c>
      <c r="J296" s="58" t="s">
        <v>42</v>
      </c>
      <c r="K296" s="58" t="s">
        <v>41</v>
      </c>
      <c r="L296" s="58" t="s">
        <v>43</v>
      </c>
      <c r="M296" s="58" t="s">
        <v>44</v>
      </c>
      <c r="N296" s="58" t="s">
        <v>15</v>
      </c>
      <c r="O296" s="58" t="s">
        <v>14</v>
      </c>
      <c r="P296" s="58" t="s">
        <v>45</v>
      </c>
      <c r="Q296" s="58" t="s">
        <v>46</v>
      </c>
      <c r="R296" s="58" t="s">
        <v>42</v>
      </c>
      <c r="S296" s="58" t="s">
        <v>41</v>
      </c>
      <c r="T296" s="58" t="s">
        <v>47</v>
      </c>
      <c r="U296" s="58" t="s">
        <v>48</v>
      </c>
      <c r="V296" s="58" t="s">
        <v>43</v>
      </c>
      <c r="W296" s="58" t="s">
        <v>44</v>
      </c>
      <c r="X296" s="75" t="s">
        <v>15</v>
      </c>
      <c r="Y296" s="58" t="s">
        <v>12</v>
      </c>
      <c r="Z296" s="58" t="s">
        <v>14</v>
      </c>
      <c r="AA296" s="58" t="s">
        <v>13</v>
      </c>
      <c r="AB296" s="58" t="s">
        <v>42</v>
      </c>
      <c r="AC296" s="58" t="s">
        <v>41</v>
      </c>
      <c r="AD296" s="58" t="s">
        <v>43</v>
      </c>
      <c r="AE296" s="58" t="s">
        <v>44</v>
      </c>
      <c r="AF296" s="58" t="s">
        <v>15</v>
      </c>
      <c r="AG296" s="58" t="s">
        <v>14</v>
      </c>
      <c r="AH296" s="58" t="s">
        <v>45</v>
      </c>
      <c r="AI296" s="58" t="s">
        <v>46</v>
      </c>
      <c r="AJ296" s="58" t="s">
        <v>42</v>
      </c>
      <c r="AK296" s="58" t="s">
        <v>41</v>
      </c>
      <c r="AL296" s="58" t="s">
        <v>47</v>
      </c>
      <c r="AM296" s="58" t="s">
        <v>48</v>
      </c>
      <c r="AN296" s="58" t="s">
        <v>43</v>
      </c>
      <c r="AO296" s="58" t="s">
        <v>44</v>
      </c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</row>
    <row r="297" spans="2:56" ht="16.5" customHeight="1" thickBot="1" x14ac:dyDescent="0.3">
      <c r="B297" s="1" t="s">
        <v>0</v>
      </c>
      <c r="C297" s="13">
        <f>SUM(F297:W297)</f>
        <v>1</v>
      </c>
      <c r="E297" s="10" t="s">
        <v>0</v>
      </c>
      <c r="F297" s="71"/>
      <c r="G297" s="60"/>
      <c r="H297" s="60"/>
      <c r="I297" s="61"/>
      <c r="J297" s="59"/>
      <c r="K297" s="60"/>
      <c r="L297" s="60"/>
      <c r="M297" s="60"/>
      <c r="N297" s="59"/>
      <c r="O297" s="61"/>
      <c r="P297" s="59"/>
      <c r="Q297" s="60"/>
      <c r="R297" s="60"/>
      <c r="S297" s="60"/>
      <c r="T297" s="60"/>
      <c r="U297" s="60"/>
      <c r="V297" s="60">
        <v>1</v>
      </c>
      <c r="W297" s="61"/>
      <c r="X297" s="71"/>
      <c r="Y297" s="60"/>
      <c r="Z297" s="60"/>
      <c r="AA297" s="60"/>
      <c r="AB297" s="59"/>
      <c r="AC297" s="60"/>
      <c r="AD297" s="60"/>
      <c r="AE297" s="61"/>
      <c r="AF297" s="60"/>
      <c r="AG297" s="61"/>
      <c r="AH297" s="60"/>
      <c r="AI297" s="60"/>
      <c r="AJ297" s="60"/>
      <c r="AK297" s="60"/>
      <c r="AL297" s="60"/>
      <c r="AM297" s="60">
        <v>1</v>
      </c>
      <c r="AN297" s="60"/>
      <c r="AO297" s="60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62"/>
      <c r="BB297" s="62"/>
      <c r="BC297" s="62"/>
      <c r="BD297" s="62"/>
    </row>
    <row r="298" spans="2:56" ht="16.5" customHeight="1" thickBot="1" x14ac:dyDescent="0.3">
      <c r="B298" s="1" t="s">
        <v>1</v>
      </c>
      <c r="C298" s="14">
        <f t="shared" ref="C298:C300" si="32">SUM(F298:W298)</f>
        <v>1</v>
      </c>
      <c r="E298" s="1" t="s">
        <v>1</v>
      </c>
      <c r="F298" s="72"/>
      <c r="G298" s="41"/>
      <c r="H298" s="41"/>
      <c r="I298" s="64"/>
      <c r="J298" s="63"/>
      <c r="K298" s="41"/>
      <c r="L298" s="41"/>
      <c r="M298" s="41"/>
      <c r="N298" s="63"/>
      <c r="O298" s="64">
        <v>1</v>
      </c>
      <c r="P298" s="63"/>
      <c r="Q298" s="41"/>
      <c r="R298" s="41"/>
      <c r="S298" s="41"/>
      <c r="T298" s="41"/>
      <c r="U298" s="41"/>
      <c r="V298" s="41"/>
      <c r="W298" s="64"/>
      <c r="X298" s="72"/>
      <c r="Y298" s="41"/>
      <c r="Z298" s="41"/>
      <c r="AA298" s="41"/>
      <c r="AB298" s="63"/>
      <c r="AC298" s="41"/>
      <c r="AD298" s="41"/>
      <c r="AE298" s="64"/>
      <c r="AF298" s="41">
        <v>1</v>
      </c>
      <c r="AG298" s="64"/>
      <c r="AH298" s="41"/>
      <c r="AI298" s="41"/>
      <c r="AJ298" s="41"/>
      <c r="AK298" s="41"/>
      <c r="AL298" s="41"/>
      <c r="AM298" s="41"/>
      <c r="AN298" s="41"/>
      <c r="AO298" s="41"/>
      <c r="AP298" s="63"/>
      <c r="AQ298" s="63">
        <v>2</v>
      </c>
      <c r="AR298" s="63"/>
      <c r="AS298" s="63"/>
      <c r="AT298" s="63"/>
      <c r="AU298" s="63"/>
      <c r="AV298" s="63"/>
      <c r="AW298" s="63"/>
      <c r="AX298" s="63"/>
      <c r="AY298" s="63"/>
      <c r="AZ298" s="63"/>
      <c r="BA298" s="65"/>
      <c r="BB298" s="65">
        <v>1</v>
      </c>
      <c r="BC298" s="65"/>
      <c r="BD298" s="65"/>
    </row>
    <row r="299" spans="2:56" ht="16.5" customHeight="1" thickBot="1" x14ac:dyDescent="0.3">
      <c r="B299" s="1" t="s">
        <v>2</v>
      </c>
      <c r="C299" s="14">
        <f t="shared" si="32"/>
        <v>0</v>
      </c>
      <c r="E299" s="1" t="s">
        <v>2</v>
      </c>
      <c r="F299" s="72"/>
      <c r="G299" s="41"/>
      <c r="H299" s="41"/>
      <c r="I299" s="64"/>
      <c r="J299" s="63"/>
      <c r="K299" s="41"/>
      <c r="L299" s="41"/>
      <c r="M299" s="41"/>
      <c r="N299" s="63"/>
      <c r="O299" s="64"/>
      <c r="P299" s="63"/>
      <c r="Q299" s="41"/>
      <c r="R299" s="41"/>
      <c r="S299" s="41"/>
      <c r="T299" s="41"/>
      <c r="U299" s="41"/>
      <c r="V299" s="41"/>
      <c r="W299" s="64"/>
      <c r="X299" s="72"/>
      <c r="Y299" s="41"/>
      <c r="Z299" s="41"/>
      <c r="AA299" s="41"/>
      <c r="AB299" s="63"/>
      <c r="AC299" s="41"/>
      <c r="AD299" s="41"/>
      <c r="AE299" s="64"/>
      <c r="AF299" s="41"/>
      <c r="AG299" s="64"/>
      <c r="AH299" s="41"/>
      <c r="AI299" s="41"/>
      <c r="AJ299" s="41"/>
      <c r="AK299" s="41"/>
      <c r="AL299" s="41"/>
      <c r="AM299" s="41"/>
      <c r="AN299" s="41"/>
      <c r="AO299" s="41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5"/>
      <c r="BB299" s="65"/>
      <c r="BC299" s="65"/>
      <c r="BD299" s="65"/>
    </row>
    <row r="300" spans="2:56" ht="16.5" customHeight="1" thickBot="1" x14ac:dyDescent="0.3">
      <c r="B300" s="1" t="s">
        <v>3</v>
      </c>
      <c r="C300" s="15">
        <f t="shared" si="32"/>
        <v>0</v>
      </c>
      <c r="E300" s="1" t="s">
        <v>3</v>
      </c>
      <c r="F300" s="73"/>
      <c r="G300" s="67"/>
      <c r="H300" s="67"/>
      <c r="I300" s="68"/>
      <c r="J300" s="66"/>
      <c r="K300" s="67"/>
      <c r="L300" s="67"/>
      <c r="M300" s="67"/>
      <c r="N300" s="66"/>
      <c r="O300" s="68"/>
      <c r="P300" s="66"/>
      <c r="Q300" s="67"/>
      <c r="R300" s="67"/>
      <c r="S300" s="67"/>
      <c r="T300" s="67"/>
      <c r="U300" s="67"/>
      <c r="V300" s="67"/>
      <c r="W300" s="68"/>
      <c r="X300" s="73"/>
      <c r="Y300" s="67"/>
      <c r="Z300" s="67"/>
      <c r="AA300" s="67"/>
      <c r="AB300" s="66"/>
      <c r="AC300" s="67"/>
      <c r="AD300" s="67"/>
      <c r="AE300" s="68"/>
      <c r="AF300" s="67"/>
      <c r="AG300" s="68"/>
      <c r="AH300" s="67"/>
      <c r="AI300" s="67"/>
      <c r="AJ300" s="67"/>
      <c r="AK300" s="67"/>
      <c r="AL300" s="67"/>
      <c r="AM300" s="67"/>
      <c r="AN300" s="67"/>
      <c r="AO300" s="67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9"/>
      <c r="BB300" s="69"/>
      <c r="BC300" s="69"/>
      <c r="BD300" s="69"/>
    </row>
    <row r="301" spans="2:56" ht="21" customHeight="1" x14ac:dyDescent="0.25">
      <c r="B301" s="2"/>
      <c r="C301" s="8">
        <f>SUM(C297:C300)</f>
        <v>2</v>
      </c>
      <c r="F301" s="74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74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</row>
    <row r="302" spans="2:56" x14ac:dyDescent="0.25"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</row>
    <row r="303" spans="2:56" ht="15.75" x14ac:dyDescent="0.25">
      <c r="F303" s="82" t="s">
        <v>17</v>
      </c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3" t="s">
        <v>16</v>
      </c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79"/>
      <c r="AQ303" s="79"/>
      <c r="AR303" s="79"/>
      <c r="AS303" s="79"/>
      <c r="AT303" s="79"/>
      <c r="AU303" s="41"/>
      <c r="AV303" s="41"/>
      <c r="AW303" s="41"/>
      <c r="AX303" s="41"/>
      <c r="AY303" s="41"/>
      <c r="AZ303" s="41"/>
      <c r="BA303" s="41"/>
    </row>
    <row r="304" spans="2:56" ht="32.25" thickBot="1" x14ac:dyDescent="0.3">
      <c r="F304" s="81" t="s">
        <v>9</v>
      </c>
      <c r="G304" s="81"/>
      <c r="H304" s="81"/>
      <c r="I304" s="81"/>
      <c r="J304" s="81" t="s">
        <v>10</v>
      </c>
      <c r="K304" s="81"/>
      <c r="L304" s="81"/>
      <c r="M304" s="81"/>
      <c r="N304" s="81" t="s">
        <v>49</v>
      </c>
      <c r="O304" s="81"/>
      <c r="P304" s="81" t="s">
        <v>11</v>
      </c>
      <c r="Q304" s="81"/>
      <c r="R304" s="81"/>
      <c r="S304" s="81"/>
      <c r="T304" s="81"/>
      <c r="U304" s="81"/>
      <c r="V304" s="81"/>
      <c r="W304" s="81"/>
      <c r="X304" s="81" t="s">
        <v>9</v>
      </c>
      <c r="Y304" s="81"/>
      <c r="Z304" s="81"/>
      <c r="AA304" s="81"/>
      <c r="AB304" s="81" t="s">
        <v>10</v>
      </c>
      <c r="AC304" s="81"/>
      <c r="AD304" s="81"/>
      <c r="AE304" s="81"/>
      <c r="AF304" s="81" t="s">
        <v>49</v>
      </c>
      <c r="AG304" s="81"/>
      <c r="AH304" s="81" t="s">
        <v>11</v>
      </c>
      <c r="AI304" s="81"/>
      <c r="AJ304" s="81"/>
      <c r="AK304" s="81"/>
      <c r="AL304" s="81"/>
      <c r="AM304" s="81"/>
      <c r="AN304" s="81"/>
      <c r="AO304" s="81"/>
      <c r="AP304" s="70" t="s">
        <v>50</v>
      </c>
      <c r="AQ304" s="70" t="s">
        <v>57</v>
      </c>
      <c r="AR304" s="70" t="s">
        <v>63</v>
      </c>
      <c r="AS304" s="70" t="s">
        <v>64</v>
      </c>
      <c r="AT304" s="70" t="s">
        <v>61</v>
      </c>
      <c r="AU304" s="70" t="s">
        <v>54</v>
      </c>
      <c r="AV304" s="70" t="s">
        <v>19</v>
      </c>
      <c r="AW304" s="70" t="s">
        <v>58</v>
      </c>
      <c r="AX304" s="70" t="s">
        <v>51</v>
      </c>
      <c r="AY304" s="70" t="s">
        <v>53</v>
      </c>
      <c r="AZ304" s="70" t="s">
        <v>52</v>
      </c>
      <c r="BA304" s="70" t="s">
        <v>55</v>
      </c>
      <c r="BB304" s="70" t="s">
        <v>56</v>
      </c>
      <c r="BC304" s="70" t="s">
        <v>59</v>
      </c>
      <c r="BD304" s="70" t="s">
        <v>60</v>
      </c>
    </row>
    <row r="305" spans="2:56" ht="16.5" thickBot="1" x14ac:dyDescent="0.3">
      <c r="B305" s="16">
        <v>0.34375</v>
      </c>
      <c r="C305" s="7" t="s">
        <v>5</v>
      </c>
      <c r="E305" s="11"/>
      <c r="F305" s="75" t="s">
        <v>15</v>
      </c>
      <c r="G305" s="58" t="s">
        <v>12</v>
      </c>
      <c r="H305" s="58" t="s">
        <v>14</v>
      </c>
      <c r="I305" s="58" t="s">
        <v>13</v>
      </c>
      <c r="J305" s="58" t="s">
        <v>42</v>
      </c>
      <c r="K305" s="58" t="s">
        <v>41</v>
      </c>
      <c r="L305" s="58" t="s">
        <v>43</v>
      </c>
      <c r="M305" s="58" t="s">
        <v>44</v>
      </c>
      <c r="N305" s="58" t="s">
        <v>15</v>
      </c>
      <c r="O305" s="58" t="s">
        <v>14</v>
      </c>
      <c r="P305" s="58" t="s">
        <v>45</v>
      </c>
      <c r="Q305" s="58" t="s">
        <v>46</v>
      </c>
      <c r="R305" s="58" t="s">
        <v>42</v>
      </c>
      <c r="S305" s="58" t="s">
        <v>41</v>
      </c>
      <c r="T305" s="58" t="s">
        <v>47</v>
      </c>
      <c r="U305" s="58" t="s">
        <v>48</v>
      </c>
      <c r="V305" s="58" t="s">
        <v>43</v>
      </c>
      <c r="W305" s="58" t="s">
        <v>44</v>
      </c>
      <c r="X305" s="75" t="s">
        <v>15</v>
      </c>
      <c r="Y305" s="58" t="s">
        <v>12</v>
      </c>
      <c r="Z305" s="58" t="s">
        <v>14</v>
      </c>
      <c r="AA305" s="58" t="s">
        <v>13</v>
      </c>
      <c r="AB305" s="58" t="s">
        <v>42</v>
      </c>
      <c r="AC305" s="58" t="s">
        <v>41</v>
      </c>
      <c r="AD305" s="58" t="s">
        <v>43</v>
      </c>
      <c r="AE305" s="58" t="s">
        <v>44</v>
      </c>
      <c r="AF305" s="58" t="s">
        <v>15</v>
      </c>
      <c r="AG305" s="58" t="s">
        <v>14</v>
      </c>
      <c r="AH305" s="58" t="s">
        <v>45</v>
      </c>
      <c r="AI305" s="58" t="s">
        <v>46</v>
      </c>
      <c r="AJ305" s="58" t="s">
        <v>42</v>
      </c>
      <c r="AK305" s="58" t="s">
        <v>41</v>
      </c>
      <c r="AL305" s="58" t="s">
        <v>47</v>
      </c>
      <c r="AM305" s="58" t="s">
        <v>48</v>
      </c>
      <c r="AN305" s="58" t="s">
        <v>43</v>
      </c>
      <c r="AO305" s="58" t="s">
        <v>44</v>
      </c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</row>
    <row r="306" spans="2:56" ht="16.5" customHeight="1" thickBot="1" x14ac:dyDescent="0.3">
      <c r="B306" s="1" t="s">
        <v>0</v>
      </c>
      <c r="C306" s="13">
        <f>SUM(F306:W306)</f>
        <v>5</v>
      </c>
      <c r="E306" s="10" t="s">
        <v>0</v>
      </c>
      <c r="F306" s="71"/>
      <c r="G306" s="60"/>
      <c r="H306" s="60"/>
      <c r="I306" s="61"/>
      <c r="J306" s="59"/>
      <c r="K306" s="60"/>
      <c r="L306" s="60"/>
      <c r="M306" s="60"/>
      <c r="N306" s="59"/>
      <c r="O306" s="61"/>
      <c r="P306" s="59"/>
      <c r="Q306" s="60"/>
      <c r="R306" s="60">
        <v>3</v>
      </c>
      <c r="S306" s="60"/>
      <c r="T306" s="60">
        <v>1</v>
      </c>
      <c r="U306" s="60"/>
      <c r="V306" s="60">
        <v>1</v>
      </c>
      <c r="W306" s="61"/>
      <c r="X306" s="71"/>
      <c r="Y306" s="60"/>
      <c r="Z306" s="60"/>
      <c r="AA306" s="60"/>
      <c r="AB306" s="59"/>
      <c r="AC306" s="60"/>
      <c r="AD306" s="60"/>
      <c r="AE306" s="61"/>
      <c r="AF306" s="60"/>
      <c r="AG306" s="61"/>
      <c r="AH306" s="60"/>
      <c r="AI306" s="60">
        <v>3</v>
      </c>
      <c r="AJ306" s="60"/>
      <c r="AK306" s="60">
        <v>1</v>
      </c>
      <c r="AL306" s="60"/>
      <c r="AM306" s="60">
        <v>1</v>
      </c>
      <c r="AN306" s="60"/>
      <c r="AO306" s="60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>
        <v>1</v>
      </c>
      <c r="BA306" s="62"/>
      <c r="BB306" s="62"/>
      <c r="BC306" s="62"/>
      <c r="BD306" s="62"/>
    </row>
    <row r="307" spans="2:56" ht="16.5" customHeight="1" thickBot="1" x14ac:dyDescent="0.3">
      <c r="B307" s="1" t="s">
        <v>1</v>
      </c>
      <c r="C307" s="14">
        <f t="shared" ref="C307:C309" si="33">SUM(F307:W307)</f>
        <v>2</v>
      </c>
      <c r="E307" s="1" t="s">
        <v>1</v>
      </c>
      <c r="F307" s="72"/>
      <c r="G307" s="41"/>
      <c r="H307" s="41"/>
      <c r="I307" s="64"/>
      <c r="J307" s="63"/>
      <c r="K307" s="41"/>
      <c r="L307" s="41"/>
      <c r="M307" s="41"/>
      <c r="N307" s="63">
        <v>2</v>
      </c>
      <c r="O307" s="64"/>
      <c r="P307" s="63"/>
      <c r="Q307" s="41"/>
      <c r="R307" s="41"/>
      <c r="S307" s="41"/>
      <c r="T307" s="41"/>
      <c r="U307" s="41"/>
      <c r="V307" s="41"/>
      <c r="W307" s="64"/>
      <c r="X307" s="72"/>
      <c r="Y307" s="41"/>
      <c r="Z307" s="41"/>
      <c r="AA307" s="41"/>
      <c r="AB307" s="63"/>
      <c r="AC307" s="41"/>
      <c r="AD307" s="41"/>
      <c r="AE307" s="64"/>
      <c r="AF307" s="41"/>
      <c r="AG307" s="64">
        <v>2</v>
      </c>
      <c r="AH307" s="41"/>
      <c r="AI307" s="41"/>
      <c r="AJ307" s="41"/>
      <c r="AK307" s="41"/>
      <c r="AL307" s="41"/>
      <c r="AM307" s="41"/>
      <c r="AN307" s="41"/>
      <c r="AO307" s="41"/>
      <c r="AP307" s="63"/>
      <c r="AQ307" s="63">
        <v>1</v>
      </c>
      <c r="AR307" s="63"/>
      <c r="AS307" s="63"/>
      <c r="AT307" s="63"/>
      <c r="AU307" s="63"/>
      <c r="AV307" s="63"/>
      <c r="AW307" s="63"/>
      <c r="AX307" s="63"/>
      <c r="AY307" s="63"/>
      <c r="AZ307" s="63"/>
      <c r="BA307" s="65">
        <v>1</v>
      </c>
      <c r="BB307" s="65"/>
      <c r="BC307" s="65"/>
      <c r="BD307" s="65"/>
    </row>
    <row r="308" spans="2:56" ht="16.5" customHeight="1" thickBot="1" x14ac:dyDescent="0.3">
      <c r="B308" s="1" t="s">
        <v>2</v>
      </c>
      <c r="C308" s="14">
        <f t="shared" si="33"/>
        <v>0</v>
      </c>
      <c r="E308" s="1" t="s">
        <v>2</v>
      </c>
      <c r="F308" s="72"/>
      <c r="G308" s="41"/>
      <c r="H308" s="41"/>
      <c r="I308" s="64"/>
      <c r="J308" s="63"/>
      <c r="K308" s="41"/>
      <c r="L308" s="41"/>
      <c r="M308" s="41"/>
      <c r="N308" s="63"/>
      <c r="O308" s="64"/>
      <c r="P308" s="63"/>
      <c r="Q308" s="41"/>
      <c r="R308" s="41"/>
      <c r="S308" s="41"/>
      <c r="T308" s="41"/>
      <c r="U308" s="41"/>
      <c r="V308" s="41"/>
      <c r="W308" s="64"/>
      <c r="X308" s="72"/>
      <c r="Y308" s="41"/>
      <c r="Z308" s="41"/>
      <c r="AA308" s="41"/>
      <c r="AB308" s="63"/>
      <c r="AC308" s="41"/>
      <c r="AD308" s="41"/>
      <c r="AE308" s="64"/>
      <c r="AF308" s="41"/>
      <c r="AG308" s="64"/>
      <c r="AH308" s="41"/>
      <c r="AI308" s="41"/>
      <c r="AJ308" s="41"/>
      <c r="AK308" s="41"/>
      <c r="AL308" s="41"/>
      <c r="AM308" s="41"/>
      <c r="AN308" s="41"/>
      <c r="AO308" s="41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5"/>
      <c r="BB308" s="65"/>
      <c r="BC308" s="65"/>
      <c r="BD308" s="65"/>
    </row>
    <row r="309" spans="2:56" ht="16.5" customHeight="1" thickBot="1" x14ac:dyDescent="0.3">
      <c r="B309" s="1" t="s">
        <v>3</v>
      </c>
      <c r="C309" s="15">
        <f t="shared" si="33"/>
        <v>0</v>
      </c>
      <c r="E309" s="1" t="s">
        <v>3</v>
      </c>
      <c r="F309" s="73"/>
      <c r="G309" s="67"/>
      <c r="H309" s="67"/>
      <c r="I309" s="68"/>
      <c r="J309" s="66"/>
      <c r="K309" s="67"/>
      <c r="L309" s="67"/>
      <c r="M309" s="67"/>
      <c r="N309" s="66"/>
      <c r="O309" s="68"/>
      <c r="P309" s="66"/>
      <c r="Q309" s="67"/>
      <c r="R309" s="67"/>
      <c r="S309" s="67"/>
      <c r="T309" s="67"/>
      <c r="U309" s="67"/>
      <c r="V309" s="67"/>
      <c r="W309" s="68"/>
      <c r="X309" s="73"/>
      <c r="Y309" s="67"/>
      <c r="Z309" s="67"/>
      <c r="AA309" s="67"/>
      <c r="AB309" s="66"/>
      <c r="AC309" s="67"/>
      <c r="AD309" s="67"/>
      <c r="AE309" s="68"/>
      <c r="AF309" s="67"/>
      <c r="AG309" s="68"/>
      <c r="AH309" s="67"/>
      <c r="AI309" s="67"/>
      <c r="AJ309" s="67"/>
      <c r="AK309" s="67"/>
      <c r="AL309" s="67"/>
      <c r="AM309" s="67"/>
      <c r="AN309" s="67"/>
      <c r="AO309" s="67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9"/>
      <c r="BB309" s="69"/>
      <c r="BC309" s="69"/>
      <c r="BD309" s="69"/>
    </row>
    <row r="310" spans="2:56" ht="21" customHeight="1" x14ac:dyDescent="0.25">
      <c r="B310" s="2"/>
      <c r="C310" s="8">
        <f>SUM(C306:C309)</f>
        <v>7</v>
      </c>
      <c r="F310" s="74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74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</row>
    <row r="311" spans="2:56" x14ac:dyDescent="0.25"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</row>
    <row r="312" spans="2:56" ht="15.75" x14ac:dyDescent="0.25">
      <c r="F312" s="82" t="s">
        <v>17</v>
      </c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3" t="s">
        <v>16</v>
      </c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79"/>
      <c r="AQ312" s="79"/>
      <c r="AR312" s="79"/>
      <c r="AS312" s="79"/>
      <c r="AT312" s="79"/>
      <c r="AU312" s="41"/>
      <c r="AV312" s="41"/>
      <c r="AW312" s="41"/>
      <c r="AX312" s="41"/>
      <c r="AY312" s="41"/>
      <c r="AZ312" s="41"/>
      <c r="BA312" s="41"/>
    </row>
    <row r="313" spans="2:56" ht="32.25" thickBot="1" x14ac:dyDescent="0.3">
      <c r="F313" s="81" t="s">
        <v>9</v>
      </c>
      <c r="G313" s="81"/>
      <c r="H313" s="81"/>
      <c r="I313" s="81"/>
      <c r="J313" s="81" t="s">
        <v>10</v>
      </c>
      <c r="K313" s="81"/>
      <c r="L313" s="81"/>
      <c r="M313" s="81"/>
      <c r="N313" s="81" t="s">
        <v>49</v>
      </c>
      <c r="O313" s="81"/>
      <c r="P313" s="81" t="s">
        <v>11</v>
      </c>
      <c r="Q313" s="81"/>
      <c r="R313" s="81"/>
      <c r="S313" s="81"/>
      <c r="T313" s="81"/>
      <c r="U313" s="81"/>
      <c r="V313" s="81"/>
      <c r="W313" s="81"/>
      <c r="X313" s="81" t="s">
        <v>9</v>
      </c>
      <c r="Y313" s="81"/>
      <c r="Z313" s="81"/>
      <c r="AA313" s="81"/>
      <c r="AB313" s="81" t="s">
        <v>10</v>
      </c>
      <c r="AC313" s="81"/>
      <c r="AD313" s="81"/>
      <c r="AE313" s="81"/>
      <c r="AF313" s="81" t="s">
        <v>49</v>
      </c>
      <c r="AG313" s="81"/>
      <c r="AH313" s="81" t="s">
        <v>11</v>
      </c>
      <c r="AI313" s="81"/>
      <c r="AJ313" s="81"/>
      <c r="AK313" s="81"/>
      <c r="AL313" s="81"/>
      <c r="AM313" s="81"/>
      <c r="AN313" s="81"/>
      <c r="AO313" s="81"/>
      <c r="AP313" s="70" t="s">
        <v>50</v>
      </c>
      <c r="AQ313" s="70" t="s">
        <v>57</v>
      </c>
      <c r="AR313" s="70" t="s">
        <v>63</v>
      </c>
      <c r="AS313" s="70" t="s">
        <v>64</v>
      </c>
      <c r="AT313" s="70" t="s">
        <v>61</v>
      </c>
      <c r="AU313" s="70" t="s">
        <v>54</v>
      </c>
      <c r="AV313" s="70" t="s">
        <v>19</v>
      </c>
      <c r="AW313" s="70" t="s">
        <v>58</v>
      </c>
      <c r="AX313" s="70" t="s">
        <v>51</v>
      </c>
      <c r="AY313" s="70" t="s">
        <v>53</v>
      </c>
      <c r="AZ313" s="70" t="s">
        <v>52</v>
      </c>
      <c r="BA313" s="70" t="s">
        <v>55</v>
      </c>
      <c r="BB313" s="70" t="s">
        <v>56</v>
      </c>
      <c r="BC313" s="70" t="s">
        <v>59</v>
      </c>
      <c r="BD313" s="70" t="s">
        <v>60</v>
      </c>
    </row>
    <row r="314" spans="2:56" ht="16.5" thickBot="1" x14ac:dyDescent="0.3">
      <c r="B314" s="16">
        <v>0.35416666666666669</v>
      </c>
      <c r="C314" s="7" t="s">
        <v>5</v>
      </c>
      <c r="E314" s="11"/>
      <c r="F314" s="75" t="s">
        <v>15</v>
      </c>
      <c r="G314" s="58" t="s">
        <v>12</v>
      </c>
      <c r="H314" s="58" t="s">
        <v>14</v>
      </c>
      <c r="I314" s="58" t="s">
        <v>13</v>
      </c>
      <c r="J314" s="58" t="s">
        <v>42</v>
      </c>
      <c r="K314" s="58" t="s">
        <v>41</v>
      </c>
      <c r="L314" s="58" t="s">
        <v>43</v>
      </c>
      <c r="M314" s="58" t="s">
        <v>44</v>
      </c>
      <c r="N314" s="58" t="s">
        <v>15</v>
      </c>
      <c r="O314" s="58" t="s">
        <v>14</v>
      </c>
      <c r="P314" s="58" t="s">
        <v>45</v>
      </c>
      <c r="Q314" s="58" t="s">
        <v>46</v>
      </c>
      <c r="R314" s="58" t="s">
        <v>42</v>
      </c>
      <c r="S314" s="58" t="s">
        <v>41</v>
      </c>
      <c r="T314" s="58" t="s">
        <v>47</v>
      </c>
      <c r="U314" s="58" t="s">
        <v>48</v>
      </c>
      <c r="V314" s="58" t="s">
        <v>43</v>
      </c>
      <c r="W314" s="58" t="s">
        <v>44</v>
      </c>
      <c r="X314" s="75" t="s">
        <v>15</v>
      </c>
      <c r="Y314" s="58" t="s">
        <v>12</v>
      </c>
      <c r="Z314" s="58" t="s">
        <v>14</v>
      </c>
      <c r="AA314" s="58" t="s">
        <v>13</v>
      </c>
      <c r="AB314" s="58" t="s">
        <v>42</v>
      </c>
      <c r="AC314" s="58" t="s">
        <v>41</v>
      </c>
      <c r="AD314" s="58" t="s">
        <v>43</v>
      </c>
      <c r="AE314" s="58" t="s">
        <v>44</v>
      </c>
      <c r="AF314" s="58" t="s">
        <v>15</v>
      </c>
      <c r="AG314" s="58" t="s">
        <v>14</v>
      </c>
      <c r="AH314" s="58" t="s">
        <v>45</v>
      </c>
      <c r="AI314" s="58" t="s">
        <v>46</v>
      </c>
      <c r="AJ314" s="58" t="s">
        <v>42</v>
      </c>
      <c r="AK314" s="58" t="s">
        <v>41</v>
      </c>
      <c r="AL314" s="58" t="s">
        <v>47</v>
      </c>
      <c r="AM314" s="58" t="s">
        <v>48</v>
      </c>
      <c r="AN314" s="58" t="s">
        <v>43</v>
      </c>
      <c r="AO314" s="58" t="s">
        <v>44</v>
      </c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</row>
    <row r="315" spans="2:56" ht="16.5" customHeight="1" thickBot="1" x14ac:dyDescent="0.3">
      <c r="B315" s="1" t="s">
        <v>0</v>
      </c>
      <c r="C315" s="13">
        <f>SUM(F315:W315)</f>
        <v>3</v>
      </c>
      <c r="E315" s="10" t="s">
        <v>0</v>
      </c>
      <c r="F315" s="71"/>
      <c r="G315" s="60"/>
      <c r="H315" s="60"/>
      <c r="I315" s="61"/>
      <c r="J315" s="59"/>
      <c r="K315" s="60"/>
      <c r="L315" s="60"/>
      <c r="M315" s="60"/>
      <c r="N315" s="59"/>
      <c r="O315" s="61">
        <v>1</v>
      </c>
      <c r="P315" s="59"/>
      <c r="Q315" s="60"/>
      <c r="R315" s="60">
        <v>1</v>
      </c>
      <c r="S315" s="60"/>
      <c r="T315" s="60"/>
      <c r="U315" s="60">
        <v>1</v>
      </c>
      <c r="V315" s="60"/>
      <c r="W315" s="61"/>
      <c r="X315" s="71"/>
      <c r="Y315" s="60"/>
      <c r="Z315" s="60"/>
      <c r="AA315" s="60"/>
      <c r="AB315" s="59"/>
      <c r="AC315" s="60"/>
      <c r="AD315" s="60"/>
      <c r="AE315" s="61"/>
      <c r="AF315" s="60">
        <v>1</v>
      </c>
      <c r="AG315" s="61"/>
      <c r="AH315" s="60"/>
      <c r="AI315" s="60"/>
      <c r="AJ315" s="60"/>
      <c r="AK315" s="60"/>
      <c r="AL315" s="60"/>
      <c r="AM315" s="60"/>
      <c r="AN315" s="60">
        <v>1</v>
      </c>
      <c r="AO315" s="60">
        <v>1</v>
      </c>
      <c r="AP315" s="59"/>
      <c r="AQ315" s="59">
        <v>3</v>
      </c>
      <c r="AR315" s="59"/>
      <c r="AS315" s="59"/>
      <c r="AT315" s="59"/>
      <c r="AU315" s="59"/>
      <c r="AV315" s="59"/>
      <c r="AW315" s="59"/>
      <c r="AX315" s="59"/>
      <c r="AY315" s="59"/>
      <c r="AZ315" s="59">
        <v>1</v>
      </c>
      <c r="BA315" s="62"/>
      <c r="BB315" s="62">
        <v>2</v>
      </c>
      <c r="BC315" s="62"/>
      <c r="BD315" s="62"/>
    </row>
    <row r="316" spans="2:56" ht="16.5" customHeight="1" thickBot="1" x14ac:dyDescent="0.3">
      <c r="B316" s="1" t="s">
        <v>1</v>
      </c>
      <c r="C316" s="14">
        <f t="shared" ref="C316:C318" si="34">SUM(F316:W316)</f>
        <v>7</v>
      </c>
      <c r="E316" s="1" t="s">
        <v>1</v>
      </c>
      <c r="F316" s="72"/>
      <c r="G316" s="41"/>
      <c r="H316" s="41"/>
      <c r="I316" s="64"/>
      <c r="J316" s="63"/>
      <c r="K316" s="41"/>
      <c r="L316" s="41"/>
      <c r="M316" s="41"/>
      <c r="N316" s="63"/>
      <c r="O316" s="64">
        <v>2</v>
      </c>
      <c r="P316" s="63">
        <v>1</v>
      </c>
      <c r="Q316" s="41"/>
      <c r="R316" s="41">
        <v>2</v>
      </c>
      <c r="S316" s="41">
        <v>1</v>
      </c>
      <c r="T316" s="41">
        <v>1</v>
      </c>
      <c r="U316" s="41"/>
      <c r="V316" s="41"/>
      <c r="W316" s="64"/>
      <c r="X316" s="72"/>
      <c r="Y316" s="41"/>
      <c r="Z316" s="41"/>
      <c r="AA316" s="41"/>
      <c r="AB316" s="63"/>
      <c r="AC316" s="41"/>
      <c r="AD316" s="41"/>
      <c r="AE316" s="64"/>
      <c r="AF316" s="41"/>
      <c r="AG316" s="64"/>
      <c r="AH316" s="41"/>
      <c r="AI316" s="41"/>
      <c r="AJ316" s="41"/>
      <c r="AK316" s="41"/>
      <c r="AL316" s="41"/>
      <c r="AM316" s="41"/>
      <c r="AN316" s="41"/>
      <c r="AO316" s="41">
        <v>7</v>
      </c>
      <c r="AP316" s="63"/>
      <c r="AQ316" s="63"/>
      <c r="AR316" s="63"/>
      <c r="AS316" s="63">
        <v>1</v>
      </c>
      <c r="AT316" s="63"/>
      <c r="AU316" s="63"/>
      <c r="AV316" s="63"/>
      <c r="AW316" s="63"/>
      <c r="AX316" s="63"/>
      <c r="AY316" s="63"/>
      <c r="AZ316" s="63"/>
      <c r="BA316" s="65"/>
      <c r="BB316" s="65">
        <v>7</v>
      </c>
      <c r="BC316" s="65"/>
      <c r="BD316" s="65"/>
    </row>
    <row r="317" spans="2:56" ht="16.5" customHeight="1" thickBot="1" x14ac:dyDescent="0.3">
      <c r="B317" s="1" t="s">
        <v>2</v>
      </c>
      <c r="C317" s="14">
        <f t="shared" si="34"/>
        <v>6</v>
      </c>
      <c r="E317" s="1" t="s">
        <v>2</v>
      </c>
      <c r="F317" s="72"/>
      <c r="G317" s="41"/>
      <c r="H317" s="41"/>
      <c r="I317" s="64"/>
      <c r="J317" s="63"/>
      <c r="K317" s="41"/>
      <c r="L317" s="41"/>
      <c r="M317" s="41"/>
      <c r="N317" s="63"/>
      <c r="O317" s="64">
        <v>1</v>
      </c>
      <c r="P317" s="63">
        <v>1</v>
      </c>
      <c r="Q317" s="41">
        <v>1</v>
      </c>
      <c r="R317" s="41"/>
      <c r="S317" s="41"/>
      <c r="T317" s="41">
        <v>3</v>
      </c>
      <c r="U317" s="41"/>
      <c r="V317" s="41"/>
      <c r="W317" s="64"/>
      <c r="X317" s="72"/>
      <c r="Y317" s="41"/>
      <c r="Z317" s="41"/>
      <c r="AA317" s="41"/>
      <c r="AB317" s="63"/>
      <c r="AC317" s="41"/>
      <c r="AD317" s="41"/>
      <c r="AE317" s="64"/>
      <c r="AF317" s="41"/>
      <c r="AG317" s="64"/>
      <c r="AH317" s="41"/>
      <c r="AI317" s="41"/>
      <c r="AJ317" s="41"/>
      <c r="AK317" s="41"/>
      <c r="AL317" s="41"/>
      <c r="AM317" s="41"/>
      <c r="AN317" s="41"/>
      <c r="AO317" s="41">
        <v>6</v>
      </c>
      <c r="AP317" s="63"/>
      <c r="AQ317" s="63">
        <v>2</v>
      </c>
      <c r="AR317" s="63"/>
      <c r="AS317" s="63"/>
      <c r="AT317" s="63"/>
      <c r="AU317" s="63"/>
      <c r="AV317" s="63"/>
      <c r="AW317" s="63"/>
      <c r="AX317" s="63"/>
      <c r="AY317" s="63"/>
      <c r="AZ317" s="63"/>
      <c r="BA317" s="65"/>
      <c r="BB317" s="65">
        <v>6</v>
      </c>
      <c r="BC317" s="65"/>
      <c r="BD317" s="65"/>
    </row>
    <row r="318" spans="2:56" ht="16.5" customHeight="1" thickBot="1" x14ac:dyDescent="0.3">
      <c r="B318" s="1" t="s">
        <v>68</v>
      </c>
      <c r="C318" s="15">
        <f t="shared" si="34"/>
        <v>0</v>
      </c>
      <c r="E318" s="1" t="s">
        <v>3</v>
      </c>
      <c r="F318" s="73"/>
      <c r="G318" s="67"/>
      <c r="H318" s="67"/>
      <c r="I318" s="68"/>
      <c r="J318" s="66"/>
      <c r="K318" s="67"/>
      <c r="L318" s="67"/>
      <c r="M318" s="67"/>
      <c r="N318" s="66"/>
      <c r="O318" s="68"/>
      <c r="P318" s="66"/>
      <c r="Q318" s="67"/>
      <c r="R318" s="67"/>
      <c r="S318" s="67"/>
      <c r="T318" s="67"/>
      <c r="U318" s="67"/>
      <c r="V318" s="67"/>
      <c r="W318" s="68"/>
      <c r="X318" s="73"/>
      <c r="Y318" s="67"/>
      <c r="Z318" s="67"/>
      <c r="AA318" s="67"/>
      <c r="AB318" s="66"/>
      <c r="AC318" s="67"/>
      <c r="AD318" s="67"/>
      <c r="AE318" s="68"/>
      <c r="AF318" s="67"/>
      <c r="AG318" s="68"/>
      <c r="AH318" s="67"/>
      <c r="AI318" s="67"/>
      <c r="AJ318" s="67"/>
      <c r="AK318" s="67"/>
      <c r="AL318" s="67"/>
      <c r="AM318" s="67"/>
      <c r="AN318" s="67"/>
      <c r="AO318" s="67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9"/>
      <c r="BB318" s="69"/>
      <c r="BC318" s="69"/>
      <c r="BD318" s="69"/>
    </row>
    <row r="319" spans="2:56" ht="21" customHeight="1" x14ac:dyDescent="0.25">
      <c r="B319" s="2"/>
      <c r="C319" s="8">
        <f>SUM(C315:C318)</f>
        <v>16</v>
      </c>
      <c r="F319" s="74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74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</row>
    <row r="320" spans="2:56" x14ac:dyDescent="0.25"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</row>
    <row r="321" spans="2:56" ht="15.75" x14ac:dyDescent="0.25">
      <c r="F321" s="82" t="s">
        <v>17</v>
      </c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3" t="s">
        <v>16</v>
      </c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79"/>
      <c r="AQ321" s="79"/>
      <c r="AR321" s="79"/>
      <c r="AS321" s="79"/>
      <c r="AT321" s="79"/>
      <c r="AU321" s="41"/>
      <c r="AV321" s="41"/>
      <c r="AW321" s="41"/>
      <c r="AX321" s="41"/>
      <c r="AY321" s="41"/>
      <c r="AZ321" s="41"/>
      <c r="BA321" s="41"/>
    </row>
    <row r="322" spans="2:56" ht="32.25" thickBot="1" x14ac:dyDescent="0.3">
      <c r="B322" s="80"/>
      <c r="F322" s="81" t="s">
        <v>9</v>
      </c>
      <c r="G322" s="81"/>
      <c r="H322" s="81"/>
      <c r="I322" s="81"/>
      <c r="J322" s="81" t="s">
        <v>10</v>
      </c>
      <c r="K322" s="81"/>
      <c r="L322" s="81"/>
      <c r="M322" s="81"/>
      <c r="N322" s="81" t="s">
        <v>49</v>
      </c>
      <c r="O322" s="81"/>
      <c r="P322" s="81" t="s">
        <v>11</v>
      </c>
      <c r="Q322" s="81"/>
      <c r="R322" s="81"/>
      <c r="S322" s="81"/>
      <c r="T322" s="81"/>
      <c r="U322" s="81"/>
      <c r="V322" s="81"/>
      <c r="W322" s="81"/>
      <c r="X322" s="81" t="s">
        <v>9</v>
      </c>
      <c r="Y322" s="81"/>
      <c r="Z322" s="81"/>
      <c r="AA322" s="81"/>
      <c r="AB322" s="81" t="s">
        <v>10</v>
      </c>
      <c r="AC322" s="81"/>
      <c r="AD322" s="81"/>
      <c r="AE322" s="81"/>
      <c r="AF322" s="81" t="s">
        <v>49</v>
      </c>
      <c r="AG322" s="81"/>
      <c r="AH322" s="81" t="s">
        <v>11</v>
      </c>
      <c r="AI322" s="81"/>
      <c r="AJ322" s="81"/>
      <c r="AK322" s="81"/>
      <c r="AL322" s="81"/>
      <c r="AM322" s="81"/>
      <c r="AN322" s="81"/>
      <c r="AO322" s="81"/>
      <c r="AP322" s="70" t="s">
        <v>50</v>
      </c>
      <c r="AQ322" s="70" t="s">
        <v>57</v>
      </c>
      <c r="AR322" s="70" t="s">
        <v>63</v>
      </c>
      <c r="AS322" s="70" t="s">
        <v>64</v>
      </c>
      <c r="AT322" s="70" t="s">
        <v>61</v>
      </c>
      <c r="AU322" s="70" t="s">
        <v>54</v>
      </c>
      <c r="AV322" s="70" t="s">
        <v>19</v>
      </c>
      <c r="AW322" s="70" t="s">
        <v>58</v>
      </c>
      <c r="AX322" s="70" t="s">
        <v>51</v>
      </c>
      <c r="AY322" s="70" t="s">
        <v>53</v>
      </c>
      <c r="AZ322" s="70" t="s">
        <v>52</v>
      </c>
      <c r="BA322" s="70" t="s">
        <v>55</v>
      </c>
      <c r="BB322" s="70" t="s">
        <v>56</v>
      </c>
      <c r="BC322" s="70" t="s">
        <v>59</v>
      </c>
      <c r="BD322" s="70" t="s">
        <v>60</v>
      </c>
    </row>
    <row r="323" spans="2:56" ht="16.5" thickBot="1" x14ac:dyDescent="0.3">
      <c r="B323" s="16">
        <v>0.36458333333333331</v>
      </c>
      <c r="C323" s="7" t="s">
        <v>5</v>
      </c>
      <c r="E323" s="11"/>
      <c r="F323" s="75" t="s">
        <v>15</v>
      </c>
      <c r="G323" s="58" t="s">
        <v>12</v>
      </c>
      <c r="H323" s="58" t="s">
        <v>14</v>
      </c>
      <c r="I323" s="58" t="s">
        <v>13</v>
      </c>
      <c r="J323" s="58" t="s">
        <v>42</v>
      </c>
      <c r="K323" s="58" t="s">
        <v>41</v>
      </c>
      <c r="L323" s="58" t="s">
        <v>43</v>
      </c>
      <c r="M323" s="58" t="s">
        <v>44</v>
      </c>
      <c r="N323" s="58" t="s">
        <v>15</v>
      </c>
      <c r="O323" s="58" t="s">
        <v>14</v>
      </c>
      <c r="P323" s="58" t="s">
        <v>45</v>
      </c>
      <c r="Q323" s="58" t="s">
        <v>46</v>
      </c>
      <c r="R323" s="58" t="s">
        <v>42</v>
      </c>
      <c r="S323" s="58" t="s">
        <v>41</v>
      </c>
      <c r="T323" s="58" t="s">
        <v>47</v>
      </c>
      <c r="U323" s="58" t="s">
        <v>48</v>
      </c>
      <c r="V323" s="58" t="s">
        <v>43</v>
      </c>
      <c r="W323" s="58" t="s">
        <v>44</v>
      </c>
      <c r="X323" s="75" t="s">
        <v>15</v>
      </c>
      <c r="Y323" s="58" t="s">
        <v>12</v>
      </c>
      <c r="Z323" s="58" t="s">
        <v>14</v>
      </c>
      <c r="AA323" s="58" t="s">
        <v>13</v>
      </c>
      <c r="AB323" s="58" t="s">
        <v>42</v>
      </c>
      <c r="AC323" s="58" t="s">
        <v>41</v>
      </c>
      <c r="AD323" s="58" t="s">
        <v>43</v>
      </c>
      <c r="AE323" s="58" t="s">
        <v>44</v>
      </c>
      <c r="AF323" s="58" t="s">
        <v>15</v>
      </c>
      <c r="AG323" s="58" t="s">
        <v>14</v>
      </c>
      <c r="AH323" s="58" t="s">
        <v>45</v>
      </c>
      <c r="AI323" s="58" t="s">
        <v>46</v>
      </c>
      <c r="AJ323" s="58" t="s">
        <v>42</v>
      </c>
      <c r="AK323" s="58" t="s">
        <v>41</v>
      </c>
      <c r="AL323" s="58" t="s">
        <v>47</v>
      </c>
      <c r="AM323" s="58" t="s">
        <v>48</v>
      </c>
      <c r="AN323" s="58" t="s">
        <v>43</v>
      </c>
      <c r="AO323" s="58" t="s">
        <v>44</v>
      </c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</row>
    <row r="324" spans="2:56" ht="16.5" customHeight="1" thickBot="1" x14ac:dyDescent="0.3">
      <c r="B324" s="1" t="s">
        <v>0</v>
      </c>
      <c r="C324" s="13">
        <f>SUM(F324:W324)</f>
        <v>18</v>
      </c>
      <c r="E324" s="10" t="s">
        <v>0</v>
      </c>
      <c r="F324" s="71"/>
      <c r="G324" s="60"/>
      <c r="H324" s="60"/>
      <c r="I324" s="61"/>
      <c r="J324" s="59"/>
      <c r="K324" s="60"/>
      <c r="L324" s="60"/>
      <c r="M324" s="60"/>
      <c r="N324" s="59"/>
      <c r="O324" s="61"/>
      <c r="P324" s="59"/>
      <c r="Q324" s="60"/>
      <c r="R324" s="60">
        <v>8</v>
      </c>
      <c r="S324" s="60">
        <v>8</v>
      </c>
      <c r="T324" s="60"/>
      <c r="U324" s="60">
        <v>1</v>
      </c>
      <c r="V324" s="60"/>
      <c r="W324" s="61">
        <v>1</v>
      </c>
      <c r="X324" s="71"/>
      <c r="Y324" s="60"/>
      <c r="Z324" s="60"/>
      <c r="AA324" s="60"/>
      <c r="AB324" s="59"/>
      <c r="AC324" s="60"/>
      <c r="AD324" s="60"/>
      <c r="AE324" s="61"/>
      <c r="AF324" s="60"/>
      <c r="AG324" s="61"/>
      <c r="AH324" s="60"/>
      <c r="AI324" s="60">
        <v>2</v>
      </c>
      <c r="AJ324" s="60"/>
      <c r="AK324" s="60">
        <v>1</v>
      </c>
      <c r="AL324" s="60"/>
      <c r="AM324" s="60"/>
      <c r="AN324" s="60">
        <v>1</v>
      </c>
      <c r="AO324" s="60">
        <v>14</v>
      </c>
      <c r="AP324" s="59"/>
      <c r="AQ324" s="59"/>
      <c r="AR324" s="59"/>
      <c r="AS324" s="59">
        <v>26</v>
      </c>
      <c r="AT324" s="59"/>
      <c r="AU324" s="59"/>
      <c r="AV324" s="59"/>
      <c r="AW324" s="59"/>
      <c r="AX324" s="59">
        <v>15</v>
      </c>
      <c r="AY324" s="59"/>
      <c r="AZ324" s="59"/>
      <c r="BA324" s="62"/>
      <c r="BB324" s="62"/>
      <c r="BC324" s="62"/>
      <c r="BD324" s="62"/>
    </row>
    <row r="325" spans="2:56" ht="16.5" customHeight="1" thickBot="1" x14ac:dyDescent="0.3">
      <c r="B325" s="1" t="s">
        <v>1</v>
      </c>
      <c r="C325" s="14">
        <f t="shared" ref="C325:C327" si="35">SUM(F325:W325)</f>
        <v>41</v>
      </c>
      <c r="E325" s="1" t="s">
        <v>1</v>
      </c>
      <c r="F325" s="72"/>
      <c r="G325" s="41"/>
      <c r="H325" s="41"/>
      <c r="I325" s="64"/>
      <c r="J325" s="63">
        <v>1</v>
      </c>
      <c r="K325" s="41"/>
      <c r="L325" s="41"/>
      <c r="M325" s="41"/>
      <c r="N325" s="63">
        <v>1</v>
      </c>
      <c r="O325" s="64">
        <v>8</v>
      </c>
      <c r="P325" s="63"/>
      <c r="Q325" s="41">
        <v>2</v>
      </c>
      <c r="R325" s="41">
        <v>8</v>
      </c>
      <c r="S325" s="41">
        <v>10</v>
      </c>
      <c r="T325" s="41">
        <v>7</v>
      </c>
      <c r="U325" s="41">
        <v>4</v>
      </c>
      <c r="V325" s="41"/>
      <c r="W325" s="64"/>
      <c r="X325" s="72"/>
      <c r="Y325" s="41"/>
      <c r="Z325" s="41"/>
      <c r="AA325" s="41"/>
      <c r="AB325" s="63"/>
      <c r="AC325" s="41"/>
      <c r="AD325" s="41"/>
      <c r="AE325" s="64">
        <v>2</v>
      </c>
      <c r="AF325" s="41"/>
      <c r="AG325" s="64">
        <v>1</v>
      </c>
      <c r="AH325" s="41"/>
      <c r="AI325" s="41"/>
      <c r="AJ325" s="41"/>
      <c r="AK325" s="41"/>
      <c r="AL325" s="41"/>
      <c r="AM325" s="41"/>
      <c r="AN325" s="41">
        <v>4</v>
      </c>
      <c r="AO325" s="41">
        <v>34</v>
      </c>
      <c r="AP325" s="63"/>
      <c r="AQ325" s="63"/>
      <c r="AR325" s="63"/>
      <c r="AS325" s="63"/>
      <c r="AT325" s="63"/>
      <c r="AU325" s="63"/>
      <c r="AV325" s="63"/>
      <c r="AW325" s="63"/>
      <c r="AX325" s="63">
        <v>37</v>
      </c>
      <c r="AY325" s="63"/>
      <c r="AZ325" s="63"/>
      <c r="BA325" s="65"/>
      <c r="BB325" s="65"/>
      <c r="BC325" s="65"/>
      <c r="BD325" s="65"/>
    </row>
    <row r="326" spans="2:56" ht="16.5" customHeight="1" thickBot="1" x14ac:dyDescent="0.3">
      <c r="B326" s="1" t="s">
        <v>2</v>
      </c>
      <c r="C326" s="14">
        <f t="shared" si="35"/>
        <v>63</v>
      </c>
      <c r="E326" s="1" t="s">
        <v>2</v>
      </c>
      <c r="F326" s="72"/>
      <c r="G326" s="41"/>
      <c r="H326" s="41"/>
      <c r="I326" s="64"/>
      <c r="J326" s="63">
        <v>4</v>
      </c>
      <c r="K326" s="41">
        <v>1</v>
      </c>
      <c r="L326" s="41"/>
      <c r="M326" s="41"/>
      <c r="N326" s="63"/>
      <c r="O326" s="64">
        <v>7</v>
      </c>
      <c r="P326" s="63"/>
      <c r="Q326" s="41">
        <v>18</v>
      </c>
      <c r="R326" s="41">
        <v>15</v>
      </c>
      <c r="S326" s="41">
        <v>6</v>
      </c>
      <c r="T326" s="41">
        <v>5</v>
      </c>
      <c r="U326" s="41">
        <v>7</v>
      </c>
      <c r="V326" s="41"/>
      <c r="W326" s="64"/>
      <c r="X326" s="72"/>
      <c r="Y326" s="41"/>
      <c r="Z326" s="41"/>
      <c r="AA326" s="41"/>
      <c r="AB326" s="63"/>
      <c r="AC326" s="41"/>
      <c r="AD326" s="41"/>
      <c r="AE326" s="64"/>
      <c r="AF326" s="41"/>
      <c r="AG326" s="64"/>
      <c r="AH326" s="41"/>
      <c r="AI326" s="41">
        <v>2</v>
      </c>
      <c r="AJ326" s="41"/>
      <c r="AK326" s="41"/>
      <c r="AL326" s="41"/>
      <c r="AM326" s="41"/>
      <c r="AN326" s="41">
        <v>7</v>
      </c>
      <c r="AO326" s="41">
        <v>54</v>
      </c>
      <c r="AP326" s="63"/>
      <c r="AQ326" s="63"/>
      <c r="AR326" s="63"/>
      <c r="AS326" s="63"/>
      <c r="AT326" s="63"/>
      <c r="AU326" s="63"/>
      <c r="AV326" s="63"/>
      <c r="AW326" s="63"/>
      <c r="AX326" s="63">
        <v>59</v>
      </c>
      <c r="AY326" s="63"/>
      <c r="AZ326" s="63"/>
      <c r="BA326" s="65"/>
      <c r="BB326" s="65"/>
      <c r="BC326" s="65"/>
      <c r="BD326" s="65"/>
    </row>
    <row r="327" spans="2:56" ht="16.5" customHeight="1" thickBot="1" x14ac:dyDescent="0.3">
      <c r="B327" s="1" t="s">
        <v>3</v>
      </c>
      <c r="C327" s="15">
        <f t="shared" si="35"/>
        <v>0</v>
      </c>
      <c r="E327" s="1" t="s">
        <v>3</v>
      </c>
      <c r="F327" s="73"/>
      <c r="G327" s="67"/>
      <c r="H327" s="67"/>
      <c r="I327" s="68"/>
      <c r="J327" s="66"/>
      <c r="K327" s="67"/>
      <c r="L327" s="67"/>
      <c r="M327" s="67"/>
      <c r="N327" s="66"/>
      <c r="O327" s="68"/>
      <c r="P327" s="66"/>
      <c r="Q327" s="67"/>
      <c r="R327" s="67"/>
      <c r="S327" s="67"/>
      <c r="T327" s="67"/>
      <c r="U327" s="67"/>
      <c r="V327" s="67"/>
      <c r="W327" s="68"/>
      <c r="X327" s="73"/>
      <c r="Y327" s="67"/>
      <c r="Z327" s="67"/>
      <c r="AA327" s="67"/>
      <c r="AB327" s="66"/>
      <c r="AC327" s="67"/>
      <c r="AD327" s="67"/>
      <c r="AE327" s="68"/>
      <c r="AF327" s="67"/>
      <c r="AG327" s="68"/>
      <c r="AH327" s="67"/>
      <c r="AI327" s="67"/>
      <c r="AJ327" s="67"/>
      <c r="AK327" s="67"/>
      <c r="AL327" s="67"/>
      <c r="AM327" s="67"/>
      <c r="AN327" s="67"/>
      <c r="AO327" s="67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9"/>
      <c r="BB327" s="69"/>
      <c r="BC327" s="69"/>
      <c r="BD327" s="69"/>
    </row>
    <row r="328" spans="2:56" ht="21" customHeight="1" x14ac:dyDescent="0.25">
      <c r="B328" s="2"/>
      <c r="C328" s="8">
        <f>SUM(C324:C327)</f>
        <v>122</v>
      </c>
      <c r="F328" s="74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74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</row>
    <row r="329" spans="2:56" x14ac:dyDescent="0.25"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</row>
    <row r="330" spans="2:56" ht="15.75" x14ac:dyDescent="0.25">
      <c r="F330" s="82" t="s">
        <v>17</v>
      </c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3" t="s">
        <v>16</v>
      </c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79"/>
      <c r="AQ330" s="79"/>
      <c r="AR330" s="79"/>
      <c r="AS330" s="79"/>
      <c r="AT330" s="79"/>
      <c r="AU330" s="41"/>
      <c r="AV330" s="41"/>
      <c r="AW330" s="41"/>
      <c r="AX330" s="41"/>
      <c r="AY330" s="41"/>
      <c r="AZ330" s="41"/>
      <c r="BA330" s="41"/>
    </row>
    <row r="331" spans="2:56" ht="32.25" thickBot="1" x14ac:dyDescent="0.3">
      <c r="F331" s="81" t="s">
        <v>9</v>
      </c>
      <c r="G331" s="81"/>
      <c r="H331" s="81"/>
      <c r="I331" s="81"/>
      <c r="J331" s="81" t="s">
        <v>10</v>
      </c>
      <c r="K331" s="81"/>
      <c r="L331" s="81"/>
      <c r="M331" s="81"/>
      <c r="N331" s="81" t="s">
        <v>49</v>
      </c>
      <c r="O331" s="81"/>
      <c r="P331" s="81" t="s">
        <v>11</v>
      </c>
      <c r="Q331" s="81"/>
      <c r="R331" s="81"/>
      <c r="S331" s="81"/>
      <c r="T331" s="81"/>
      <c r="U331" s="81"/>
      <c r="V331" s="81"/>
      <c r="W331" s="81"/>
      <c r="X331" s="81" t="s">
        <v>9</v>
      </c>
      <c r="Y331" s="81"/>
      <c r="Z331" s="81"/>
      <c r="AA331" s="81"/>
      <c r="AB331" s="81" t="s">
        <v>10</v>
      </c>
      <c r="AC331" s="81"/>
      <c r="AD331" s="81"/>
      <c r="AE331" s="81"/>
      <c r="AF331" s="81" t="s">
        <v>49</v>
      </c>
      <c r="AG331" s="81"/>
      <c r="AH331" s="81" t="s">
        <v>11</v>
      </c>
      <c r="AI331" s="81"/>
      <c r="AJ331" s="81"/>
      <c r="AK331" s="81"/>
      <c r="AL331" s="81"/>
      <c r="AM331" s="81"/>
      <c r="AN331" s="81"/>
      <c r="AO331" s="81"/>
      <c r="AP331" s="70" t="s">
        <v>50</v>
      </c>
      <c r="AQ331" s="70" t="s">
        <v>57</v>
      </c>
      <c r="AR331" s="70" t="s">
        <v>63</v>
      </c>
      <c r="AS331" s="70" t="s">
        <v>64</v>
      </c>
      <c r="AT331" s="70" t="s">
        <v>61</v>
      </c>
      <c r="AU331" s="70" t="s">
        <v>54</v>
      </c>
      <c r="AV331" s="70" t="s">
        <v>19</v>
      </c>
      <c r="AW331" s="70" t="s">
        <v>58</v>
      </c>
      <c r="AX331" s="70" t="s">
        <v>51</v>
      </c>
      <c r="AY331" s="70" t="s">
        <v>53</v>
      </c>
      <c r="AZ331" s="70" t="s">
        <v>52</v>
      </c>
      <c r="BA331" s="70" t="s">
        <v>55</v>
      </c>
      <c r="BB331" s="70" t="s">
        <v>56</v>
      </c>
      <c r="BC331" s="70" t="s">
        <v>59</v>
      </c>
      <c r="BD331" s="70" t="s">
        <v>60</v>
      </c>
    </row>
    <row r="332" spans="2:56" ht="16.5" thickBot="1" x14ac:dyDescent="0.3">
      <c r="B332" s="17">
        <v>0.375</v>
      </c>
      <c r="C332" s="7" t="s">
        <v>5</v>
      </c>
      <c r="E332" s="11"/>
      <c r="F332" s="75" t="s">
        <v>15</v>
      </c>
      <c r="G332" s="58" t="s">
        <v>12</v>
      </c>
      <c r="H332" s="58" t="s">
        <v>14</v>
      </c>
      <c r="I332" s="58" t="s">
        <v>13</v>
      </c>
      <c r="J332" s="58" t="s">
        <v>42</v>
      </c>
      <c r="K332" s="58" t="s">
        <v>41</v>
      </c>
      <c r="L332" s="58" t="s">
        <v>43</v>
      </c>
      <c r="M332" s="58" t="s">
        <v>44</v>
      </c>
      <c r="N332" s="58" t="s">
        <v>15</v>
      </c>
      <c r="O332" s="58" t="s">
        <v>14</v>
      </c>
      <c r="P332" s="58" t="s">
        <v>45</v>
      </c>
      <c r="Q332" s="58" t="s">
        <v>46</v>
      </c>
      <c r="R332" s="58" t="s">
        <v>42</v>
      </c>
      <c r="S332" s="58" t="s">
        <v>41</v>
      </c>
      <c r="T332" s="58" t="s">
        <v>47</v>
      </c>
      <c r="U332" s="58" t="s">
        <v>48</v>
      </c>
      <c r="V332" s="58" t="s">
        <v>43</v>
      </c>
      <c r="W332" s="58" t="s">
        <v>44</v>
      </c>
      <c r="X332" s="75" t="s">
        <v>15</v>
      </c>
      <c r="Y332" s="58" t="s">
        <v>12</v>
      </c>
      <c r="Z332" s="58" t="s">
        <v>14</v>
      </c>
      <c r="AA332" s="58" t="s">
        <v>13</v>
      </c>
      <c r="AB332" s="58" t="s">
        <v>42</v>
      </c>
      <c r="AC332" s="58" t="s">
        <v>41</v>
      </c>
      <c r="AD332" s="58" t="s">
        <v>43</v>
      </c>
      <c r="AE332" s="58" t="s">
        <v>44</v>
      </c>
      <c r="AF332" s="58" t="s">
        <v>15</v>
      </c>
      <c r="AG332" s="58" t="s">
        <v>14</v>
      </c>
      <c r="AH332" s="58" t="s">
        <v>45</v>
      </c>
      <c r="AI332" s="58" t="s">
        <v>46</v>
      </c>
      <c r="AJ332" s="58" t="s">
        <v>42</v>
      </c>
      <c r="AK332" s="58" t="s">
        <v>41</v>
      </c>
      <c r="AL332" s="58" t="s">
        <v>47</v>
      </c>
      <c r="AM332" s="58" t="s">
        <v>48</v>
      </c>
      <c r="AN332" s="58" t="s">
        <v>43</v>
      </c>
      <c r="AO332" s="58" t="s">
        <v>44</v>
      </c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</row>
    <row r="333" spans="2:56" ht="16.5" customHeight="1" thickBot="1" x14ac:dyDescent="0.3">
      <c r="B333" s="1" t="s">
        <v>0</v>
      </c>
      <c r="C333" s="13">
        <f>SUM(F333:W333)</f>
        <v>28</v>
      </c>
      <c r="E333" s="10" t="s">
        <v>0</v>
      </c>
      <c r="F333" s="71"/>
      <c r="G333" s="60"/>
      <c r="H333" s="60"/>
      <c r="I333" s="61"/>
      <c r="J333" s="59"/>
      <c r="K333" s="60"/>
      <c r="L333" s="60"/>
      <c r="M333" s="60"/>
      <c r="N333" s="59"/>
      <c r="O333" s="61"/>
      <c r="P333" s="59">
        <v>2</v>
      </c>
      <c r="Q333" s="60">
        <v>2</v>
      </c>
      <c r="R333" s="60">
        <v>6</v>
      </c>
      <c r="S333" s="60">
        <v>3</v>
      </c>
      <c r="T333" s="60">
        <v>4</v>
      </c>
      <c r="U333" s="60">
        <v>4</v>
      </c>
      <c r="V333" s="60"/>
      <c r="W333" s="61">
        <v>7</v>
      </c>
      <c r="X333" s="71"/>
      <c r="Y333" s="60"/>
      <c r="Z333" s="60"/>
      <c r="AA333" s="60"/>
      <c r="AB333" s="59"/>
      <c r="AC333" s="60"/>
      <c r="AD333" s="60"/>
      <c r="AE333" s="61"/>
      <c r="AF333" s="60">
        <v>2</v>
      </c>
      <c r="AG333" s="61"/>
      <c r="AH333" s="60">
        <v>3</v>
      </c>
      <c r="AI333" s="60"/>
      <c r="AJ333" s="60"/>
      <c r="AK333" s="60">
        <v>1</v>
      </c>
      <c r="AL333" s="60">
        <v>2</v>
      </c>
      <c r="AM333" s="60"/>
      <c r="AN333" s="60">
        <v>4</v>
      </c>
      <c r="AO333" s="60">
        <v>16</v>
      </c>
      <c r="AP333" s="59"/>
      <c r="AQ333" s="59">
        <v>2</v>
      </c>
      <c r="AR333" s="59"/>
      <c r="AS333" s="59">
        <v>20</v>
      </c>
      <c r="AT333" s="59"/>
      <c r="AU333" s="59"/>
      <c r="AV333" s="59"/>
      <c r="AW333" s="59"/>
      <c r="AX333" s="59"/>
      <c r="AY333" s="59">
        <v>3</v>
      </c>
      <c r="AZ333" s="59">
        <v>1</v>
      </c>
      <c r="BA333" s="62">
        <v>1</v>
      </c>
      <c r="BB333" s="62">
        <v>15</v>
      </c>
      <c r="BC333" s="62"/>
      <c r="BD333" s="62"/>
    </row>
    <row r="334" spans="2:56" ht="16.5" customHeight="1" thickBot="1" x14ac:dyDescent="0.3">
      <c r="B334" s="1" t="s">
        <v>1</v>
      </c>
      <c r="C334" s="14">
        <f t="shared" ref="C334:C336" si="36">SUM(F334:W334)</f>
        <v>25</v>
      </c>
      <c r="E334" s="1" t="s">
        <v>1</v>
      </c>
      <c r="F334" s="72"/>
      <c r="G334" s="41"/>
      <c r="H334" s="41"/>
      <c r="I334" s="64"/>
      <c r="J334" s="63">
        <v>1</v>
      </c>
      <c r="K334" s="41"/>
      <c r="L334" s="41"/>
      <c r="M334" s="41"/>
      <c r="N334" s="63"/>
      <c r="O334" s="64">
        <v>8</v>
      </c>
      <c r="P334" s="63"/>
      <c r="Q334" s="41">
        <v>1</v>
      </c>
      <c r="R334" s="41">
        <v>5</v>
      </c>
      <c r="S334" s="41">
        <v>4</v>
      </c>
      <c r="T334" s="41">
        <v>2</v>
      </c>
      <c r="U334" s="41"/>
      <c r="V334" s="41"/>
      <c r="W334" s="64">
        <v>4</v>
      </c>
      <c r="X334" s="72"/>
      <c r="Y334" s="41"/>
      <c r="Z334" s="41"/>
      <c r="AA334" s="41"/>
      <c r="AB334" s="63"/>
      <c r="AC334" s="41"/>
      <c r="AD334" s="41"/>
      <c r="AE334" s="64"/>
      <c r="AF334" s="41">
        <v>1</v>
      </c>
      <c r="AG334" s="64"/>
      <c r="AH334" s="41"/>
      <c r="AI334" s="41"/>
      <c r="AJ334" s="41">
        <v>4</v>
      </c>
      <c r="AK334" s="41"/>
      <c r="AL334" s="41"/>
      <c r="AM334" s="41"/>
      <c r="AN334" s="41"/>
      <c r="AO334" s="41">
        <v>20</v>
      </c>
      <c r="AP334" s="63"/>
      <c r="AQ334" s="63">
        <v>1</v>
      </c>
      <c r="AR334" s="63"/>
      <c r="AS334" s="63"/>
      <c r="AT334" s="63"/>
      <c r="AU334" s="63"/>
      <c r="AV334" s="63"/>
      <c r="AW334" s="63"/>
      <c r="AX334" s="63">
        <v>1</v>
      </c>
      <c r="AY334" s="63"/>
      <c r="AZ334" s="63"/>
      <c r="BA334" s="65"/>
      <c r="BB334" s="65">
        <v>20</v>
      </c>
      <c r="BC334" s="65"/>
      <c r="BD334" s="65"/>
    </row>
    <row r="335" spans="2:56" ht="16.5" customHeight="1" thickBot="1" x14ac:dyDescent="0.3">
      <c r="B335" s="1" t="s">
        <v>2</v>
      </c>
      <c r="C335" s="14">
        <f t="shared" si="36"/>
        <v>18</v>
      </c>
      <c r="E335" s="1" t="s">
        <v>2</v>
      </c>
      <c r="F335" s="72"/>
      <c r="G335" s="41"/>
      <c r="H335" s="41"/>
      <c r="I335" s="64"/>
      <c r="J335" s="63"/>
      <c r="K335" s="41"/>
      <c r="L335" s="41"/>
      <c r="M335" s="41"/>
      <c r="N335" s="63"/>
      <c r="O335" s="64">
        <v>2</v>
      </c>
      <c r="P335" s="63"/>
      <c r="Q335" s="41">
        <v>4</v>
      </c>
      <c r="R335" s="41">
        <v>7</v>
      </c>
      <c r="S335" s="41">
        <v>1</v>
      </c>
      <c r="T335" s="41">
        <v>3</v>
      </c>
      <c r="U335" s="41"/>
      <c r="V335" s="41"/>
      <c r="W335" s="64">
        <v>1</v>
      </c>
      <c r="X335" s="72"/>
      <c r="Y335" s="41"/>
      <c r="Z335" s="41"/>
      <c r="AA335" s="41"/>
      <c r="AB335" s="63"/>
      <c r="AC335" s="41"/>
      <c r="AD335" s="41"/>
      <c r="AE335" s="64"/>
      <c r="AF335" s="41"/>
      <c r="AG335" s="64"/>
      <c r="AH335" s="41"/>
      <c r="AI335" s="41"/>
      <c r="AJ335" s="41">
        <v>1</v>
      </c>
      <c r="AK335" s="41"/>
      <c r="AL335" s="41"/>
      <c r="AM335" s="41"/>
      <c r="AN335" s="41"/>
      <c r="AO335" s="41">
        <v>17</v>
      </c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5"/>
      <c r="BB335" s="65">
        <v>17</v>
      </c>
      <c r="BC335" s="65"/>
      <c r="BD335" s="65"/>
    </row>
    <row r="336" spans="2:56" ht="16.5" customHeight="1" thickBot="1" x14ac:dyDescent="0.3">
      <c r="B336" s="1" t="s">
        <v>3</v>
      </c>
      <c r="C336" s="15">
        <f t="shared" si="36"/>
        <v>0</v>
      </c>
      <c r="E336" s="1" t="s">
        <v>3</v>
      </c>
      <c r="F336" s="73"/>
      <c r="G336" s="67"/>
      <c r="H336" s="67"/>
      <c r="I336" s="68"/>
      <c r="J336" s="66"/>
      <c r="K336" s="67"/>
      <c r="L336" s="67"/>
      <c r="M336" s="67"/>
      <c r="N336" s="66"/>
      <c r="O336" s="68"/>
      <c r="P336" s="66"/>
      <c r="Q336" s="67"/>
      <c r="R336" s="67"/>
      <c r="S336" s="67"/>
      <c r="T336" s="67"/>
      <c r="U336" s="67"/>
      <c r="V336" s="67"/>
      <c r="W336" s="68"/>
      <c r="X336" s="73"/>
      <c r="Y336" s="67"/>
      <c r="Z336" s="67"/>
      <c r="AA336" s="67"/>
      <c r="AB336" s="66"/>
      <c r="AC336" s="67"/>
      <c r="AD336" s="67"/>
      <c r="AE336" s="68"/>
      <c r="AF336" s="67"/>
      <c r="AG336" s="68"/>
      <c r="AH336" s="67"/>
      <c r="AI336" s="67"/>
      <c r="AJ336" s="67"/>
      <c r="AK336" s="67"/>
      <c r="AL336" s="67"/>
      <c r="AM336" s="67"/>
      <c r="AN336" s="67"/>
      <c r="AO336" s="67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9"/>
      <c r="BB336" s="69"/>
      <c r="BC336" s="69"/>
      <c r="BD336" s="69"/>
    </row>
    <row r="337" spans="2:57" ht="21" customHeight="1" x14ac:dyDescent="0.25">
      <c r="B337" s="2"/>
      <c r="C337" s="8">
        <f>SUM(C333:C336)</f>
        <v>71</v>
      </c>
      <c r="F337" s="74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74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</row>
    <row r="338" spans="2:57" x14ac:dyDescent="0.25"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</row>
    <row r="339" spans="2:57" ht="15.75" x14ac:dyDescent="0.25">
      <c r="F339" s="82" t="s">
        <v>17</v>
      </c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3" t="s">
        <v>16</v>
      </c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79"/>
      <c r="AQ339" s="79"/>
      <c r="AR339" s="79"/>
      <c r="AS339" s="79"/>
      <c r="AT339" s="79"/>
      <c r="AU339" s="41"/>
      <c r="AV339" s="41"/>
      <c r="AW339" s="41"/>
      <c r="AX339" s="41"/>
      <c r="AY339" s="41"/>
      <c r="AZ339" s="41"/>
      <c r="BA339" s="41"/>
    </row>
    <row r="340" spans="2:57" ht="32.25" thickBot="1" x14ac:dyDescent="0.3">
      <c r="F340" s="81" t="s">
        <v>9</v>
      </c>
      <c r="G340" s="81"/>
      <c r="H340" s="81"/>
      <c r="I340" s="81"/>
      <c r="J340" s="81" t="s">
        <v>10</v>
      </c>
      <c r="K340" s="81"/>
      <c r="L340" s="81"/>
      <c r="M340" s="81"/>
      <c r="N340" s="81" t="s">
        <v>49</v>
      </c>
      <c r="O340" s="81"/>
      <c r="P340" s="81" t="s">
        <v>11</v>
      </c>
      <c r="Q340" s="81"/>
      <c r="R340" s="81"/>
      <c r="S340" s="81"/>
      <c r="T340" s="81"/>
      <c r="U340" s="81"/>
      <c r="V340" s="81"/>
      <c r="W340" s="81"/>
      <c r="X340" s="81" t="s">
        <v>9</v>
      </c>
      <c r="Y340" s="81"/>
      <c r="Z340" s="81"/>
      <c r="AA340" s="81"/>
      <c r="AB340" s="81" t="s">
        <v>10</v>
      </c>
      <c r="AC340" s="81"/>
      <c r="AD340" s="81"/>
      <c r="AE340" s="81"/>
      <c r="AF340" s="81" t="s">
        <v>49</v>
      </c>
      <c r="AG340" s="81"/>
      <c r="AH340" s="81" t="s">
        <v>11</v>
      </c>
      <c r="AI340" s="81"/>
      <c r="AJ340" s="81"/>
      <c r="AK340" s="81"/>
      <c r="AL340" s="81"/>
      <c r="AM340" s="81"/>
      <c r="AN340" s="81"/>
      <c r="AO340" s="81"/>
      <c r="AP340" s="70" t="s">
        <v>50</v>
      </c>
      <c r="AQ340" s="70" t="s">
        <v>57</v>
      </c>
      <c r="AR340" s="70" t="s">
        <v>63</v>
      </c>
      <c r="AS340" s="70" t="s">
        <v>64</v>
      </c>
      <c r="AT340" s="70" t="s">
        <v>61</v>
      </c>
      <c r="AU340" s="70" t="s">
        <v>54</v>
      </c>
      <c r="AV340" s="70" t="s">
        <v>19</v>
      </c>
      <c r="AW340" s="70" t="s">
        <v>58</v>
      </c>
      <c r="AX340" s="70" t="s">
        <v>51</v>
      </c>
      <c r="AY340" s="70" t="s">
        <v>53</v>
      </c>
      <c r="AZ340" s="70" t="s">
        <v>52</v>
      </c>
      <c r="BA340" s="70" t="s">
        <v>55</v>
      </c>
      <c r="BB340" s="70" t="s">
        <v>56</v>
      </c>
      <c r="BC340" s="70" t="s">
        <v>59</v>
      </c>
      <c r="BD340" s="70" t="s">
        <v>60</v>
      </c>
      <c r="BE340" s="76"/>
    </row>
    <row r="341" spans="2:57" ht="16.5" thickBot="1" x14ac:dyDescent="0.3">
      <c r="B341" s="17">
        <v>0.38541666666666669</v>
      </c>
      <c r="C341" s="7" t="s">
        <v>5</v>
      </c>
      <c r="E341" s="11"/>
      <c r="F341" s="75" t="s">
        <v>15</v>
      </c>
      <c r="G341" s="58" t="s">
        <v>12</v>
      </c>
      <c r="H341" s="58" t="s">
        <v>14</v>
      </c>
      <c r="I341" s="58" t="s">
        <v>13</v>
      </c>
      <c r="J341" s="58" t="s">
        <v>42</v>
      </c>
      <c r="K341" s="58" t="s">
        <v>41</v>
      </c>
      <c r="L341" s="58" t="s">
        <v>43</v>
      </c>
      <c r="M341" s="58" t="s">
        <v>44</v>
      </c>
      <c r="N341" s="58" t="s">
        <v>15</v>
      </c>
      <c r="O341" s="58" t="s">
        <v>14</v>
      </c>
      <c r="P341" s="58" t="s">
        <v>45</v>
      </c>
      <c r="Q341" s="58" t="s">
        <v>46</v>
      </c>
      <c r="R341" s="58" t="s">
        <v>42</v>
      </c>
      <c r="S341" s="58" t="s">
        <v>41</v>
      </c>
      <c r="T341" s="58" t="s">
        <v>47</v>
      </c>
      <c r="U341" s="58" t="s">
        <v>48</v>
      </c>
      <c r="V341" s="58" t="s">
        <v>43</v>
      </c>
      <c r="W341" s="58" t="s">
        <v>44</v>
      </c>
      <c r="X341" s="75" t="s">
        <v>15</v>
      </c>
      <c r="Y341" s="58" t="s">
        <v>12</v>
      </c>
      <c r="Z341" s="58" t="s">
        <v>14</v>
      </c>
      <c r="AA341" s="58" t="s">
        <v>13</v>
      </c>
      <c r="AB341" s="58" t="s">
        <v>42</v>
      </c>
      <c r="AC341" s="58" t="s">
        <v>41</v>
      </c>
      <c r="AD341" s="58" t="s">
        <v>43</v>
      </c>
      <c r="AE341" s="58" t="s">
        <v>44</v>
      </c>
      <c r="AF341" s="58" t="s">
        <v>15</v>
      </c>
      <c r="AG341" s="58" t="s">
        <v>14</v>
      </c>
      <c r="AH341" s="58" t="s">
        <v>45</v>
      </c>
      <c r="AI341" s="58" t="s">
        <v>46</v>
      </c>
      <c r="AJ341" s="58" t="s">
        <v>42</v>
      </c>
      <c r="AK341" s="58" t="s">
        <v>41</v>
      </c>
      <c r="AL341" s="58" t="s">
        <v>47</v>
      </c>
      <c r="AM341" s="58" t="s">
        <v>48</v>
      </c>
      <c r="AN341" s="58" t="s">
        <v>43</v>
      </c>
      <c r="AO341" s="58" t="s">
        <v>44</v>
      </c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</row>
    <row r="342" spans="2:57" ht="16.5" customHeight="1" thickBot="1" x14ac:dyDescent="0.3">
      <c r="B342" s="1" t="s">
        <v>0</v>
      </c>
      <c r="C342" s="13">
        <f>SUM(F342:W342)</f>
        <v>4</v>
      </c>
      <c r="E342" s="10" t="s">
        <v>0</v>
      </c>
      <c r="F342" s="71"/>
      <c r="G342" s="60"/>
      <c r="H342" s="60"/>
      <c r="I342" s="61"/>
      <c r="J342" s="59"/>
      <c r="K342" s="60"/>
      <c r="L342" s="60"/>
      <c r="M342" s="60"/>
      <c r="N342" s="59"/>
      <c r="O342" s="61"/>
      <c r="P342" s="59"/>
      <c r="Q342" s="60">
        <v>2</v>
      </c>
      <c r="R342" s="60"/>
      <c r="S342" s="60"/>
      <c r="T342" s="60"/>
      <c r="U342" s="60">
        <v>2</v>
      </c>
      <c r="V342" s="60"/>
      <c r="W342" s="61"/>
      <c r="X342" s="71"/>
      <c r="Y342" s="60"/>
      <c r="Z342" s="60"/>
      <c r="AA342" s="60"/>
      <c r="AB342" s="59"/>
      <c r="AC342" s="60"/>
      <c r="AD342" s="60"/>
      <c r="AE342" s="61"/>
      <c r="AF342" s="60">
        <v>2</v>
      </c>
      <c r="AG342" s="61"/>
      <c r="AH342" s="60"/>
      <c r="AI342" s="60"/>
      <c r="AJ342" s="60"/>
      <c r="AK342" s="60"/>
      <c r="AL342" s="60">
        <v>2</v>
      </c>
      <c r="AM342" s="60"/>
      <c r="AN342" s="60"/>
      <c r="AO342" s="60"/>
      <c r="AP342" s="59"/>
      <c r="AQ342" s="59">
        <v>1</v>
      </c>
      <c r="AR342" s="59"/>
      <c r="AS342" s="59"/>
      <c r="AT342" s="59"/>
      <c r="AU342" s="59"/>
      <c r="AV342" s="59"/>
      <c r="AW342" s="59"/>
      <c r="AX342" s="59"/>
      <c r="AY342" s="59">
        <v>1</v>
      </c>
      <c r="AZ342" s="59">
        <v>2</v>
      </c>
      <c r="BA342" s="62">
        <v>1</v>
      </c>
      <c r="BB342" s="62"/>
      <c r="BC342" s="62"/>
      <c r="BD342" s="62"/>
    </row>
    <row r="343" spans="2:57" ht="16.5" customHeight="1" thickBot="1" x14ac:dyDescent="0.3">
      <c r="B343" s="1" t="s">
        <v>1</v>
      </c>
      <c r="C343" s="14">
        <f t="shared" ref="C343:C345" si="37">SUM(F343:W343)</f>
        <v>0</v>
      </c>
      <c r="E343" s="1" t="s">
        <v>1</v>
      </c>
      <c r="F343" s="72"/>
      <c r="G343" s="41"/>
      <c r="H343" s="41"/>
      <c r="I343" s="64"/>
      <c r="J343" s="63"/>
      <c r="K343" s="41"/>
      <c r="L343" s="41"/>
      <c r="M343" s="41"/>
      <c r="N343" s="63"/>
      <c r="O343" s="64"/>
      <c r="P343" s="63"/>
      <c r="Q343" s="41"/>
      <c r="R343" s="41"/>
      <c r="S343" s="41"/>
      <c r="T343" s="41"/>
      <c r="U343" s="41"/>
      <c r="V343" s="41"/>
      <c r="W343" s="64"/>
      <c r="X343" s="72"/>
      <c r="Y343" s="41"/>
      <c r="Z343" s="41"/>
      <c r="AA343" s="41"/>
      <c r="AB343" s="63"/>
      <c r="AC343" s="41"/>
      <c r="AD343" s="41"/>
      <c r="AE343" s="64"/>
      <c r="AF343" s="41"/>
      <c r="AG343" s="64"/>
      <c r="AH343" s="41"/>
      <c r="AI343" s="41"/>
      <c r="AJ343" s="41"/>
      <c r="AK343" s="41"/>
      <c r="AL343" s="41"/>
      <c r="AM343" s="41"/>
      <c r="AN343" s="41"/>
      <c r="AO343" s="41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5"/>
      <c r="BB343" s="65"/>
      <c r="BC343" s="65"/>
      <c r="BD343" s="65"/>
    </row>
    <row r="344" spans="2:57" ht="16.5" customHeight="1" thickBot="1" x14ac:dyDescent="0.3">
      <c r="B344" s="1" t="s">
        <v>2</v>
      </c>
      <c r="C344" s="14">
        <f t="shared" si="37"/>
        <v>0</v>
      </c>
      <c r="E344" s="1" t="s">
        <v>2</v>
      </c>
      <c r="F344" s="72"/>
      <c r="G344" s="41"/>
      <c r="H344" s="41"/>
      <c r="I344" s="64"/>
      <c r="J344" s="63"/>
      <c r="K344" s="41"/>
      <c r="L344" s="41"/>
      <c r="M344" s="41"/>
      <c r="N344" s="63"/>
      <c r="O344" s="64"/>
      <c r="P344" s="63"/>
      <c r="Q344" s="41"/>
      <c r="R344" s="41"/>
      <c r="S344" s="41"/>
      <c r="T344" s="41"/>
      <c r="U344" s="41"/>
      <c r="V344" s="41"/>
      <c r="W344" s="64"/>
      <c r="X344" s="72"/>
      <c r="Y344" s="41"/>
      <c r="Z344" s="41"/>
      <c r="AA344" s="41"/>
      <c r="AB344" s="63"/>
      <c r="AC344" s="41"/>
      <c r="AD344" s="41"/>
      <c r="AE344" s="64"/>
      <c r="AF344" s="41"/>
      <c r="AG344" s="64"/>
      <c r="AH344" s="41"/>
      <c r="AI344" s="41"/>
      <c r="AJ344" s="41"/>
      <c r="AK344" s="41"/>
      <c r="AL344" s="41"/>
      <c r="AM344" s="41"/>
      <c r="AN344" s="41"/>
      <c r="AO344" s="41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5"/>
      <c r="BB344" s="65"/>
      <c r="BC344" s="65"/>
      <c r="BD344" s="65"/>
    </row>
    <row r="345" spans="2:57" ht="16.5" customHeight="1" thickBot="1" x14ac:dyDescent="0.3">
      <c r="B345" s="1" t="s">
        <v>3</v>
      </c>
      <c r="C345" s="15">
        <f t="shared" si="37"/>
        <v>0</v>
      </c>
      <c r="E345" s="1" t="s">
        <v>3</v>
      </c>
      <c r="F345" s="73"/>
      <c r="G345" s="67"/>
      <c r="H345" s="67"/>
      <c r="I345" s="68"/>
      <c r="J345" s="66"/>
      <c r="K345" s="67"/>
      <c r="L345" s="67"/>
      <c r="M345" s="67"/>
      <c r="N345" s="66"/>
      <c r="O345" s="68"/>
      <c r="P345" s="66"/>
      <c r="Q345" s="67"/>
      <c r="R345" s="67"/>
      <c r="S345" s="67"/>
      <c r="T345" s="67"/>
      <c r="U345" s="67"/>
      <c r="V345" s="67"/>
      <c r="W345" s="68"/>
      <c r="X345" s="73"/>
      <c r="Y345" s="67"/>
      <c r="Z345" s="67"/>
      <c r="AA345" s="67"/>
      <c r="AB345" s="66"/>
      <c r="AC345" s="67"/>
      <c r="AD345" s="67"/>
      <c r="AE345" s="68"/>
      <c r="AF345" s="67"/>
      <c r="AG345" s="68"/>
      <c r="AH345" s="67"/>
      <c r="AI345" s="67"/>
      <c r="AJ345" s="67"/>
      <c r="AK345" s="67"/>
      <c r="AL345" s="67"/>
      <c r="AM345" s="67"/>
      <c r="AN345" s="67"/>
      <c r="AO345" s="67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9"/>
      <c r="BB345" s="69"/>
      <c r="BC345" s="69"/>
      <c r="BD345" s="69"/>
    </row>
    <row r="346" spans="2:57" ht="21" customHeight="1" x14ac:dyDescent="0.25">
      <c r="B346" s="2"/>
      <c r="C346" s="8">
        <f>SUM(C342:C345)</f>
        <v>4</v>
      </c>
      <c r="F346" s="74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74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</row>
    <row r="347" spans="2:57" x14ac:dyDescent="0.25"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</row>
    <row r="348" spans="2:57" ht="15.75" x14ac:dyDescent="0.25">
      <c r="F348" s="82" t="s">
        <v>17</v>
      </c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3" t="s">
        <v>16</v>
      </c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79"/>
      <c r="AQ348" s="79"/>
      <c r="AR348" s="79"/>
      <c r="AS348" s="79"/>
      <c r="AT348" s="79"/>
      <c r="AU348" s="41"/>
      <c r="AV348" s="41"/>
      <c r="AW348" s="41"/>
      <c r="AX348" s="41"/>
      <c r="AY348" s="41"/>
      <c r="AZ348" s="41"/>
      <c r="BA348" s="41"/>
    </row>
    <row r="349" spans="2:57" ht="32.25" thickBot="1" x14ac:dyDescent="0.3">
      <c r="F349" s="81" t="s">
        <v>9</v>
      </c>
      <c r="G349" s="81"/>
      <c r="H349" s="81"/>
      <c r="I349" s="81"/>
      <c r="J349" s="81" t="s">
        <v>10</v>
      </c>
      <c r="K349" s="81"/>
      <c r="L349" s="81"/>
      <c r="M349" s="81"/>
      <c r="N349" s="81" t="s">
        <v>49</v>
      </c>
      <c r="O349" s="81"/>
      <c r="P349" s="81" t="s">
        <v>11</v>
      </c>
      <c r="Q349" s="81"/>
      <c r="R349" s="81"/>
      <c r="S349" s="81"/>
      <c r="T349" s="81"/>
      <c r="U349" s="81"/>
      <c r="V349" s="81"/>
      <c r="W349" s="81"/>
      <c r="X349" s="81" t="s">
        <v>9</v>
      </c>
      <c r="Y349" s="81"/>
      <c r="Z349" s="81"/>
      <c r="AA349" s="81"/>
      <c r="AB349" s="81" t="s">
        <v>10</v>
      </c>
      <c r="AC349" s="81"/>
      <c r="AD349" s="81"/>
      <c r="AE349" s="81"/>
      <c r="AF349" s="81" t="s">
        <v>49</v>
      </c>
      <c r="AG349" s="81"/>
      <c r="AH349" s="81" t="s">
        <v>11</v>
      </c>
      <c r="AI349" s="81"/>
      <c r="AJ349" s="81"/>
      <c r="AK349" s="81"/>
      <c r="AL349" s="81"/>
      <c r="AM349" s="81"/>
      <c r="AN349" s="81"/>
      <c r="AO349" s="81"/>
      <c r="AP349" s="70" t="s">
        <v>50</v>
      </c>
      <c r="AQ349" s="70" t="s">
        <v>57</v>
      </c>
      <c r="AR349" s="70" t="s">
        <v>63</v>
      </c>
      <c r="AS349" s="70" t="s">
        <v>64</v>
      </c>
      <c r="AT349" s="70" t="s">
        <v>61</v>
      </c>
      <c r="AU349" s="70" t="s">
        <v>54</v>
      </c>
      <c r="AV349" s="70" t="s">
        <v>19</v>
      </c>
      <c r="AW349" s="70" t="s">
        <v>58</v>
      </c>
      <c r="AX349" s="70" t="s">
        <v>51</v>
      </c>
      <c r="AY349" s="70" t="s">
        <v>53</v>
      </c>
      <c r="AZ349" s="70" t="s">
        <v>52</v>
      </c>
      <c r="BA349" s="70" t="s">
        <v>55</v>
      </c>
      <c r="BB349" s="70" t="s">
        <v>56</v>
      </c>
      <c r="BC349" s="70" t="s">
        <v>59</v>
      </c>
      <c r="BD349" s="70" t="s">
        <v>60</v>
      </c>
    </row>
    <row r="350" spans="2:57" ht="16.5" thickBot="1" x14ac:dyDescent="0.3">
      <c r="B350" s="17">
        <v>0.39583333333333331</v>
      </c>
      <c r="C350" s="7" t="s">
        <v>5</v>
      </c>
      <c r="E350" s="11"/>
      <c r="F350" s="75" t="s">
        <v>15</v>
      </c>
      <c r="G350" s="58" t="s">
        <v>12</v>
      </c>
      <c r="H350" s="58" t="s">
        <v>14</v>
      </c>
      <c r="I350" s="58" t="s">
        <v>13</v>
      </c>
      <c r="J350" s="58" t="s">
        <v>42</v>
      </c>
      <c r="K350" s="58" t="s">
        <v>41</v>
      </c>
      <c r="L350" s="58" t="s">
        <v>43</v>
      </c>
      <c r="M350" s="58" t="s">
        <v>44</v>
      </c>
      <c r="N350" s="58" t="s">
        <v>15</v>
      </c>
      <c r="O350" s="58" t="s">
        <v>14</v>
      </c>
      <c r="P350" s="58" t="s">
        <v>45</v>
      </c>
      <c r="Q350" s="58" t="s">
        <v>46</v>
      </c>
      <c r="R350" s="58" t="s">
        <v>42</v>
      </c>
      <c r="S350" s="58" t="s">
        <v>41</v>
      </c>
      <c r="T350" s="58" t="s">
        <v>47</v>
      </c>
      <c r="U350" s="58" t="s">
        <v>48</v>
      </c>
      <c r="V350" s="58" t="s">
        <v>43</v>
      </c>
      <c r="W350" s="58" t="s">
        <v>44</v>
      </c>
      <c r="X350" s="75" t="s">
        <v>15</v>
      </c>
      <c r="Y350" s="58" t="s">
        <v>12</v>
      </c>
      <c r="Z350" s="58" t="s">
        <v>14</v>
      </c>
      <c r="AA350" s="58" t="s">
        <v>13</v>
      </c>
      <c r="AB350" s="58" t="s">
        <v>42</v>
      </c>
      <c r="AC350" s="58" t="s">
        <v>41</v>
      </c>
      <c r="AD350" s="58" t="s">
        <v>43</v>
      </c>
      <c r="AE350" s="58" t="s">
        <v>44</v>
      </c>
      <c r="AF350" s="58" t="s">
        <v>15</v>
      </c>
      <c r="AG350" s="58" t="s">
        <v>14</v>
      </c>
      <c r="AH350" s="58" t="s">
        <v>45</v>
      </c>
      <c r="AI350" s="58" t="s">
        <v>46</v>
      </c>
      <c r="AJ350" s="58" t="s">
        <v>42</v>
      </c>
      <c r="AK350" s="58" t="s">
        <v>41</v>
      </c>
      <c r="AL350" s="58" t="s">
        <v>47</v>
      </c>
      <c r="AM350" s="58" t="s">
        <v>48</v>
      </c>
      <c r="AN350" s="58" t="s">
        <v>43</v>
      </c>
      <c r="AO350" s="58" t="s">
        <v>44</v>
      </c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</row>
    <row r="351" spans="2:57" ht="16.5" customHeight="1" thickBot="1" x14ac:dyDescent="0.3">
      <c r="B351" s="1" t="s">
        <v>0</v>
      </c>
      <c r="C351" s="13">
        <f>SUM(F351:W351)</f>
        <v>1</v>
      </c>
      <c r="E351" s="10" t="s">
        <v>0</v>
      </c>
      <c r="F351" s="71"/>
      <c r="G351" s="60"/>
      <c r="H351" s="60"/>
      <c r="I351" s="61"/>
      <c r="J351" s="59"/>
      <c r="K351" s="60"/>
      <c r="L351" s="60"/>
      <c r="M351" s="60"/>
      <c r="N351" s="59"/>
      <c r="O351" s="61"/>
      <c r="P351" s="59"/>
      <c r="Q351" s="60"/>
      <c r="R351" s="60"/>
      <c r="S351" s="60"/>
      <c r="T351" s="60"/>
      <c r="U351" s="60"/>
      <c r="V351" s="60"/>
      <c r="W351" s="61">
        <v>1</v>
      </c>
      <c r="X351" s="71"/>
      <c r="Y351" s="60"/>
      <c r="Z351" s="60"/>
      <c r="AA351" s="60"/>
      <c r="AB351" s="59"/>
      <c r="AC351" s="60"/>
      <c r="AD351" s="60"/>
      <c r="AE351" s="61"/>
      <c r="AF351" s="60"/>
      <c r="AG351" s="61"/>
      <c r="AH351" s="60"/>
      <c r="AI351" s="60"/>
      <c r="AJ351" s="60"/>
      <c r="AK351" s="60"/>
      <c r="AL351" s="60">
        <v>1</v>
      </c>
      <c r="AM351" s="60"/>
      <c r="AN351" s="60"/>
      <c r="AO351" s="60"/>
      <c r="AP351" s="59">
        <v>1</v>
      </c>
      <c r="AQ351" s="59">
        <v>1</v>
      </c>
      <c r="AR351" s="59"/>
      <c r="AS351" s="59"/>
      <c r="AT351" s="59"/>
      <c r="AU351" s="59"/>
      <c r="AV351" s="59"/>
      <c r="AW351" s="59"/>
      <c r="AX351" s="59"/>
      <c r="AY351" s="59"/>
      <c r="AZ351" s="59"/>
      <c r="BA351" s="62"/>
      <c r="BB351" s="62">
        <v>1</v>
      </c>
      <c r="BC351" s="62"/>
      <c r="BD351" s="62"/>
    </row>
    <row r="352" spans="2:57" ht="16.5" customHeight="1" thickBot="1" x14ac:dyDescent="0.3">
      <c r="B352" s="1" t="s">
        <v>1</v>
      </c>
      <c r="C352" s="14">
        <f t="shared" ref="C352:C354" si="38">SUM(F352:W352)</f>
        <v>0</v>
      </c>
      <c r="E352" s="1" t="s">
        <v>1</v>
      </c>
      <c r="F352" s="72"/>
      <c r="G352" s="41"/>
      <c r="H352" s="41"/>
      <c r="I352" s="64"/>
      <c r="J352" s="63"/>
      <c r="K352" s="41"/>
      <c r="L352" s="41"/>
      <c r="M352" s="41"/>
      <c r="N352" s="63"/>
      <c r="O352" s="64"/>
      <c r="P352" s="63"/>
      <c r="Q352" s="41"/>
      <c r="R352" s="41"/>
      <c r="S352" s="41"/>
      <c r="T352" s="41"/>
      <c r="U352" s="41"/>
      <c r="V352" s="41"/>
      <c r="W352" s="64"/>
      <c r="X352" s="72"/>
      <c r="Y352" s="41"/>
      <c r="Z352" s="41"/>
      <c r="AA352" s="41"/>
      <c r="AB352" s="63"/>
      <c r="AC352" s="41"/>
      <c r="AD352" s="41"/>
      <c r="AE352" s="64"/>
      <c r="AF352" s="41"/>
      <c r="AG352" s="64"/>
      <c r="AH352" s="41"/>
      <c r="AI352" s="41"/>
      <c r="AJ352" s="41"/>
      <c r="AK352" s="41"/>
      <c r="AL352" s="41"/>
      <c r="AM352" s="41"/>
      <c r="AN352" s="41"/>
      <c r="AO352" s="41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5"/>
      <c r="BB352" s="65"/>
      <c r="BC352" s="65"/>
      <c r="BD352" s="65"/>
    </row>
    <row r="353" spans="2:56" ht="16.5" customHeight="1" thickBot="1" x14ac:dyDescent="0.3">
      <c r="B353" s="1" t="s">
        <v>2</v>
      </c>
      <c r="C353" s="14">
        <f t="shared" si="38"/>
        <v>0</v>
      </c>
      <c r="E353" s="1" t="s">
        <v>2</v>
      </c>
      <c r="F353" s="72"/>
      <c r="G353" s="41"/>
      <c r="H353" s="41"/>
      <c r="I353" s="64"/>
      <c r="J353" s="63"/>
      <c r="K353" s="41"/>
      <c r="L353" s="41"/>
      <c r="M353" s="41"/>
      <c r="N353" s="63"/>
      <c r="O353" s="64"/>
      <c r="P353" s="63"/>
      <c r="Q353" s="41"/>
      <c r="R353" s="41"/>
      <c r="S353" s="41"/>
      <c r="T353" s="41"/>
      <c r="U353" s="41"/>
      <c r="V353" s="41"/>
      <c r="W353" s="64"/>
      <c r="X353" s="72"/>
      <c r="Y353" s="41"/>
      <c r="Z353" s="41"/>
      <c r="AA353" s="41"/>
      <c r="AB353" s="63"/>
      <c r="AC353" s="41"/>
      <c r="AD353" s="41"/>
      <c r="AE353" s="64"/>
      <c r="AF353" s="41"/>
      <c r="AG353" s="64"/>
      <c r="AH353" s="41"/>
      <c r="AI353" s="41"/>
      <c r="AJ353" s="41"/>
      <c r="AK353" s="41"/>
      <c r="AL353" s="41"/>
      <c r="AM353" s="41"/>
      <c r="AN353" s="41"/>
      <c r="AO353" s="41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5"/>
      <c r="BB353" s="65"/>
      <c r="BC353" s="65"/>
      <c r="BD353" s="65"/>
    </row>
    <row r="354" spans="2:56" ht="16.5" customHeight="1" thickBot="1" x14ac:dyDescent="0.3">
      <c r="B354" s="1" t="s">
        <v>3</v>
      </c>
      <c r="C354" s="15">
        <f t="shared" si="38"/>
        <v>0</v>
      </c>
      <c r="E354" s="1" t="s">
        <v>3</v>
      </c>
      <c r="F354" s="73"/>
      <c r="G354" s="67"/>
      <c r="H354" s="67"/>
      <c r="I354" s="68"/>
      <c r="J354" s="66"/>
      <c r="K354" s="67"/>
      <c r="L354" s="67"/>
      <c r="M354" s="67"/>
      <c r="N354" s="66"/>
      <c r="O354" s="68"/>
      <c r="P354" s="66"/>
      <c r="Q354" s="67"/>
      <c r="R354" s="67"/>
      <c r="S354" s="67"/>
      <c r="T354" s="67"/>
      <c r="U354" s="67"/>
      <c r="V354" s="67"/>
      <c r="W354" s="68"/>
      <c r="X354" s="73"/>
      <c r="Y354" s="67"/>
      <c r="Z354" s="67"/>
      <c r="AA354" s="67"/>
      <c r="AB354" s="66"/>
      <c r="AC354" s="67"/>
      <c r="AD354" s="67"/>
      <c r="AE354" s="68"/>
      <c r="AF354" s="67"/>
      <c r="AG354" s="68"/>
      <c r="AH354" s="67"/>
      <c r="AI354" s="67"/>
      <c r="AJ354" s="67"/>
      <c r="AK354" s="67"/>
      <c r="AL354" s="67"/>
      <c r="AM354" s="67"/>
      <c r="AN354" s="67"/>
      <c r="AO354" s="67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9"/>
      <c r="BB354" s="69"/>
      <c r="BC354" s="69"/>
      <c r="BD354" s="69"/>
    </row>
    <row r="355" spans="2:56" ht="21" customHeight="1" x14ac:dyDescent="0.25">
      <c r="B355" s="2"/>
      <c r="C355" s="8">
        <f>SUM(C351:C354)</f>
        <v>1</v>
      </c>
      <c r="F355" s="74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74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</row>
    <row r="356" spans="2:56" x14ac:dyDescent="0.25"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</row>
    <row r="357" spans="2:56" ht="15.75" x14ac:dyDescent="0.25">
      <c r="F357" s="82" t="s">
        <v>17</v>
      </c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3" t="s">
        <v>16</v>
      </c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79"/>
      <c r="AQ357" s="79"/>
      <c r="AR357" s="79"/>
      <c r="AS357" s="79"/>
      <c r="AT357" s="79"/>
      <c r="AU357" s="41"/>
      <c r="AV357" s="41"/>
      <c r="AW357" s="41"/>
      <c r="AX357" s="41"/>
      <c r="AY357" s="41"/>
      <c r="AZ357" s="41"/>
      <c r="BA357" s="41"/>
    </row>
    <row r="358" spans="2:56" ht="32.25" thickBot="1" x14ac:dyDescent="0.3">
      <c r="F358" s="81" t="s">
        <v>9</v>
      </c>
      <c r="G358" s="81"/>
      <c r="H358" s="81"/>
      <c r="I358" s="81"/>
      <c r="J358" s="81" t="s">
        <v>10</v>
      </c>
      <c r="K358" s="81"/>
      <c r="L358" s="81"/>
      <c r="M358" s="81"/>
      <c r="N358" s="81" t="s">
        <v>49</v>
      </c>
      <c r="O358" s="81"/>
      <c r="P358" s="81" t="s">
        <v>11</v>
      </c>
      <c r="Q358" s="81"/>
      <c r="R358" s="81"/>
      <c r="S358" s="81"/>
      <c r="T358" s="81"/>
      <c r="U358" s="81"/>
      <c r="V358" s="81"/>
      <c r="W358" s="81"/>
      <c r="X358" s="81" t="s">
        <v>9</v>
      </c>
      <c r="Y358" s="81"/>
      <c r="Z358" s="81"/>
      <c r="AA358" s="81"/>
      <c r="AB358" s="81" t="s">
        <v>10</v>
      </c>
      <c r="AC358" s="81"/>
      <c r="AD358" s="81"/>
      <c r="AE358" s="81"/>
      <c r="AF358" s="81" t="s">
        <v>49</v>
      </c>
      <c r="AG358" s="81"/>
      <c r="AH358" s="81" t="s">
        <v>11</v>
      </c>
      <c r="AI358" s="81"/>
      <c r="AJ358" s="81"/>
      <c r="AK358" s="81"/>
      <c r="AL358" s="81"/>
      <c r="AM358" s="81"/>
      <c r="AN358" s="81"/>
      <c r="AO358" s="81"/>
      <c r="AP358" s="70" t="s">
        <v>50</v>
      </c>
      <c r="AQ358" s="70" t="s">
        <v>57</v>
      </c>
      <c r="AR358" s="70" t="s">
        <v>63</v>
      </c>
      <c r="AS358" s="70" t="s">
        <v>64</v>
      </c>
      <c r="AT358" s="70" t="s">
        <v>61</v>
      </c>
      <c r="AU358" s="70" t="s">
        <v>54</v>
      </c>
      <c r="AV358" s="70" t="s">
        <v>19</v>
      </c>
      <c r="AW358" s="70" t="s">
        <v>58</v>
      </c>
      <c r="AX358" s="70" t="s">
        <v>72</v>
      </c>
      <c r="AY358" s="70" t="s">
        <v>53</v>
      </c>
      <c r="AZ358" s="70" t="s">
        <v>52</v>
      </c>
      <c r="BA358" s="70" t="s">
        <v>55</v>
      </c>
      <c r="BB358" s="70" t="s">
        <v>56</v>
      </c>
      <c r="BC358" s="70" t="s">
        <v>59</v>
      </c>
      <c r="BD358" s="70" t="s">
        <v>60</v>
      </c>
    </row>
    <row r="359" spans="2:56" ht="16.5" thickBot="1" x14ac:dyDescent="0.3">
      <c r="B359" s="17">
        <v>0.40625</v>
      </c>
      <c r="C359" s="7" t="s">
        <v>5</v>
      </c>
      <c r="E359" s="11"/>
      <c r="F359" s="75" t="s">
        <v>15</v>
      </c>
      <c r="G359" s="58" t="s">
        <v>12</v>
      </c>
      <c r="H359" s="58" t="s">
        <v>14</v>
      </c>
      <c r="I359" s="58" t="s">
        <v>13</v>
      </c>
      <c r="J359" s="58" t="s">
        <v>42</v>
      </c>
      <c r="K359" s="58" t="s">
        <v>41</v>
      </c>
      <c r="L359" s="58" t="s">
        <v>43</v>
      </c>
      <c r="M359" s="58" t="s">
        <v>44</v>
      </c>
      <c r="N359" s="58" t="s">
        <v>15</v>
      </c>
      <c r="O359" s="58" t="s">
        <v>14</v>
      </c>
      <c r="P359" s="58" t="s">
        <v>45</v>
      </c>
      <c r="Q359" s="58" t="s">
        <v>46</v>
      </c>
      <c r="R359" s="58" t="s">
        <v>42</v>
      </c>
      <c r="S359" s="58" t="s">
        <v>41</v>
      </c>
      <c r="T359" s="58" t="s">
        <v>47</v>
      </c>
      <c r="U359" s="58" t="s">
        <v>48</v>
      </c>
      <c r="V359" s="58" t="s">
        <v>43</v>
      </c>
      <c r="W359" s="58" t="s">
        <v>44</v>
      </c>
      <c r="X359" s="75" t="s">
        <v>15</v>
      </c>
      <c r="Y359" s="58" t="s">
        <v>12</v>
      </c>
      <c r="Z359" s="58" t="s">
        <v>14</v>
      </c>
      <c r="AA359" s="58" t="s">
        <v>13</v>
      </c>
      <c r="AB359" s="58" t="s">
        <v>42</v>
      </c>
      <c r="AC359" s="58" t="s">
        <v>41</v>
      </c>
      <c r="AD359" s="58" t="s">
        <v>43</v>
      </c>
      <c r="AE359" s="58" t="s">
        <v>44</v>
      </c>
      <c r="AF359" s="58" t="s">
        <v>15</v>
      </c>
      <c r="AG359" s="58" t="s">
        <v>14</v>
      </c>
      <c r="AH359" s="58" t="s">
        <v>45</v>
      </c>
      <c r="AI359" s="58" t="s">
        <v>46</v>
      </c>
      <c r="AJ359" s="58" t="s">
        <v>42</v>
      </c>
      <c r="AK359" s="58" t="s">
        <v>41</v>
      </c>
      <c r="AL359" s="58" t="s">
        <v>47</v>
      </c>
      <c r="AM359" s="58" t="s">
        <v>48</v>
      </c>
      <c r="AN359" s="58" t="s">
        <v>43</v>
      </c>
      <c r="AO359" s="58" t="s">
        <v>44</v>
      </c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</row>
    <row r="360" spans="2:56" ht="16.5" customHeight="1" thickBot="1" x14ac:dyDescent="0.3">
      <c r="B360" s="1" t="s">
        <v>0</v>
      </c>
      <c r="C360" s="13">
        <f>SUM(F360:W360)</f>
        <v>9</v>
      </c>
      <c r="E360" s="10" t="s">
        <v>0</v>
      </c>
      <c r="F360" s="71"/>
      <c r="G360" s="60"/>
      <c r="H360" s="60"/>
      <c r="I360" s="61"/>
      <c r="J360" s="59"/>
      <c r="K360" s="60"/>
      <c r="L360" s="60"/>
      <c r="M360" s="60"/>
      <c r="N360" s="59"/>
      <c r="O360" s="61">
        <v>2</v>
      </c>
      <c r="P360" s="59"/>
      <c r="Q360" s="60"/>
      <c r="R360" s="60"/>
      <c r="S360" s="60"/>
      <c r="T360" s="60">
        <v>2</v>
      </c>
      <c r="U360" s="60">
        <v>5</v>
      </c>
      <c r="V360" s="60"/>
      <c r="W360" s="61"/>
      <c r="X360" s="71"/>
      <c r="Y360" s="60"/>
      <c r="Z360" s="60"/>
      <c r="AA360" s="60"/>
      <c r="AB360" s="59"/>
      <c r="AC360" s="60"/>
      <c r="AD360" s="60"/>
      <c r="AE360" s="61"/>
      <c r="AF360" s="60">
        <v>6</v>
      </c>
      <c r="AG360" s="61"/>
      <c r="AH360" s="60">
        <v>1</v>
      </c>
      <c r="AI360" s="60"/>
      <c r="AJ360" s="60"/>
      <c r="AK360" s="60"/>
      <c r="AL360" s="60"/>
      <c r="AM360" s="60"/>
      <c r="AN360" s="60"/>
      <c r="AO360" s="60">
        <v>2</v>
      </c>
      <c r="AP360" s="59"/>
      <c r="AQ360" s="59">
        <v>4</v>
      </c>
      <c r="AR360" s="59"/>
      <c r="AS360" s="59"/>
      <c r="AT360" s="59"/>
      <c r="AU360" s="59"/>
      <c r="AV360" s="59"/>
      <c r="AW360" s="59"/>
      <c r="AX360" s="59">
        <v>1</v>
      </c>
      <c r="AY360" s="59">
        <v>2</v>
      </c>
      <c r="AZ360" s="59">
        <v>1</v>
      </c>
      <c r="BA360" s="62">
        <v>3</v>
      </c>
      <c r="BB360" s="62">
        <v>1</v>
      </c>
      <c r="BC360" s="62"/>
      <c r="BD360" s="62"/>
    </row>
    <row r="361" spans="2:56" ht="16.5" customHeight="1" thickBot="1" x14ac:dyDescent="0.3">
      <c r="B361" s="1" t="s">
        <v>1</v>
      </c>
      <c r="C361" s="14">
        <f t="shared" ref="C361:C363" si="39">SUM(F361:W361)</f>
        <v>0</v>
      </c>
      <c r="E361" s="1" t="s">
        <v>1</v>
      </c>
      <c r="F361" s="72"/>
      <c r="G361" s="41"/>
      <c r="H361" s="41"/>
      <c r="I361" s="64"/>
      <c r="J361" s="63"/>
      <c r="K361" s="41"/>
      <c r="L361" s="41"/>
      <c r="M361" s="41"/>
      <c r="N361" s="63"/>
      <c r="O361" s="64"/>
      <c r="P361" s="63"/>
      <c r="Q361" s="41"/>
      <c r="R361" s="41"/>
      <c r="S361" s="41"/>
      <c r="T361" s="41"/>
      <c r="U361" s="41"/>
      <c r="V361" s="41"/>
      <c r="W361" s="64"/>
      <c r="X361" s="72"/>
      <c r="Y361" s="41"/>
      <c r="Z361" s="41"/>
      <c r="AA361" s="41"/>
      <c r="AB361" s="63"/>
      <c r="AC361" s="41"/>
      <c r="AD361" s="41"/>
      <c r="AE361" s="64"/>
      <c r="AF361" s="41"/>
      <c r="AG361" s="64"/>
      <c r="AH361" s="41"/>
      <c r="AI361" s="41"/>
      <c r="AJ361" s="41"/>
      <c r="AK361" s="41"/>
      <c r="AL361" s="41"/>
      <c r="AM361" s="41"/>
      <c r="AN361" s="41"/>
      <c r="AO361" s="41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5"/>
      <c r="BB361" s="65"/>
      <c r="BC361" s="65"/>
      <c r="BD361" s="65"/>
    </row>
    <row r="362" spans="2:56" ht="16.5" customHeight="1" thickBot="1" x14ac:dyDescent="0.3">
      <c r="B362" s="1" t="s">
        <v>2</v>
      </c>
      <c r="C362" s="14">
        <f t="shared" si="39"/>
        <v>0</v>
      </c>
      <c r="E362" s="1" t="s">
        <v>2</v>
      </c>
      <c r="F362" s="72"/>
      <c r="G362" s="41"/>
      <c r="H362" s="41"/>
      <c r="I362" s="64"/>
      <c r="J362" s="63"/>
      <c r="K362" s="41"/>
      <c r="L362" s="41"/>
      <c r="M362" s="41"/>
      <c r="N362" s="63"/>
      <c r="O362" s="64"/>
      <c r="P362" s="63"/>
      <c r="Q362" s="41"/>
      <c r="R362" s="41"/>
      <c r="S362" s="41"/>
      <c r="T362" s="41"/>
      <c r="U362" s="41"/>
      <c r="V362" s="41"/>
      <c r="W362" s="64"/>
      <c r="X362" s="72"/>
      <c r="Y362" s="41"/>
      <c r="Z362" s="41"/>
      <c r="AA362" s="41"/>
      <c r="AB362" s="63"/>
      <c r="AC362" s="41"/>
      <c r="AD362" s="41"/>
      <c r="AE362" s="64"/>
      <c r="AF362" s="41"/>
      <c r="AG362" s="64"/>
      <c r="AH362" s="41"/>
      <c r="AI362" s="41"/>
      <c r="AJ362" s="41"/>
      <c r="AK362" s="41"/>
      <c r="AL362" s="41"/>
      <c r="AM362" s="41"/>
      <c r="AN362" s="41"/>
      <c r="AO362" s="41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5"/>
      <c r="BB362" s="65"/>
      <c r="BC362" s="65"/>
      <c r="BD362" s="65"/>
    </row>
    <row r="363" spans="2:56" ht="16.5" customHeight="1" thickBot="1" x14ac:dyDescent="0.3">
      <c r="B363" s="1" t="s">
        <v>3</v>
      </c>
      <c r="C363" s="15">
        <f t="shared" si="39"/>
        <v>0</v>
      </c>
      <c r="E363" s="1" t="s">
        <v>3</v>
      </c>
      <c r="F363" s="73"/>
      <c r="G363" s="67"/>
      <c r="H363" s="67"/>
      <c r="I363" s="68"/>
      <c r="J363" s="66"/>
      <c r="K363" s="67"/>
      <c r="L363" s="67"/>
      <c r="M363" s="67"/>
      <c r="N363" s="66"/>
      <c r="O363" s="68"/>
      <c r="P363" s="66"/>
      <c r="Q363" s="67"/>
      <c r="R363" s="67"/>
      <c r="S363" s="67"/>
      <c r="T363" s="67"/>
      <c r="U363" s="67"/>
      <c r="V363" s="67"/>
      <c r="W363" s="68"/>
      <c r="X363" s="73"/>
      <c r="Y363" s="67"/>
      <c r="Z363" s="67"/>
      <c r="AA363" s="67"/>
      <c r="AB363" s="66"/>
      <c r="AC363" s="67"/>
      <c r="AD363" s="67"/>
      <c r="AE363" s="68"/>
      <c r="AF363" s="67"/>
      <c r="AG363" s="68"/>
      <c r="AH363" s="67"/>
      <c r="AI363" s="67"/>
      <c r="AJ363" s="67"/>
      <c r="AK363" s="67"/>
      <c r="AL363" s="67"/>
      <c r="AM363" s="67"/>
      <c r="AN363" s="67"/>
      <c r="AO363" s="67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9"/>
      <c r="BB363" s="69"/>
      <c r="BC363" s="69"/>
      <c r="BD363" s="69"/>
    </row>
    <row r="364" spans="2:56" ht="21" customHeight="1" x14ac:dyDescent="0.25">
      <c r="B364" s="2"/>
      <c r="C364" s="8">
        <f>SUM(C360:C363)</f>
        <v>9</v>
      </c>
      <c r="F364" s="74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74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</row>
    <row r="365" spans="2:56" x14ac:dyDescent="0.25"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</row>
    <row r="366" spans="2:56" ht="15.75" x14ac:dyDescent="0.25">
      <c r="F366" s="82" t="s">
        <v>17</v>
      </c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3" t="s">
        <v>16</v>
      </c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79"/>
      <c r="AQ366" s="79"/>
      <c r="AR366" s="79"/>
      <c r="AS366" s="79"/>
      <c r="AT366" s="79"/>
      <c r="AU366" s="41"/>
      <c r="AV366" s="41"/>
      <c r="AW366" s="41"/>
      <c r="AX366" s="41"/>
      <c r="AY366" s="41"/>
      <c r="AZ366" s="41"/>
      <c r="BA366" s="41"/>
    </row>
    <row r="367" spans="2:56" ht="32.25" thickBot="1" x14ac:dyDescent="0.3">
      <c r="B367" s="80"/>
      <c r="F367" s="81" t="s">
        <v>9</v>
      </c>
      <c r="G367" s="81"/>
      <c r="H367" s="81"/>
      <c r="I367" s="81"/>
      <c r="J367" s="81" t="s">
        <v>10</v>
      </c>
      <c r="K367" s="81"/>
      <c r="L367" s="81"/>
      <c r="M367" s="81"/>
      <c r="N367" s="81" t="s">
        <v>49</v>
      </c>
      <c r="O367" s="81"/>
      <c r="P367" s="81" t="s">
        <v>11</v>
      </c>
      <c r="Q367" s="81"/>
      <c r="R367" s="81"/>
      <c r="S367" s="81"/>
      <c r="T367" s="81"/>
      <c r="U367" s="81"/>
      <c r="V367" s="81"/>
      <c r="W367" s="81"/>
      <c r="X367" s="81" t="s">
        <v>9</v>
      </c>
      <c r="Y367" s="81"/>
      <c r="Z367" s="81"/>
      <c r="AA367" s="81"/>
      <c r="AB367" s="81" t="s">
        <v>10</v>
      </c>
      <c r="AC367" s="81"/>
      <c r="AD367" s="81"/>
      <c r="AE367" s="81"/>
      <c r="AF367" s="81" t="s">
        <v>49</v>
      </c>
      <c r="AG367" s="81"/>
      <c r="AH367" s="81" t="s">
        <v>11</v>
      </c>
      <c r="AI367" s="81"/>
      <c r="AJ367" s="81"/>
      <c r="AK367" s="81"/>
      <c r="AL367" s="81"/>
      <c r="AM367" s="81"/>
      <c r="AN367" s="81"/>
      <c r="AO367" s="81"/>
      <c r="AP367" s="70" t="s">
        <v>50</v>
      </c>
      <c r="AQ367" s="70" t="s">
        <v>57</v>
      </c>
      <c r="AR367" s="70" t="s">
        <v>63</v>
      </c>
      <c r="AS367" s="70" t="s">
        <v>64</v>
      </c>
      <c r="AT367" s="70" t="s">
        <v>61</v>
      </c>
      <c r="AU367" s="70" t="s">
        <v>54</v>
      </c>
      <c r="AV367" s="70" t="s">
        <v>19</v>
      </c>
      <c r="AW367" s="70" t="s">
        <v>58</v>
      </c>
      <c r="AX367" s="70" t="s">
        <v>51</v>
      </c>
      <c r="AY367" s="70" t="s">
        <v>53</v>
      </c>
      <c r="AZ367" s="70" t="s">
        <v>52</v>
      </c>
      <c r="BA367" s="70" t="s">
        <v>55</v>
      </c>
      <c r="BB367" s="70" t="s">
        <v>56</v>
      </c>
      <c r="BC367" s="70" t="s">
        <v>59</v>
      </c>
      <c r="BD367" s="70" t="s">
        <v>60</v>
      </c>
    </row>
    <row r="368" spans="2:56" ht="16.5" thickBot="1" x14ac:dyDescent="0.3">
      <c r="B368" s="16">
        <v>0.41666666666666669</v>
      </c>
      <c r="C368" s="7" t="s">
        <v>5</v>
      </c>
      <c r="E368" s="11"/>
      <c r="F368" s="75" t="s">
        <v>15</v>
      </c>
      <c r="G368" s="58" t="s">
        <v>12</v>
      </c>
      <c r="H368" s="58" t="s">
        <v>14</v>
      </c>
      <c r="I368" s="58" t="s">
        <v>13</v>
      </c>
      <c r="J368" s="58" t="s">
        <v>42</v>
      </c>
      <c r="K368" s="58" t="s">
        <v>41</v>
      </c>
      <c r="L368" s="58" t="s">
        <v>43</v>
      </c>
      <c r="M368" s="58" t="s">
        <v>44</v>
      </c>
      <c r="N368" s="58" t="s">
        <v>15</v>
      </c>
      <c r="O368" s="58" t="s">
        <v>14</v>
      </c>
      <c r="P368" s="58" t="s">
        <v>45</v>
      </c>
      <c r="Q368" s="58" t="s">
        <v>46</v>
      </c>
      <c r="R368" s="58" t="s">
        <v>42</v>
      </c>
      <c r="S368" s="58" t="s">
        <v>41</v>
      </c>
      <c r="T368" s="58" t="s">
        <v>47</v>
      </c>
      <c r="U368" s="58" t="s">
        <v>48</v>
      </c>
      <c r="V368" s="58" t="s">
        <v>43</v>
      </c>
      <c r="W368" s="58" t="s">
        <v>44</v>
      </c>
      <c r="X368" s="75" t="s">
        <v>15</v>
      </c>
      <c r="Y368" s="58" t="s">
        <v>12</v>
      </c>
      <c r="Z368" s="58" t="s">
        <v>14</v>
      </c>
      <c r="AA368" s="58" t="s">
        <v>13</v>
      </c>
      <c r="AB368" s="58" t="s">
        <v>42</v>
      </c>
      <c r="AC368" s="58" t="s">
        <v>41</v>
      </c>
      <c r="AD368" s="58" t="s">
        <v>43</v>
      </c>
      <c r="AE368" s="58" t="s">
        <v>44</v>
      </c>
      <c r="AF368" s="58" t="s">
        <v>15</v>
      </c>
      <c r="AG368" s="58" t="s">
        <v>14</v>
      </c>
      <c r="AH368" s="58" t="s">
        <v>45</v>
      </c>
      <c r="AI368" s="58" t="s">
        <v>46</v>
      </c>
      <c r="AJ368" s="58" t="s">
        <v>42</v>
      </c>
      <c r="AK368" s="58" t="s">
        <v>41</v>
      </c>
      <c r="AL368" s="58" t="s">
        <v>47</v>
      </c>
      <c r="AM368" s="58" t="s">
        <v>48</v>
      </c>
      <c r="AN368" s="58" t="s">
        <v>43</v>
      </c>
      <c r="AO368" s="58" t="s">
        <v>44</v>
      </c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</row>
    <row r="369" spans="2:56" ht="16.5" customHeight="1" thickBot="1" x14ac:dyDescent="0.3">
      <c r="B369" s="1" t="s">
        <v>0</v>
      </c>
      <c r="C369" s="13">
        <f>SUM(F369:W369)</f>
        <v>4</v>
      </c>
      <c r="E369" s="10" t="s">
        <v>0</v>
      </c>
      <c r="F369" s="71"/>
      <c r="G369" s="60"/>
      <c r="H369" s="60"/>
      <c r="I369" s="61"/>
      <c r="J369" s="59"/>
      <c r="K369" s="60"/>
      <c r="L369" s="60"/>
      <c r="M369" s="60"/>
      <c r="N369" s="59"/>
      <c r="O369" s="61"/>
      <c r="P369" s="59">
        <v>2</v>
      </c>
      <c r="Q369" s="60"/>
      <c r="R369" s="60"/>
      <c r="S369" s="60"/>
      <c r="T369" s="60"/>
      <c r="U369" s="60"/>
      <c r="V369" s="60"/>
      <c r="W369" s="61">
        <v>2</v>
      </c>
      <c r="X369" s="71"/>
      <c r="Y369" s="60"/>
      <c r="Z369" s="60"/>
      <c r="AA369" s="60"/>
      <c r="AB369" s="59"/>
      <c r="AC369" s="60"/>
      <c r="AD369" s="60"/>
      <c r="AE369" s="61"/>
      <c r="AF369" s="60"/>
      <c r="AG369" s="61"/>
      <c r="AH369" s="60"/>
      <c r="AI369" s="60"/>
      <c r="AJ369" s="60"/>
      <c r="AK369" s="60"/>
      <c r="AL369" s="60">
        <v>2</v>
      </c>
      <c r="AM369" s="60">
        <v>2</v>
      </c>
      <c r="AN369" s="60"/>
      <c r="AO369" s="60"/>
      <c r="AP369" s="59"/>
      <c r="AQ369" s="59">
        <v>2</v>
      </c>
      <c r="AR369" s="59"/>
      <c r="AS369" s="59"/>
      <c r="AT369" s="59"/>
      <c r="AU369" s="59"/>
      <c r="AV369" s="59">
        <v>2</v>
      </c>
      <c r="AW369" s="59"/>
      <c r="AX369" s="59"/>
      <c r="AY369" s="59"/>
      <c r="AZ369" s="59"/>
      <c r="BA369" s="62">
        <v>1</v>
      </c>
      <c r="BB369" s="62">
        <v>1</v>
      </c>
      <c r="BC369" s="62"/>
      <c r="BD369" s="62"/>
    </row>
    <row r="370" spans="2:56" ht="16.5" customHeight="1" thickBot="1" x14ac:dyDescent="0.3">
      <c r="B370" s="1" t="s">
        <v>1</v>
      </c>
      <c r="C370" s="14">
        <f t="shared" ref="C370:C372" si="40">SUM(F370:W370)</f>
        <v>1</v>
      </c>
      <c r="E370" s="1" t="s">
        <v>1</v>
      </c>
      <c r="F370" s="72">
        <v>1</v>
      </c>
      <c r="G370" s="41"/>
      <c r="H370" s="41"/>
      <c r="I370" s="64"/>
      <c r="J370" s="63"/>
      <c r="K370" s="41"/>
      <c r="L370" s="41"/>
      <c r="M370" s="41"/>
      <c r="N370" s="63"/>
      <c r="O370" s="64"/>
      <c r="P370" s="63"/>
      <c r="Q370" s="41"/>
      <c r="R370" s="41"/>
      <c r="S370" s="41"/>
      <c r="T370" s="41"/>
      <c r="U370" s="41"/>
      <c r="V370" s="41"/>
      <c r="W370" s="64"/>
      <c r="X370" s="72"/>
      <c r="Y370" s="41"/>
      <c r="Z370" s="41">
        <v>1</v>
      </c>
      <c r="AA370" s="41"/>
      <c r="AB370" s="63"/>
      <c r="AC370" s="41"/>
      <c r="AD370" s="41"/>
      <c r="AE370" s="64"/>
      <c r="AF370" s="41"/>
      <c r="AG370" s="64"/>
      <c r="AH370" s="41"/>
      <c r="AI370" s="41"/>
      <c r="AJ370" s="41"/>
      <c r="AK370" s="41"/>
      <c r="AL370" s="41"/>
      <c r="AM370" s="41"/>
      <c r="AN370" s="41"/>
      <c r="AO370" s="41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5"/>
      <c r="BB370" s="65"/>
      <c r="BC370" s="65">
        <v>1</v>
      </c>
      <c r="BD370" s="65"/>
    </row>
    <row r="371" spans="2:56" ht="16.5" customHeight="1" thickBot="1" x14ac:dyDescent="0.3">
      <c r="B371" s="1" t="s">
        <v>2</v>
      </c>
      <c r="C371" s="14">
        <f t="shared" si="40"/>
        <v>0</v>
      </c>
      <c r="E371" s="1" t="s">
        <v>2</v>
      </c>
      <c r="F371" s="72"/>
      <c r="G371" s="41"/>
      <c r="H371" s="41"/>
      <c r="I371" s="64"/>
      <c r="J371" s="63"/>
      <c r="K371" s="41"/>
      <c r="L371" s="41"/>
      <c r="M371" s="41"/>
      <c r="N371" s="63"/>
      <c r="O371" s="64"/>
      <c r="P371" s="63"/>
      <c r="Q371" s="41"/>
      <c r="R371" s="41"/>
      <c r="S371" s="41"/>
      <c r="T371" s="41"/>
      <c r="U371" s="41"/>
      <c r="V371" s="41"/>
      <c r="W371" s="64"/>
      <c r="X371" s="72"/>
      <c r="Y371" s="41"/>
      <c r="Z371" s="41"/>
      <c r="AA371" s="41"/>
      <c r="AB371" s="63"/>
      <c r="AC371" s="41"/>
      <c r="AD371" s="41"/>
      <c r="AE371" s="64"/>
      <c r="AF371" s="41"/>
      <c r="AG371" s="64"/>
      <c r="AH371" s="41"/>
      <c r="AI371" s="41"/>
      <c r="AJ371" s="41"/>
      <c r="AK371" s="41"/>
      <c r="AL371" s="41"/>
      <c r="AM371" s="41"/>
      <c r="AN371" s="41"/>
      <c r="AO371" s="41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5"/>
      <c r="BB371" s="65"/>
      <c r="BC371" s="65"/>
      <c r="BD371" s="65"/>
    </row>
    <row r="372" spans="2:56" ht="16.5" customHeight="1" thickBot="1" x14ac:dyDescent="0.3">
      <c r="B372" s="1" t="s">
        <v>3</v>
      </c>
      <c r="C372" s="15">
        <f t="shared" si="40"/>
        <v>0</v>
      </c>
      <c r="E372" s="1" t="s">
        <v>3</v>
      </c>
      <c r="F372" s="73"/>
      <c r="G372" s="67"/>
      <c r="H372" s="67"/>
      <c r="I372" s="68"/>
      <c r="J372" s="66"/>
      <c r="K372" s="67"/>
      <c r="L372" s="67"/>
      <c r="M372" s="67"/>
      <c r="N372" s="66"/>
      <c r="O372" s="68"/>
      <c r="P372" s="66"/>
      <c r="Q372" s="67"/>
      <c r="R372" s="67"/>
      <c r="S372" s="67"/>
      <c r="T372" s="67"/>
      <c r="U372" s="67"/>
      <c r="V372" s="67"/>
      <c r="W372" s="68"/>
      <c r="X372" s="73"/>
      <c r="Y372" s="67"/>
      <c r="Z372" s="67"/>
      <c r="AA372" s="67"/>
      <c r="AB372" s="66"/>
      <c r="AC372" s="67"/>
      <c r="AD372" s="67"/>
      <c r="AE372" s="68"/>
      <c r="AF372" s="67"/>
      <c r="AG372" s="68"/>
      <c r="AH372" s="67"/>
      <c r="AI372" s="67"/>
      <c r="AJ372" s="67"/>
      <c r="AK372" s="67"/>
      <c r="AL372" s="67"/>
      <c r="AM372" s="67"/>
      <c r="AN372" s="67"/>
      <c r="AO372" s="67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9"/>
      <c r="BB372" s="69"/>
      <c r="BC372" s="69"/>
      <c r="BD372" s="69"/>
    </row>
    <row r="373" spans="2:56" ht="21" customHeight="1" x14ac:dyDescent="0.25">
      <c r="B373" s="2"/>
      <c r="C373" s="8">
        <f>SUM(C369:C372)</f>
        <v>5</v>
      </c>
      <c r="F373" s="74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74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</row>
    <row r="374" spans="2:56" x14ac:dyDescent="0.25"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</row>
    <row r="375" spans="2:56" ht="15.75" x14ac:dyDescent="0.25">
      <c r="F375" s="82" t="s">
        <v>17</v>
      </c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3" t="s">
        <v>16</v>
      </c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79"/>
      <c r="AQ375" s="79"/>
      <c r="AR375" s="79"/>
      <c r="AS375" s="79"/>
      <c r="AT375" s="79"/>
      <c r="AU375" s="41"/>
      <c r="AV375" s="41"/>
      <c r="AW375" s="41"/>
      <c r="AX375" s="41"/>
      <c r="AY375" s="41"/>
      <c r="AZ375" s="41"/>
      <c r="BA375" s="41"/>
    </row>
    <row r="376" spans="2:56" ht="32.25" thickBot="1" x14ac:dyDescent="0.3">
      <c r="F376" s="81" t="s">
        <v>9</v>
      </c>
      <c r="G376" s="81"/>
      <c r="H376" s="81"/>
      <c r="I376" s="81"/>
      <c r="J376" s="81" t="s">
        <v>10</v>
      </c>
      <c r="K376" s="81"/>
      <c r="L376" s="81"/>
      <c r="M376" s="81"/>
      <c r="N376" s="81" t="s">
        <v>49</v>
      </c>
      <c r="O376" s="81"/>
      <c r="P376" s="81" t="s">
        <v>11</v>
      </c>
      <c r="Q376" s="81"/>
      <c r="R376" s="81"/>
      <c r="S376" s="81"/>
      <c r="T376" s="81"/>
      <c r="U376" s="81"/>
      <c r="V376" s="81"/>
      <c r="W376" s="81"/>
      <c r="X376" s="81" t="s">
        <v>9</v>
      </c>
      <c r="Y376" s="81"/>
      <c r="Z376" s="81"/>
      <c r="AA376" s="81"/>
      <c r="AB376" s="81" t="s">
        <v>10</v>
      </c>
      <c r="AC376" s="81"/>
      <c r="AD376" s="81"/>
      <c r="AE376" s="81"/>
      <c r="AF376" s="81" t="s">
        <v>49</v>
      </c>
      <c r="AG376" s="81"/>
      <c r="AH376" s="81" t="s">
        <v>11</v>
      </c>
      <c r="AI376" s="81"/>
      <c r="AJ376" s="81"/>
      <c r="AK376" s="81"/>
      <c r="AL376" s="81"/>
      <c r="AM376" s="81"/>
      <c r="AN376" s="81"/>
      <c r="AO376" s="81"/>
      <c r="AP376" s="70" t="s">
        <v>50</v>
      </c>
      <c r="AQ376" s="70" t="s">
        <v>57</v>
      </c>
      <c r="AR376" s="70" t="s">
        <v>63</v>
      </c>
      <c r="AS376" s="70" t="s">
        <v>64</v>
      </c>
      <c r="AT376" s="70" t="s">
        <v>61</v>
      </c>
      <c r="AU376" s="70" t="s">
        <v>54</v>
      </c>
      <c r="AV376" s="70" t="s">
        <v>19</v>
      </c>
      <c r="AW376" s="70" t="s">
        <v>58</v>
      </c>
      <c r="AX376" s="70" t="s">
        <v>51</v>
      </c>
      <c r="AY376" s="70" t="s">
        <v>53</v>
      </c>
      <c r="AZ376" s="70" t="s">
        <v>52</v>
      </c>
      <c r="BA376" s="70" t="s">
        <v>55</v>
      </c>
      <c r="BB376" s="70" t="s">
        <v>56</v>
      </c>
      <c r="BC376" s="70" t="s">
        <v>59</v>
      </c>
      <c r="BD376" s="70" t="s">
        <v>60</v>
      </c>
    </row>
    <row r="377" spans="2:56" ht="16.5" thickBot="1" x14ac:dyDescent="0.3">
      <c r="B377" s="16">
        <v>0.42708333333333331</v>
      </c>
      <c r="C377" s="7" t="s">
        <v>5</v>
      </c>
      <c r="E377" s="11"/>
      <c r="F377" s="75" t="s">
        <v>15</v>
      </c>
      <c r="G377" s="58" t="s">
        <v>12</v>
      </c>
      <c r="H377" s="58" t="s">
        <v>14</v>
      </c>
      <c r="I377" s="58" t="s">
        <v>13</v>
      </c>
      <c r="J377" s="58" t="s">
        <v>42</v>
      </c>
      <c r="K377" s="58" t="s">
        <v>41</v>
      </c>
      <c r="L377" s="58" t="s">
        <v>43</v>
      </c>
      <c r="M377" s="58" t="s">
        <v>44</v>
      </c>
      <c r="N377" s="58" t="s">
        <v>15</v>
      </c>
      <c r="O377" s="58" t="s">
        <v>14</v>
      </c>
      <c r="P377" s="58" t="s">
        <v>45</v>
      </c>
      <c r="Q377" s="58" t="s">
        <v>46</v>
      </c>
      <c r="R377" s="58" t="s">
        <v>42</v>
      </c>
      <c r="S377" s="58" t="s">
        <v>41</v>
      </c>
      <c r="T377" s="58" t="s">
        <v>47</v>
      </c>
      <c r="U377" s="58" t="s">
        <v>48</v>
      </c>
      <c r="V377" s="58" t="s">
        <v>43</v>
      </c>
      <c r="W377" s="58" t="s">
        <v>44</v>
      </c>
      <c r="X377" s="75" t="s">
        <v>15</v>
      </c>
      <c r="Y377" s="58" t="s">
        <v>12</v>
      </c>
      <c r="Z377" s="58" t="s">
        <v>14</v>
      </c>
      <c r="AA377" s="58" t="s">
        <v>13</v>
      </c>
      <c r="AB377" s="58" t="s">
        <v>42</v>
      </c>
      <c r="AC377" s="58" t="s">
        <v>41</v>
      </c>
      <c r="AD377" s="58" t="s">
        <v>43</v>
      </c>
      <c r="AE377" s="58" t="s">
        <v>44</v>
      </c>
      <c r="AF377" s="58" t="s">
        <v>15</v>
      </c>
      <c r="AG377" s="58" t="s">
        <v>14</v>
      </c>
      <c r="AH377" s="58" t="s">
        <v>45</v>
      </c>
      <c r="AI377" s="58" t="s">
        <v>46</v>
      </c>
      <c r="AJ377" s="58" t="s">
        <v>42</v>
      </c>
      <c r="AK377" s="58" t="s">
        <v>41</v>
      </c>
      <c r="AL377" s="58" t="s">
        <v>47</v>
      </c>
      <c r="AM377" s="58" t="s">
        <v>48</v>
      </c>
      <c r="AN377" s="58" t="s">
        <v>43</v>
      </c>
      <c r="AO377" s="58" t="s">
        <v>44</v>
      </c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</row>
    <row r="378" spans="2:56" ht="16.5" customHeight="1" thickBot="1" x14ac:dyDescent="0.3">
      <c r="B378" s="1" t="s">
        <v>0</v>
      </c>
      <c r="C378" s="13">
        <f>SUM(F378:W378)</f>
        <v>1</v>
      </c>
      <c r="E378" s="10" t="s">
        <v>0</v>
      </c>
      <c r="F378" s="71"/>
      <c r="G378" s="60"/>
      <c r="H378" s="60"/>
      <c r="I378" s="61"/>
      <c r="J378" s="59"/>
      <c r="K378" s="60"/>
      <c r="L378" s="60"/>
      <c r="M378" s="60"/>
      <c r="N378" s="59"/>
      <c r="O378" s="61"/>
      <c r="P378" s="59"/>
      <c r="Q378" s="60">
        <v>1</v>
      </c>
      <c r="R378" s="60"/>
      <c r="S378" s="60"/>
      <c r="T378" s="60"/>
      <c r="U378" s="60"/>
      <c r="V378" s="60"/>
      <c r="W378" s="61"/>
      <c r="X378" s="71"/>
      <c r="Y378" s="60"/>
      <c r="Z378" s="60"/>
      <c r="AA378" s="60"/>
      <c r="AB378" s="59"/>
      <c r="AC378" s="60"/>
      <c r="AD378" s="60"/>
      <c r="AE378" s="61"/>
      <c r="AF378" s="60"/>
      <c r="AG378" s="61"/>
      <c r="AH378" s="60"/>
      <c r="AI378" s="60"/>
      <c r="AJ378" s="60"/>
      <c r="AK378" s="60"/>
      <c r="AL378" s="60">
        <v>1</v>
      </c>
      <c r="AM378" s="60"/>
      <c r="AN378" s="60"/>
      <c r="AO378" s="60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62">
        <v>1</v>
      </c>
      <c r="BB378" s="62"/>
      <c r="BC378" s="62"/>
      <c r="BD378" s="62"/>
    </row>
    <row r="379" spans="2:56" ht="16.5" customHeight="1" thickBot="1" x14ac:dyDescent="0.3">
      <c r="B379" s="1" t="s">
        <v>1</v>
      </c>
      <c r="C379" s="14">
        <f t="shared" ref="C379:C381" si="41">SUM(F379:W379)</f>
        <v>1</v>
      </c>
      <c r="E379" s="1" t="s">
        <v>1</v>
      </c>
      <c r="F379" s="72"/>
      <c r="G379" s="41"/>
      <c r="H379" s="41"/>
      <c r="I379" s="64"/>
      <c r="J379" s="63"/>
      <c r="K379" s="41"/>
      <c r="L379" s="41"/>
      <c r="M379" s="41"/>
      <c r="N379" s="63">
        <v>1</v>
      </c>
      <c r="O379" s="64"/>
      <c r="P379" s="63"/>
      <c r="Q379" s="41"/>
      <c r="R379" s="41"/>
      <c r="S379" s="41"/>
      <c r="T379" s="41"/>
      <c r="U379" s="41"/>
      <c r="V379" s="41"/>
      <c r="W379" s="64"/>
      <c r="X379" s="72"/>
      <c r="Y379" s="41"/>
      <c r="Z379" s="41"/>
      <c r="AA379" s="41"/>
      <c r="AB379" s="63"/>
      <c r="AC379" s="41"/>
      <c r="AD379" s="41"/>
      <c r="AE379" s="64"/>
      <c r="AF379" s="41"/>
      <c r="AG379" s="64">
        <v>1</v>
      </c>
      <c r="AH379" s="41"/>
      <c r="AI379" s="41"/>
      <c r="AJ379" s="41"/>
      <c r="AK379" s="41"/>
      <c r="AL379" s="41"/>
      <c r="AM379" s="41"/>
      <c r="AN379" s="41"/>
      <c r="AO379" s="41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5"/>
      <c r="BB379" s="65"/>
      <c r="BC379" s="65"/>
      <c r="BD379" s="65"/>
    </row>
    <row r="380" spans="2:56" ht="16.5" customHeight="1" thickBot="1" x14ac:dyDescent="0.3">
      <c r="B380" s="1" t="s">
        <v>2</v>
      </c>
      <c r="C380" s="14">
        <f t="shared" si="41"/>
        <v>0</v>
      </c>
      <c r="E380" s="1" t="s">
        <v>2</v>
      </c>
      <c r="F380" s="72"/>
      <c r="G380" s="41"/>
      <c r="H380" s="41"/>
      <c r="I380" s="64"/>
      <c r="J380" s="63"/>
      <c r="K380" s="41"/>
      <c r="L380" s="41"/>
      <c r="M380" s="41"/>
      <c r="N380" s="63"/>
      <c r="O380" s="64"/>
      <c r="P380" s="63"/>
      <c r="Q380" s="41"/>
      <c r="R380" s="41"/>
      <c r="S380" s="41"/>
      <c r="T380" s="41"/>
      <c r="U380" s="41"/>
      <c r="V380" s="41"/>
      <c r="W380" s="64"/>
      <c r="X380" s="72"/>
      <c r="Y380" s="41"/>
      <c r="Z380" s="41"/>
      <c r="AA380" s="41"/>
      <c r="AB380" s="63"/>
      <c r="AC380" s="41"/>
      <c r="AD380" s="41"/>
      <c r="AE380" s="64"/>
      <c r="AF380" s="41"/>
      <c r="AG380" s="64"/>
      <c r="AH380" s="41"/>
      <c r="AI380" s="41"/>
      <c r="AJ380" s="41"/>
      <c r="AK380" s="41"/>
      <c r="AL380" s="41"/>
      <c r="AM380" s="41"/>
      <c r="AN380" s="41"/>
      <c r="AO380" s="41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5"/>
      <c r="BB380" s="65"/>
      <c r="BC380" s="65"/>
      <c r="BD380" s="65"/>
    </row>
    <row r="381" spans="2:56" ht="16.5" customHeight="1" thickBot="1" x14ac:dyDescent="0.3">
      <c r="B381" s="1" t="s">
        <v>3</v>
      </c>
      <c r="C381" s="15">
        <f t="shared" si="41"/>
        <v>0</v>
      </c>
      <c r="E381" s="1" t="s">
        <v>3</v>
      </c>
      <c r="F381" s="73"/>
      <c r="G381" s="67"/>
      <c r="H381" s="67"/>
      <c r="I381" s="68"/>
      <c r="J381" s="66"/>
      <c r="K381" s="67"/>
      <c r="L381" s="67"/>
      <c r="M381" s="67"/>
      <c r="N381" s="66"/>
      <c r="O381" s="68"/>
      <c r="P381" s="66"/>
      <c r="Q381" s="67"/>
      <c r="R381" s="67"/>
      <c r="S381" s="67"/>
      <c r="T381" s="67"/>
      <c r="U381" s="67"/>
      <c r="V381" s="67"/>
      <c r="W381" s="68"/>
      <c r="X381" s="73"/>
      <c r="Y381" s="67"/>
      <c r="Z381" s="67"/>
      <c r="AA381" s="67"/>
      <c r="AB381" s="66"/>
      <c r="AC381" s="67"/>
      <c r="AD381" s="67"/>
      <c r="AE381" s="68"/>
      <c r="AF381" s="67"/>
      <c r="AG381" s="68"/>
      <c r="AH381" s="67"/>
      <c r="AI381" s="67"/>
      <c r="AJ381" s="67"/>
      <c r="AK381" s="67"/>
      <c r="AL381" s="67"/>
      <c r="AM381" s="67"/>
      <c r="AN381" s="67"/>
      <c r="AO381" s="67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9"/>
      <c r="BB381" s="69"/>
      <c r="BC381" s="69"/>
      <c r="BD381" s="69"/>
    </row>
    <row r="382" spans="2:56" ht="21" customHeight="1" x14ac:dyDescent="0.25">
      <c r="B382" s="2"/>
      <c r="C382" s="8">
        <f>SUM(C378:C381)</f>
        <v>2</v>
      </c>
      <c r="F382" s="74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74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</row>
    <row r="383" spans="2:56" x14ac:dyDescent="0.25"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</row>
    <row r="384" spans="2:56" ht="15.75" x14ac:dyDescent="0.25">
      <c r="F384" s="82" t="s">
        <v>17</v>
      </c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3" t="s">
        <v>16</v>
      </c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79"/>
      <c r="AQ384" s="79"/>
      <c r="AR384" s="79"/>
      <c r="AS384" s="79"/>
      <c r="AT384" s="79"/>
      <c r="AU384" s="41"/>
      <c r="AV384" s="41"/>
      <c r="AW384" s="41"/>
      <c r="AX384" s="41"/>
      <c r="AY384" s="41"/>
      <c r="AZ384" s="41"/>
      <c r="BA384" s="41"/>
    </row>
    <row r="385" spans="2:56" ht="32.25" thickBot="1" x14ac:dyDescent="0.3">
      <c r="F385" s="81" t="s">
        <v>9</v>
      </c>
      <c r="G385" s="81"/>
      <c r="H385" s="81"/>
      <c r="I385" s="81"/>
      <c r="J385" s="81" t="s">
        <v>10</v>
      </c>
      <c r="K385" s="81"/>
      <c r="L385" s="81"/>
      <c r="M385" s="81"/>
      <c r="N385" s="81" t="s">
        <v>49</v>
      </c>
      <c r="O385" s="81"/>
      <c r="P385" s="81" t="s">
        <v>11</v>
      </c>
      <c r="Q385" s="81"/>
      <c r="R385" s="81"/>
      <c r="S385" s="81"/>
      <c r="T385" s="81"/>
      <c r="U385" s="81"/>
      <c r="V385" s="81"/>
      <c r="W385" s="81"/>
      <c r="X385" s="81" t="s">
        <v>9</v>
      </c>
      <c r="Y385" s="81"/>
      <c r="Z385" s="81"/>
      <c r="AA385" s="81"/>
      <c r="AB385" s="81" t="s">
        <v>10</v>
      </c>
      <c r="AC385" s="81"/>
      <c r="AD385" s="81"/>
      <c r="AE385" s="81"/>
      <c r="AF385" s="81" t="s">
        <v>49</v>
      </c>
      <c r="AG385" s="81"/>
      <c r="AH385" s="81" t="s">
        <v>11</v>
      </c>
      <c r="AI385" s="81"/>
      <c r="AJ385" s="81"/>
      <c r="AK385" s="81"/>
      <c r="AL385" s="81"/>
      <c r="AM385" s="81"/>
      <c r="AN385" s="81"/>
      <c r="AO385" s="81"/>
      <c r="AP385" s="70" t="s">
        <v>50</v>
      </c>
      <c r="AQ385" s="70" t="s">
        <v>57</v>
      </c>
      <c r="AR385" s="70" t="s">
        <v>63</v>
      </c>
      <c r="AS385" s="70" t="s">
        <v>64</v>
      </c>
      <c r="AT385" s="70" t="s">
        <v>61</v>
      </c>
      <c r="AU385" s="70" t="s">
        <v>54</v>
      </c>
      <c r="AV385" s="70" t="s">
        <v>19</v>
      </c>
      <c r="AW385" s="70" t="s">
        <v>58</v>
      </c>
      <c r="AX385" s="70" t="s">
        <v>51</v>
      </c>
      <c r="AY385" s="70" t="s">
        <v>53</v>
      </c>
      <c r="AZ385" s="70" t="s">
        <v>52</v>
      </c>
      <c r="BA385" s="70" t="s">
        <v>55</v>
      </c>
      <c r="BB385" s="70" t="s">
        <v>56</v>
      </c>
      <c r="BC385" s="70" t="s">
        <v>59</v>
      </c>
      <c r="BD385" s="70" t="s">
        <v>60</v>
      </c>
    </row>
    <row r="386" spans="2:56" ht="16.5" thickBot="1" x14ac:dyDescent="0.3">
      <c r="B386" s="16">
        <v>0.4375</v>
      </c>
      <c r="C386" s="7" t="s">
        <v>5</v>
      </c>
      <c r="E386" s="11"/>
      <c r="F386" s="75" t="s">
        <v>15</v>
      </c>
      <c r="G386" s="58" t="s">
        <v>12</v>
      </c>
      <c r="H386" s="58" t="s">
        <v>14</v>
      </c>
      <c r="I386" s="58" t="s">
        <v>13</v>
      </c>
      <c r="J386" s="58" t="s">
        <v>42</v>
      </c>
      <c r="K386" s="58" t="s">
        <v>41</v>
      </c>
      <c r="L386" s="58" t="s">
        <v>43</v>
      </c>
      <c r="M386" s="58" t="s">
        <v>44</v>
      </c>
      <c r="N386" s="58" t="s">
        <v>15</v>
      </c>
      <c r="O386" s="58" t="s">
        <v>14</v>
      </c>
      <c r="P386" s="58" t="s">
        <v>45</v>
      </c>
      <c r="Q386" s="58" t="s">
        <v>46</v>
      </c>
      <c r="R386" s="58" t="s">
        <v>42</v>
      </c>
      <c r="S386" s="58" t="s">
        <v>41</v>
      </c>
      <c r="T386" s="58" t="s">
        <v>47</v>
      </c>
      <c r="U386" s="58" t="s">
        <v>48</v>
      </c>
      <c r="V386" s="58" t="s">
        <v>43</v>
      </c>
      <c r="W386" s="58" t="s">
        <v>44</v>
      </c>
      <c r="X386" s="75" t="s">
        <v>15</v>
      </c>
      <c r="Y386" s="58" t="s">
        <v>12</v>
      </c>
      <c r="Z386" s="58" t="s">
        <v>14</v>
      </c>
      <c r="AA386" s="58" t="s">
        <v>13</v>
      </c>
      <c r="AB386" s="58" t="s">
        <v>42</v>
      </c>
      <c r="AC386" s="58" t="s">
        <v>41</v>
      </c>
      <c r="AD386" s="58" t="s">
        <v>43</v>
      </c>
      <c r="AE386" s="58" t="s">
        <v>44</v>
      </c>
      <c r="AF386" s="58" t="s">
        <v>15</v>
      </c>
      <c r="AG386" s="58" t="s">
        <v>14</v>
      </c>
      <c r="AH386" s="58" t="s">
        <v>45</v>
      </c>
      <c r="AI386" s="58" t="s">
        <v>46</v>
      </c>
      <c r="AJ386" s="58" t="s">
        <v>42</v>
      </c>
      <c r="AK386" s="58" t="s">
        <v>41</v>
      </c>
      <c r="AL386" s="58" t="s">
        <v>47</v>
      </c>
      <c r="AM386" s="58" t="s">
        <v>48</v>
      </c>
      <c r="AN386" s="58" t="s">
        <v>43</v>
      </c>
      <c r="AO386" s="58" t="s">
        <v>44</v>
      </c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</row>
    <row r="387" spans="2:56" ht="16.5" customHeight="1" thickBot="1" x14ac:dyDescent="0.3">
      <c r="B387" s="1" t="s">
        <v>0</v>
      </c>
      <c r="C387" s="13">
        <f>SUM(F387:W387)</f>
        <v>1</v>
      </c>
      <c r="E387" s="10" t="s">
        <v>0</v>
      </c>
      <c r="F387" s="71"/>
      <c r="G387" s="60"/>
      <c r="H387" s="60"/>
      <c r="I387" s="61"/>
      <c r="J387" s="59"/>
      <c r="K387" s="60"/>
      <c r="L387" s="60"/>
      <c r="M387" s="60"/>
      <c r="N387" s="59"/>
      <c r="O387" s="61"/>
      <c r="P387" s="59"/>
      <c r="Q387" s="60"/>
      <c r="R387" s="60">
        <v>1</v>
      </c>
      <c r="S387" s="60"/>
      <c r="T387" s="60"/>
      <c r="U387" s="60"/>
      <c r="V387" s="60"/>
      <c r="W387" s="61"/>
      <c r="X387" s="71"/>
      <c r="Y387" s="60"/>
      <c r="Z387" s="60"/>
      <c r="AA387" s="60"/>
      <c r="AB387" s="59"/>
      <c r="AC387" s="60"/>
      <c r="AD387" s="60"/>
      <c r="AE387" s="61"/>
      <c r="AF387" s="60"/>
      <c r="AG387" s="61"/>
      <c r="AH387" s="60"/>
      <c r="AI387" s="60"/>
      <c r="AJ387" s="60"/>
      <c r="AK387" s="60"/>
      <c r="AL387" s="60"/>
      <c r="AM387" s="60"/>
      <c r="AN387" s="60"/>
      <c r="AO387" s="60">
        <v>1</v>
      </c>
      <c r="AP387" s="59"/>
      <c r="AQ387" s="59">
        <v>1</v>
      </c>
      <c r="AR387" s="59"/>
      <c r="AS387" s="59"/>
      <c r="AT387" s="59"/>
      <c r="AU387" s="59"/>
      <c r="AV387" s="59"/>
      <c r="AW387" s="59"/>
      <c r="AX387" s="59"/>
      <c r="AY387" s="59"/>
      <c r="AZ387" s="59"/>
      <c r="BA387" s="62"/>
      <c r="BB387" s="62"/>
      <c r="BC387" s="62"/>
      <c r="BD387" s="62"/>
    </row>
    <row r="388" spans="2:56" ht="16.5" customHeight="1" thickBot="1" x14ac:dyDescent="0.3">
      <c r="B388" s="1" t="s">
        <v>1</v>
      </c>
      <c r="C388" s="14">
        <f t="shared" ref="C388:C390" si="42">SUM(F388:W388)</f>
        <v>0</v>
      </c>
      <c r="E388" s="1" t="s">
        <v>1</v>
      </c>
      <c r="F388" s="72"/>
      <c r="G388" s="41"/>
      <c r="H388" s="41"/>
      <c r="I388" s="64"/>
      <c r="J388" s="63"/>
      <c r="K388" s="41"/>
      <c r="L388" s="41"/>
      <c r="M388" s="41"/>
      <c r="N388" s="63"/>
      <c r="O388" s="64"/>
      <c r="P388" s="63"/>
      <c r="Q388" s="41"/>
      <c r="R388" s="41"/>
      <c r="S388" s="41"/>
      <c r="T388" s="41"/>
      <c r="U388" s="41"/>
      <c r="V388" s="41"/>
      <c r="W388" s="64"/>
      <c r="X388" s="72"/>
      <c r="Y388" s="41"/>
      <c r="Z388" s="41"/>
      <c r="AA388" s="41"/>
      <c r="AB388" s="63"/>
      <c r="AC388" s="41"/>
      <c r="AD388" s="41"/>
      <c r="AE388" s="64"/>
      <c r="AF388" s="41"/>
      <c r="AG388" s="64"/>
      <c r="AH388" s="41"/>
      <c r="AI388" s="41"/>
      <c r="AJ388" s="41"/>
      <c r="AK388" s="41"/>
      <c r="AL388" s="41"/>
      <c r="AM388" s="41"/>
      <c r="AN388" s="41"/>
      <c r="AO388" s="41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5"/>
      <c r="BB388" s="65"/>
      <c r="BC388" s="65"/>
      <c r="BD388" s="65"/>
    </row>
    <row r="389" spans="2:56" ht="16.5" customHeight="1" thickBot="1" x14ac:dyDescent="0.3">
      <c r="B389" s="1" t="s">
        <v>2</v>
      </c>
      <c r="C389" s="14">
        <f t="shared" si="42"/>
        <v>0</v>
      </c>
      <c r="E389" s="1" t="s">
        <v>2</v>
      </c>
      <c r="F389" s="72"/>
      <c r="G389" s="41"/>
      <c r="H389" s="41"/>
      <c r="I389" s="64"/>
      <c r="J389" s="63"/>
      <c r="K389" s="41"/>
      <c r="L389" s="41"/>
      <c r="M389" s="41"/>
      <c r="N389" s="63"/>
      <c r="O389" s="64"/>
      <c r="P389" s="63"/>
      <c r="Q389" s="41"/>
      <c r="R389" s="41"/>
      <c r="S389" s="41"/>
      <c r="T389" s="41"/>
      <c r="U389" s="41"/>
      <c r="V389" s="41"/>
      <c r="W389" s="64"/>
      <c r="X389" s="72"/>
      <c r="Y389" s="41"/>
      <c r="Z389" s="41"/>
      <c r="AA389" s="41"/>
      <c r="AB389" s="63"/>
      <c r="AC389" s="41"/>
      <c r="AD389" s="41"/>
      <c r="AE389" s="64"/>
      <c r="AF389" s="41"/>
      <c r="AG389" s="64"/>
      <c r="AH389" s="41"/>
      <c r="AI389" s="41"/>
      <c r="AJ389" s="41"/>
      <c r="AK389" s="41"/>
      <c r="AL389" s="41"/>
      <c r="AM389" s="41"/>
      <c r="AN389" s="41"/>
      <c r="AO389" s="41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5"/>
      <c r="BB389" s="65"/>
      <c r="BC389" s="65"/>
      <c r="BD389" s="65"/>
    </row>
    <row r="390" spans="2:56" ht="16.5" customHeight="1" thickBot="1" x14ac:dyDescent="0.3">
      <c r="B390" s="1" t="s">
        <v>3</v>
      </c>
      <c r="C390" s="15">
        <f t="shared" si="42"/>
        <v>0</v>
      </c>
      <c r="E390" s="1" t="s">
        <v>3</v>
      </c>
      <c r="F390" s="73"/>
      <c r="G390" s="67"/>
      <c r="H390" s="67"/>
      <c r="I390" s="68"/>
      <c r="J390" s="66"/>
      <c r="K390" s="67"/>
      <c r="L390" s="67"/>
      <c r="M390" s="67"/>
      <c r="N390" s="66"/>
      <c r="O390" s="68"/>
      <c r="P390" s="66"/>
      <c r="Q390" s="67"/>
      <c r="R390" s="67"/>
      <c r="S390" s="67"/>
      <c r="T390" s="67"/>
      <c r="U390" s="67"/>
      <c r="V390" s="67"/>
      <c r="W390" s="68"/>
      <c r="X390" s="73"/>
      <c r="Y390" s="67"/>
      <c r="Z390" s="67"/>
      <c r="AA390" s="67"/>
      <c r="AB390" s="66"/>
      <c r="AC390" s="67"/>
      <c r="AD390" s="67"/>
      <c r="AE390" s="68"/>
      <c r="AF390" s="67"/>
      <c r="AG390" s="68"/>
      <c r="AH390" s="67"/>
      <c r="AI390" s="67"/>
      <c r="AJ390" s="67"/>
      <c r="AK390" s="67"/>
      <c r="AL390" s="67"/>
      <c r="AM390" s="67"/>
      <c r="AN390" s="67"/>
      <c r="AO390" s="67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9"/>
      <c r="BB390" s="69"/>
      <c r="BC390" s="69"/>
      <c r="BD390" s="69"/>
    </row>
    <row r="391" spans="2:56" ht="21" customHeight="1" x14ac:dyDescent="0.25">
      <c r="B391" s="2"/>
      <c r="C391" s="8">
        <f>SUM(C387:C390)</f>
        <v>1</v>
      </c>
      <c r="F391" s="74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74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</row>
    <row r="392" spans="2:56" x14ac:dyDescent="0.25"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</row>
    <row r="393" spans="2:56" ht="15.75" x14ac:dyDescent="0.25">
      <c r="F393" s="82" t="s">
        <v>17</v>
      </c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3" t="s">
        <v>16</v>
      </c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79"/>
      <c r="AQ393" s="79"/>
      <c r="AR393" s="79"/>
      <c r="AS393" s="79"/>
      <c r="AT393" s="79"/>
      <c r="AU393" s="41"/>
      <c r="AV393" s="41"/>
      <c r="AW393" s="41"/>
      <c r="AX393" s="41"/>
      <c r="AY393" s="41"/>
      <c r="AZ393" s="41"/>
      <c r="BA393" s="41"/>
    </row>
    <row r="394" spans="2:56" ht="32.25" thickBot="1" x14ac:dyDescent="0.3">
      <c r="F394" s="81" t="s">
        <v>9</v>
      </c>
      <c r="G394" s="81"/>
      <c r="H394" s="81"/>
      <c r="I394" s="81"/>
      <c r="J394" s="81" t="s">
        <v>10</v>
      </c>
      <c r="K394" s="81"/>
      <c r="L394" s="81"/>
      <c r="M394" s="81"/>
      <c r="N394" s="81" t="s">
        <v>49</v>
      </c>
      <c r="O394" s="81"/>
      <c r="P394" s="81" t="s">
        <v>11</v>
      </c>
      <c r="Q394" s="81"/>
      <c r="R394" s="81"/>
      <c r="S394" s="81"/>
      <c r="T394" s="81"/>
      <c r="U394" s="81"/>
      <c r="V394" s="81"/>
      <c r="W394" s="81"/>
      <c r="X394" s="81" t="s">
        <v>9</v>
      </c>
      <c r="Y394" s="81"/>
      <c r="Z394" s="81"/>
      <c r="AA394" s="81"/>
      <c r="AB394" s="81" t="s">
        <v>10</v>
      </c>
      <c r="AC394" s="81"/>
      <c r="AD394" s="81"/>
      <c r="AE394" s="81"/>
      <c r="AF394" s="81" t="s">
        <v>49</v>
      </c>
      <c r="AG394" s="81"/>
      <c r="AH394" s="81" t="s">
        <v>11</v>
      </c>
      <c r="AI394" s="81"/>
      <c r="AJ394" s="81"/>
      <c r="AK394" s="81"/>
      <c r="AL394" s="81"/>
      <c r="AM394" s="81"/>
      <c r="AN394" s="81"/>
      <c r="AO394" s="81"/>
      <c r="AP394" s="70" t="s">
        <v>50</v>
      </c>
      <c r="AQ394" s="70" t="s">
        <v>57</v>
      </c>
      <c r="AR394" s="70" t="s">
        <v>63</v>
      </c>
      <c r="AS394" s="70" t="s">
        <v>64</v>
      </c>
      <c r="AT394" s="70" t="s">
        <v>61</v>
      </c>
      <c r="AU394" s="70" t="s">
        <v>54</v>
      </c>
      <c r="AV394" s="70" t="s">
        <v>19</v>
      </c>
      <c r="AW394" s="70" t="s">
        <v>58</v>
      </c>
      <c r="AX394" s="70" t="s">
        <v>51</v>
      </c>
      <c r="AY394" s="70" t="s">
        <v>53</v>
      </c>
      <c r="AZ394" s="70" t="s">
        <v>52</v>
      </c>
      <c r="BA394" s="70" t="s">
        <v>55</v>
      </c>
      <c r="BB394" s="70" t="s">
        <v>56</v>
      </c>
      <c r="BC394" s="70" t="s">
        <v>59</v>
      </c>
      <c r="BD394" s="70" t="s">
        <v>60</v>
      </c>
    </row>
    <row r="395" spans="2:56" ht="16.5" thickBot="1" x14ac:dyDescent="0.3">
      <c r="B395" s="16">
        <v>0.44791666666666669</v>
      </c>
      <c r="C395" s="7" t="s">
        <v>5</v>
      </c>
      <c r="E395" s="11"/>
      <c r="F395" s="75" t="s">
        <v>15</v>
      </c>
      <c r="G395" s="58" t="s">
        <v>12</v>
      </c>
      <c r="H395" s="58" t="s">
        <v>14</v>
      </c>
      <c r="I395" s="58" t="s">
        <v>13</v>
      </c>
      <c r="J395" s="58" t="s">
        <v>42</v>
      </c>
      <c r="K395" s="58" t="s">
        <v>41</v>
      </c>
      <c r="L395" s="58" t="s">
        <v>43</v>
      </c>
      <c r="M395" s="58" t="s">
        <v>44</v>
      </c>
      <c r="N395" s="58" t="s">
        <v>15</v>
      </c>
      <c r="O395" s="58" t="s">
        <v>14</v>
      </c>
      <c r="P395" s="58" t="s">
        <v>45</v>
      </c>
      <c r="Q395" s="58" t="s">
        <v>46</v>
      </c>
      <c r="R395" s="58" t="s">
        <v>42</v>
      </c>
      <c r="S395" s="58" t="s">
        <v>41</v>
      </c>
      <c r="T395" s="58" t="s">
        <v>47</v>
      </c>
      <c r="U395" s="58" t="s">
        <v>48</v>
      </c>
      <c r="V395" s="58" t="s">
        <v>43</v>
      </c>
      <c r="W395" s="58" t="s">
        <v>44</v>
      </c>
      <c r="X395" s="75" t="s">
        <v>15</v>
      </c>
      <c r="Y395" s="58" t="s">
        <v>12</v>
      </c>
      <c r="Z395" s="58" t="s">
        <v>14</v>
      </c>
      <c r="AA395" s="58" t="s">
        <v>13</v>
      </c>
      <c r="AB395" s="58" t="s">
        <v>42</v>
      </c>
      <c r="AC395" s="58" t="s">
        <v>41</v>
      </c>
      <c r="AD395" s="58" t="s">
        <v>43</v>
      </c>
      <c r="AE395" s="58" t="s">
        <v>44</v>
      </c>
      <c r="AF395" s="58" t="s">
        <v>15</v>
      </c>
      <c r="AG395" s="58" t="s">
        <v>14</v>
      </c>
      <c r="AH395" s="58" t="s">
        <v>45</v>
      </c>
      <c r="AI395" s="58" t="s">
        <v>46</v>
      </c>
      <c r="AJ395" s="58" t="s">
        <v>42</v>
      </c>
      <c r="AK395" s="58" t="s">
        <v>41</v>
      </c>
      <c r="AL395" s="58" t="s">
        <v>47</v>
      </c>
      <c r="AM395" s="58" t="s">
        <v>48</v>
      </c>
      <c r="AN395" s="58" t="s">
        <v>43</v>
      </c>
      <c r="AO395" s="58" t="s">
        <v>44</v>
      </c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</row>
    <row r="396" spans="2:56" ht="16.5" customHeight="1" thickBot="1" x14ac:dyDescent="0.3">
      <c r="B396" s="1" t="s">
        <v>0</v>
      </c>
      <c r="C396" s="13">
        <f>SUM(F396:W396)</f>
        <v>0</v>
      </c>
      <c r="E396" s="10" t="s">
        <v>0</v>
      </c>
      <c r="F396" s="71"/>
      <c r="G396" s="60"/>
      <c r="H396" s="60"/>
      <c r="I396" s="61"/>
      <c r="J396" s="59"/>
      <c r="K396" s="60"/>
      <c r="L396" s="60"/>
      <c r="M396" s="60"/>
      <c r="N396" s="59"/>
      <c r="O396" s="61"/>
      <c r="P396" s="59"/>
      <c r="Q396" s="60"/>
      <c r="R396" s="60"/>
      <c r="S396" s="60"/>
      <c r="T396" s="60"/>
      <c r="U396" s="60"/>
      <c r="V396" s="60"/>
      <c r="W396" s="61"/>
      <c r="X396" s="71"/>
      <c r="Y396" s="60"/>
      <c r="Z396" s="60"/>
      <c r="AA396" s="60"/>
      <c r="AB396" s="59"/>
      <c r="AC396" s="60"/>
      <c r="AD396" s="60"/>
      <c r="AE396" s="61"/>
      <c r="AF396" s="60"/>
      <c r="AG396" s="61"/>
      <c r="AH396" s="60"/>
      <c r="AI396" s="60"/>
      <c r="AJ396" s="60"/>
      <c r="AK396" s="60"/>
      <c r="AL396" s="60"/>
      <c r="AM396" s="60"/>
      <c r="AN396" s="60"/>
      <c r="AO396" s="60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62"/>
      <c r="BB396" s="62"/>
      <c r="BC396" s="62"/>
      <c r="BD396" s="62"/>
    </row>
    <row r="397" spans="2:56" ht="16.5" customHeight="1" thickBot="1" x14ac:dyDescent="0.3">
      <c r="B397" s="1" t="s">
        <v>1</v>
      </c>
      <c r="C397" s="14">
        <f t="shared" ref="C397:C399" si="43">SUM(F397:W397)</f>
        <v>0</v>
      </c>
      <c r="E397" s="1" t="s">
        <v>1</v>
      </c>
      <c r="F397" s="72"/>
      <c r="G397" s="41"/>
      <c r="H397" s="41"/>
      <c r="I397" s="64"/>
      <c r="J397" s="63"/>
      <c r="K397" s="41"/>
      <c r="L397" s="41"/>
      <c r="M397" s="41"/>
      <c r="N397" s="63"/>
      <c r="O397" s="64"/>
      <c r="P397" s="63"/>
      <c r="Q397" s="41"/>
      <c r="R397" s="41"/>
      <c r="S397" s="41"/>
      <c r="T397" s="41"/>
      <c r="U397" s="41"/>
      <c r="V397" s="41"/>
      <c r="W397" s="64"/>
      <c r="X397" s="72"/>
      <c r="Y397" s="41"/>
      <c r="Z397" s="41"/>
      <c r="AA397" s="41"/>
      <c r="AB397" s="63"/>
      <c r="AC397" s="41"/>
      <c r="AD397" s="41"/>
      <c r="AE397" s="64"/>
      <c r="AF397" s="41"/>
      <c r="AG397" s="64"/>
      <c r="AH397" s="41"/>
      <c r="AI397" s="41"/>
      <c r="AJ397" s="41"/>
      <c r="AK397" s="41"/>
      <c r="AL397" s="41"/>
      <c r="AM397" s="41"/>
      <c r="AN397" s="41"/>
      <c r="AO397" s="41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5"/>
      <c r="BB397" s="65"/>
      <c r="BC397" s="65"/>
      <c r="BD397" s="65"/>
    </row>
    <row r="398" spans="2:56" ht="16.5" customHeight="1" thickBot="1" x14ac:dyDescent="0.3">
      <c r="B398" s="1" t="s">
        <v>2</v>
      </c>
      <c r="C398" s="14">
        <f t="shared" si="43"/>
        <v>0</v>
      </c>
      <c r="E398" s="1" t="s">
        <v>2</v>
      </c>
      <c r="F398" s="72"/>
      <c r="G398" s="41"/>
      <c r="H398" s="41"/>
      <c r="I398" s="64"/>
      <c r="J398" s="63"/>
      <c r="K398" s="41"/>
      <c r="L398" s="41"/>
      <c r="M398" s="41"/>
      <c r="N398" s="63"/>
      <c r="O398" s="64"/>
      <c r="P398" s="63"/>
      <c r="Q398" s="41"/>
      <c r="R398" s="41"/>
      <c r="S398" s="41"/>
      <c r="T398" s="41"/>
      <c r="U398" s="41"/>
      <c r="V398" s="41"/>
      <c r="W398" s="64"/>
      <c r="X398" s="72"/>
      <c r="Y398" s="41"/>
      <c r="Z398" s="41"/>
      <c r="AA398" s="41"/>
      <c r="AB398" s="63"/>
      <c r="AC398" s="41"/>
      <c r="AD398" s="41"/>
      <c r="AE398" s="64"/>
      <c r="AF398" s="41"/>
      <c r="AG398" s="64"/>
      <c r="AH398" s="41"/>
      <c r="AI398" s="41"/>
      <c r="AJ398" s="41"/>
      <c r="AK398" s="41"/>
      <c r="AL398" s="41"/>
      <c r="AM398" s="41"/>
      <c r="AN398" s="41"/>
      <c r="AO398" s="41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5"/>
      <c r="BB398" s="65"/>
      <c r="BC398" s="65"/>
      <c r="BD398" s="65"/>
    </row>
    <row r="399" spans="2:56" ht="16.5" customHeight="1" thickBot="1" x14ac:dyDescent="0.3">
      <c r="B399" s="1" t="s">
        <v>3</v>
      </c>
      <c r="C399" s="15">
        <f t="shared" si="43"/>
        <v>0</v>
      </c>
      <c r="E399" s="1" t="s">
        <v>3</v>
      </c>
      <c r="F399" s="73"/>
      <c r="G399" s="67"/>
      <c r="H399" s="67"/>
      <c r="I399" s="68"/>
      <c r="J399" s="66"/>
      <c r="K399" s="67"/>
      <c r="L399" s="67"/>
      <c r="M399" s="67"/>
      <c r="N399" s="66"/>
      <c r="O399" s="68"/>
      <c r="P399" s="66"/>
      <c r="Q399" s="67"/>
      <c r="R399" s="67"/>
      <c r="S399" s="67"/>
      <c r="T399" s="67"/>
      <c r="U399" s="67"/>
      <c r="V399" s="67"/>
      <c r="W399" s="68"/>
      <c r="X399" s="73"/>
      <c r="Y399" s="67"/>
      <c r="Z399" s="67"/>
      <c r="AA399" s="67"/>
      <c r="AB399" s="66"/>
      <c r="AC399" s="67"/>
      <c r="AD399" s="67"/>
      <c r="AE399" s="68"/>
      <c r="AF399" s="67"/>
      <c r="AG399" s="68"/>
      <c r="AH399" s="67"/>
      <c r="AI399" s="67"/>
      <c r="AJ399" s="67"/>
      <c r="AK399" s="67"/>
      <c r="AL399" s="67"/>
      <c r="AM399" s="67"/>
      <c r="AN399" s="67"/>
      <c r="AO399" s="67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9"/>
      <c r="BB399" s="69"/>
      <c r="BC399" s="69"/>
      <c r="BD399" s="69"/>
    </row>
    <row r="400" spans="2:56" ht="21" customHeight="1" x14ac:dyDescent="0.25">
      <c r="B400" s="2"/>
      <c r="C400" s="8">
        <f>SUM(C396:C399)</f>
        <v>0</v>
      </c>
      <c r="F400" s="74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74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</row>
    <row r="401" spans="2:56" x14ac:dyDescent="0.25"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</row>
    <row r="402" spans="2:56" ht="15.75" x14ac:dyDescent="0.25">
      <c r="F402" s="82" t="s">
        <v>17</v>
      </c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3" t="s">
        <v>16</v>
      </c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79"/>
      <c r="AQ402" s="79"/>
      <c r="AR402" s="79"/>
      <c r="AS402" s="79"/>
      <c r="AT402" s="79"/>
      <c r="AU402" s="41"/>
      <c r="AV402" s="41"/>
      <c r="AW402" s="41"/>
      <c r="AX402" s="41"/>
      <c r="AY402" s="41"/>
      <c r="AZ402" s="41"/>
      <c r="BA402" s="41"/>
    </row>
    <row r="403" spans="2:56" ht="32.25" thickBot="1" x14ac:dyDescent="0.3">
      <c r="F403" s="81" t="s">
        <v>9</v>
      </c>
      <c r="G403" s="81"/>
      <c r="H403" s="81"/>
      <c r="I403" s="81"/>
      <c r="J403" s="81" t="s">
        <v>10</v>
      </c>
      <c r="K403" s="81"/>
      <c r="L403" s="81"/>
      <c r="M403" s="81"/>
      <c r="N403" s="81" t="s">
        <v>49</v>
      </c>
      <c r="O403" s="81"/>
      <c r="P403" s="81" t="s">
        <v>11</v>
      </c>
      <c r="Q403" s="81"/>
      <c r="R403" s="81"/>
      <c r="S403" s="81"/>
      <c r="T403" s="81"/>
      <c r="U403" s="81"/>
      <c r="V403" s="81"/>
      <c r="W403" s="81"/>
      <c r="X403" s="81" t="s">
        <v>9</v>
      </c>
      <c r="Y403" s="81"/>
      <c r="Z403" s="81"/>
      <c r="AA403" s="81"/>
      <c r="AB403" s="81" t="s">
        <v>10</v>
      </c>
      <c r="AC403" s="81"/>
      <c r="AD403" s="81"/>
      <c r="AE403" s="81"/>
      <c r="AF403" s="81" t="s">
        <v>49</v>
      </c>
      <c r="AG403" s="81"/>
      <c r="AH403" s="81" t="s">
        <v>11</v>
      </c>
      <c r="AI403" s="81"/>
      <c r="AJ403" s="81"/>
      <c r="AK403" s="81"/>
      <c r="AL403" s="81"/>
      <c r="AM403" s="81"/>
      <c r="AN403" s="81"/>
      <c r="AO403" s="81"/>
      <c r="AP403" s="70" t="s">
        <v>50</v>
      </c>
      <c r="AQ403" s="70" t="s">
        <v>57</v>
      </c>
      <c r="AR403" s="70" t="s">
        <v>63</v>
      </c>
      <c r="AS403" s="70" t="s">
        <v>64</v>
      </c>
      <c r="AT403" s="70" t="s">
        <v>61</v>
      </c>
      <c r="AU403" s="70" t="s">
        <v>54</v>
      </c>
      <c r="AV403" s="70" t="s">
        <v>19</v>
      </c>
      <c r="AW403" s="70" t="s">
        <v>58</v>
      </c>
      <c r="AX403" s="70" t="s">
        <v>51</v>
      </c>
      <c r="AY403" s="70" t="s">
        <v>53</v>
      </c>
      <c r="AZ403" s="70" t="s">
        <v>52</v>
      </c>
      <c r="BA403" s="70" t="s">
        <v>55</v>
      </c>
      <c r="BB403" s="70" t="s">
        <v>56</v>
      </c>
      <c r="BC403" s="70" t="s">
        <v>59</v>
      </c>
      <c r="BD403" s="70" t="s">
        <v>60</v>
      </c>
    </row>
    <row r="404" spans="2:56" ht="16.5" thickBot="1" x14ac:dyDescent="0.3">
      <c r="B404" s="17">
        <v>0.45833333333333331</v>
      </c>
      <c r="C404" s="7" t="s">
        <v>5</v>
      </c>
      <c r="E404" s="11"/>
      <c r="F404" s="75" t="s">
        <v>15</v>
      </c>
      <c r="G404" s="58" t="s">
        <v>12</v>
      </c>
      <c r="H404" s="58" t="s">
        <v>14</v>
      </c>
      <c r="I404" s="58" t="s">
        <v>13</v>
      </c>
      <c r="J404" s="58" t="s">
        <v>42</v>
      </c>
      <c r="K404" s="58" t="s">
        <v>41</v>
      </c>
      <c r="L404" s="58" t="s">
        <v>43</v>
      </c>
      <c r="M404" s="58" t="s">
        <v>44</v>
      </c>
      <c r="N404" s="58" t="s">
        <v>15</v>
      </c>
      <c r="O404" s="58" t="s">
        <v>14</v>
      </c>
      <c r="P404" s="58" t="s">
        <v>45</v>
      </c>
      <c r="Q404" s="58" t="s">
        <v>46</v>
      </c>
      <c r="R404" s="58" t="s">
        <v>42</v>
      </c>
      <c r="S404" s="58" t="s">
        <v>41</v>
      </c>
      <c r="T404" s="58" t="s">
        <v>47</v>
      </c>
      <c r="U404" s="58" t="s">
        <v>48</v>
      </c>
      <c r="V404" s="58" t="s">
        <v>43</v>
      </c>
      <c r="W404" s="58" t="s">
        <v>44</v>
      </c>
      <c r="X404" s="75" t="s">
        <v>15</v>
      </c>
      <c r="Y404" s="58" t="s">
        <v>12</v>
      </c>
      <c r="Z404" s="58" t="s">
        <v>14</v>
      </c>
      <c r="AA404" s="58" t="s">
        <v>13</v>
      </c>
      <c r="AB404" s="58" t="s">
        <v>42</v>
      </c>
      <c r="AC404" s="58" t="s">
        <v>41</v>
      </c>
      <c r="AD404" s="58" t="s">
        <v>43</v>
      </c>
      <c r="AE404" s="58" t="s">
        <v>44</v>
      </c>
      <c r="AF404" s="58" t="s">
        <v>15</v>
      </c>
      <c r="AG404" s="58" t="s">
        <v>14</v>
      </c>
      <c r="AH404" s="58" t="s">
        <v>45</v>
      </c>
      <c r="AI404" s="58" t="s">
        <v>46</v>
      </c>
      <c r="AJ404" s="58" t="s">
        <v>42</v>
      </c>
      <c r="AK404" s="58" t="s">
        <v>41</v>
      </c>
      <c r="AL404" s="58" t="s">
        <v>47</v>
      </c>
      <c r="AM404" s="58" t="s">
        <v>48</v>
      </c>
      <c r="AN404" s="58" t="s">
        <v>43</v>
      </c>
      <c r="AO404" s="58" t="s">
        <v>44</v>
      </c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</row>
    <row r="405" spans="2:56" ht="16.5" customHeight="1" thickBot="1" x14ac:dyDescent="0.3">
      <c r="B405" s="1" t="s">
        <v>0</v>
      </c>
      <c r="C405" s="13">
        <f>SUM(F405:W405)</f>
        <v>0</v>
      </c>
      <c r="E405" s="10" t="s">
        <v>0</v>
      </c>
      <c r="F405" s="71"/>
      <c r="G405" s="60"/>
      <c r="H405" s="60"/>
      <c r="I405" s="61"/>
      <c r="J405" s="59"/>
      <c r="K405" s="60"/>
      <c r="L405" s="60"/>
      <c r="M405" s="60"/>
      <c r="N405" s="59"/>
      <c r="O405" s="61"/>
      <c r="P405" s="59"/>
      <c r="Q405" s="60"/>
      <c r="R405" s="60"/>
      <c r="S405" s="60"/>
      <c r="T405" s="60"/>
      <c r="U405" s="60"/>
      <c r="V405" s="60"/>
      <c r="W405" s="61"/>
      <c r="X405" s="71"/>
      <c r="Y405" s="60"/>
      <c r="Z405" s="60"/>
      <c r="AA405" s="60"/>
      <c r="AB405" s="59"/>
      <c r="AC405" s="60"/>
      <c r="AD405" s="60"/>
      <c r="AE405" s="61"/>
      <c r="AF405" s="60"/>
      <c r="AG405" s="61"/>
      <c r="AH405" s="60"/>
      <c r="AI405" s="60"/>
      <c r="AJ405" s="60"/>
      <c r="AK405" s="60"/>
      <c r="AL405" s="60"/>
      <c r="AM405" s="60"/>
      <c r="AN405" s="60"/>
      <c r="AO405" s="60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62"/>
      <c r="BB405" s="62"/>
      <c r="BC405" s="62"/>
      <c r="BD405" s="62"/>
    </row>
    <row r="406" spans="2:56" ht="16.5" customHeight="1" thickBot="1" x14ac:dyDescent="0.3">
      <c r="B406" s="1" t="s">
        <v>1</v>
      </c>
      <c r="C406" s="14">
        <f t="shared" ref="C406:C408" si="44">SUM(F406:W406)</f>
        <v>0</v>
      </c>
      <c r="E406" s="1" t="s">
        <v>1</v>
      </c>
      <c r="F406" s="72"/>
      <c r="G406" s="41"/>
      <c r="H406" s="41"/>
      <c r="I406" s="64"/>
      <c r="J406" s="63"/>
      <c r="K406" s="41"/>
      <c r="L406" s="41"/>
      <c r="M406" s="41"/>
      <c r="N406" s="63"/>
      <c r="O406" s="64"/>
      <c r="P406" s="63"/>
      <c r="Q406" s="41"/>
      <c r="R406" s="41"/>
      <c r="S406" s="41"/>
      <c r="T406" s="41"/>
      <c r="U406" s="41"/>
      <c r="V406" s="41"/>
      <c r="W406" s="64"/>
      <c r="X406" s="72"/>
      <c r="Y406" s="41"/>
      <c r="Z406" s="41"/>
      <c r="AA406" s="41"/>
      <c r="AB406" s="63"/>
      <c r="AC406" s="41"/>
      <c r="AD406" s="41"/>
      <c r="AE406" s="64"/>
      <c r="AF406" s="41"/>
      <c r="AG406" s="64"/>
      <c r="AH406" s="41"/>
      <c r="AI406" s="41"/>
      <c r="AJ406" s="41"/>
      <c r="AK406" s="41"/>
      <c r="AL406" s="41"/>
      <c r="AM406" s="41"/>
      <c r="AN406" s="41"/>
      <c r="AO406" s="41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5"/>
      <c r="BB406" s="65"/>
      <c r="BC406" s="65"/>
      <c r="BD406" s="65"/>
    </row>
    <row r="407" spans="2:56" ht="16.5" customHeight="1" thickBot="1" x14ac:dyDescent="0.3">
      <c r="B407" s="1" t="s">
        <v>2</v>
      </c>
      <c r="C407" s="14">
        <f t="shared" si="44"/>
        <v>0</v>
      </c>
      <c r="E407" s="1" t="s">
        <v>2</v>
      </c>
      <c r="F407" s="72"/>
      <c r="G407" s="41"/>
      <c r="H407" s="41"/>
      <c r="I407" s="64"/>
      <c r="J407" s="63"/>
      <c r="K407" s="41"/>
      <c r="L407" s="41"/>
      <c r="M407" s="41"/>
      <c r="N407" s="63"/>
      <c r="O407" s="64"/>
      <c r="P407" s="63"/>
      <c r="Q407" s="41"/>
      <c r="R407" s="41"/>
      <c r="S407" s="41"/>
      <c r="T407" s="41"/>
      <c r="U407" s="41"/>
      <c r="V407" s="41"/>
      <c r="W407" s="64"/>
      <c r="X407" s="72"/>
      <c r="Y407" s="41"/>
      <c r="Z407" s="41"/>
      <c r="AA407" s="41"/>
      <c r="AB407" s="63"/>
      <c r="AC407" s="41"/>
      <c r="AD407" s="41"/>
      <c r="AE407" s="64"/>
      <c r="AF407" s="41"/>
      <c r="AG407" s="64"/>
      <c r="AH407" s="41"/>
      <c r="AI407" s="41"/>
      <c r="AJ407" s="41"/>
      <c r="AK407" s="41"/>
      <c r="AL407" s="41"/>
      <c r="AM407" s="41"/>
      <c r="AN407" s="41"/>
      <c r="AO407" s="41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5"/>
      <c r="BB407" s="65"/>
      <c r="BC407" s="65"/>
      <c r="BD407" s="65"/>
    </row>
    <row r="408" spans="2:56" ht="16.5" customHeight="1" thickBot="1" x14ac:dyDescent="0.3">
      <c r="B408" s="1" t="s">
        <v>3</v>
      </c>
      <c r="C408" s="15">
        <f t="shared" si="44"/>
        <v>0</v>
      </c>
      <c r="E408" s="1" t="s">
        <v>3</v>
      </c>
      <c r="F408" s="73"/>
      <c r="G408" s="67"/>
      <c r="H408" s="67"/>
      <c r="I408" s="68"/>
      <c r="J408" s="66"/>
      <c r="K408" s="67"/>
      <c r="L408" s="67"/>
      <c r="M408" s="67"/>
      <c r="N408" s="66"/>
      <c r="O408" s="68"/>
      <c r="P408" s="66"/>
      <c r="Q408" s="67"/>
      <c r="R408" s="67"/>
      <c r="S408" s="67"/>
      <c r="T408" s="67"/>
      <c r="U408" s="67"/>
      <c r="V408" s="67"/>
      <c r="W408" s="68"/>
      <c r="X408" s="73"/>
      <c r="Y408" s="67"/>
      <c r="Z408" s="67"/>
      <c r="AA408" s="67"/>
      <c r="AB408" s="66"/>
      <c r="AC408" s="67"/>
      <c r="AD408" s="67"/>
      <c r="AE408" s="68"/>
      <c r="AF408" s="67"/>
      <c r="AG408" s="68"/>
      <c r="AH408" s="67"/>
      <c r="AI408" s="67"/>
      <c r="AJ408" s="67"/>
      <c r="AK408" s="67"/>
      <c r="AL408" s="67"/>
      <c r="AM408" s="67"/>
      <c r="AN408" s="67"/>
      <c r="AO408" s="67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9"/>
      <c r="BB408" s="69"/>
      <c r="BC408" s="69"/>
      <c r="BD408" s="69"/>
    </row>
    <row r="409" spans="2:56" ht="21" customHeight="1" x14ac:dyDescent="0.25">
      <c r="B409" s="2"/>
      <c r="C409" s="8">
        <f>SUM(C405:C408)</f>
        <v>0</v>
      </c>
      <c r="F409" s="74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74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</row>
    <row r="410" spans="2:56" x14ac:dyDescent="0.25"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</row>
    <row r="411" spans="2:56" ht="15.75" x14ac:dyDescent="0.25">
      <c r="F411" s="82" t="s">
        <v>17</v>
      </c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3" t="s">
        <v>16</v>
      </c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79"/>
      <c r="AQ411" s="79"/>
      <c r="AR411" s="79"/>
      <c r="AS411" s="79"/>
      <c r="AT411" s="79"/>
      <c r="AU411" s="41"/>
      <c r="AV411" s="41"/>
      <c r="AW411" s="41"/>
      <c r="AX411" s="41"/>
      <c r="AY411" s="41"/>
      <c r="AZ411" s="41"/>
      <c r="BA411" s="41"/>
    </row>
    <row r="412" spans="2:56" ht="32.25" thickBot="1" x14ac:dyDescent="0.3">
      <c r="F412" s="81" t="s">
        <v>9</v>
      </c>
      <c r="G412" s="81"/>
      <c r="H412" s="81"/>
      <c r="I412" s="81"/>
      <c r="J412" s="81" t="s">
        <v>10</v>
      </c>
      <c r="K412" s="81"/>
      <c r="L412" s="81"/>
      <c r="M412" s="81"/>
      <c r="N412" s="81" t="s">
        <v>49</v>
      </c>
      <c r="O412" s="81"/>
      <c r="P412" s="81" t="s">
        <v>11</v>
      </c>
      <c r="Q412" s="81"/>
      <c r="R412" s="81"/>
      <c r="S412" s="81"/>
      <c r="T412" s="81"/>
      <c r="U412" s="81"/>
      <c r="V412" s="81"/>
      <c r="W412" s="81"/>
      <c r="X412" s="81" t="s">
        <v>9</v>
      </c>
      <c r="Y412" s="81"/>
      <c r="Z412" s="81"/>
      <c r="AA412" s="81"/>
      <c r="AB412" s="81" t="s">
        <v>10</v>
      </c>
      <c r="AC412" s="81"/>
      <c r="AD412" s="81"/>
      <c r="AE412" s="81"/>
      <c r="AF412" s="81" t="s">
        <v>49</v>
      </c>
      <c r="AG412" s="81"/>
      <c r="AH412" s="81" t="s">
        <v>11</v>
      </c>
      <c r="AI412" s="81"/>
      <c r="AJ412" s="81"/>
      <c r="AK412" s="81"/>
      <c r="AL412" s="81"/>
      <c r="AM412" s="81"/>
      <c r="AN412" s="81"/>
      <c r="AO412" s="81"/>
      <c r="AP412" s="70" t="s">
        <v>50</v>
      </c>
      <c r="AQ412" s="70" t="s">
        <v>57</v>
      </c>
      <c r="AR412" s="70" t="s">
        <v>63</v>
      </c>
      <c r="AS412" s="70" t="s">
        <v>64</v>
      </c>
      <c r="AT412" s="70" t="s">
        <v>61</v>
      </c>
      <c r="AU412" s="70" t="s">
        <v>54</v>
      </c>
      <c r="AV412" s="70" t="s">
        <v>19</v>
      </c>
      <c r="AW412" s="70" t="s">
        <v>58</v>
      </c>
      <c r="AX412" s="70" t="s">
        <v>51</v>
      </c>
      <c r="AY412" s="70" t="s">
        <v>53</v>
      </c>
      <c r="AZ412" s="70" t="s">
        <v>52</v>
      </c>
      <c r="BA412" s="70" t="s">
        <v>55</v>
      </c>
      <c r="BB412" s="70" t="s">
        <v>56</v>
      </c>
      <c r="BC412" s="70" t="s">
        <v>59</v>
      </c>
      <c r="BD412" s="70" t="s">
        <v>60</v>
      </c>
    </row>
    <row r="413" spans="2:56" ht="16.5" thickBot="1" x14ac:dyDescent="0.3">
      <c r="B413" s="17">
        <v>0.46875</v>
      </c>
      <c r="C413" s="7" t="s">
        <v>5</v>
      </c>
      <c r="E413" s="11"/>
      <c r="F413" s="75" t="s">
        <v>15</v>
      </c>
      <c r="G413" s="58" t="s">
        <v>12</v>
      </c>
      <c r="H413" s="58" t="s">
        <v>14</v>
      </c>
      <c r="I413" s="58" t="s">
        <v>13</v>
      </c>
      <c r="J413" s="58" t="s">
        <v>42</v>
      </c>
      <c r="K413" s="58" t="s">
        <v>41</v>
      </c>
      <c r="L413" s="58" t="s">
        <v>43</v>
      </c>
      <c r="M413" s="58" t="s">
        <v>44</v>
      </c>
      <c r="N413" s="58" t="s">
        <v>15</v>
      </c>
      <c r="O413" s="58" t="s">
        <v>14</v>
      </c>
      <c r="P413" s="58" t="s">
        <v>45</v>
      </c>
      <c r="Q413" s="58" t="s">
        <v>46</v>
      </c>
      <c r="R413" s="58" t="s">
        <v>42</v>
      </c>
      <c r="S413" s="58" t="s">
        <v>41</v>
      </c>
      <c r="T413" s="58" t="s">
        <v>47</v>
      </c>
      <c r="U413" s="58" t="s">
        <v>48</v>
      </c>
      <c r="V413" s="58" t="s">
        <v>43</v>
      </c>
      <c r="W413" s="58" t="s">
        <v>44</v>
      </c>
      <c r="X413" s="75" t="s">
        <v>15</v>
      </c>
      <c r="Y413" s="58" t="s">
        <v>12</v>
      </c>
      <c r="Z413" s="58" t="s">
        <v>14</v>
      </c>
      <c r="AA413" s="58" t="s">
        <v>13</v>
      </c>
      <c r="AB413" s="58" t="s">
        <v>42</v>
      </c>
      <c r="AC413" s="58" t="s">
        <v>41</v>
      </c>
      <c r="AD413" s="58" t="s">
        <v>43</v>
      </c>
      <c r="AE413" s="58" t="s">
        <v>44</v>
      </c>
      <c r="AF413" s="58" t="s">
        <v>15</v>
      </c>
      <c r="AG413" s="58" t="s">
        <v>14</v>
      </c>
      <c r="AH413" s="58" t="s">
        <v>45</v>
      </c>
      <c r="AI413" s="58" t="s">
        <v>46</v>
      </c>
      <c r="AJ413" s="58" t="s">
        <v>42</v>
      </c>
      <c r="AK413" s="58" t="s">
        <v>41</v>
      </c>
      <c r="AL413" s="58" t="s">
        <v>47</v>
      </c>
      <c r="AM413" s="58" t="s">
        <v>48</v>
      </c>
      <c r="AN413" s="58" t="s">
        <v>43</v>
      </c>
      <c r="AO413" s="58" t="s">
        <v>44</v>
      </c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</row>
    <row r="414" spans="2:56" ht="16.5" customHeight="1" thickBot="1" x14ac:dyDescent="0.3">
      <c r="B414" s="1" t="s">
        <v>0</v>
      </c>
      <c r="C414" s="13">
        <f>SUM(F414:W414)</f>
        <v>5</v>
      </c>
      <c r="E414" s="10" t="s">
        <v>0</v>
      </c>
      <c r="F414" s="71"/>
      <c r="G414" s="60"/>
      <c r="H414" s="60"/>
      <c r="I414" s="61"/>
      <c r="J414" s="59"/>
      <c r="K414" s="60"/>
      <c r="L414" s="60"/>
      <c r="M414" s="60"/>
      <c r="N414" s="59"/>
      <c r="O414" s="61"/>
      <c r="P414" s="59"/>
      <c r="Q414" s="60">
        <v>2</v>
      </c>
      <c r="R414" s="60"/>
      <c r="S414" s="60">
        <v>2</v>
      </c>
      <c r="T414" s="60"/>
      <c r="U414" s="60"/>
      <c r="V414" s="60"/>
      <c r="W414" s="61">
        <v>1</v>
      </c>
      <c r="X414" s="71"/>
      <c r="Y414" s="60"/>
      <c r="Z414" s="60"/>
      <c r="AA414" s="60"/>
      <c r="AB414" s="59"/>
      <c r="AC414" s="60"/>
      <c r="AD414" s="60"/>
      <c r="AE414" s="61"/>
      <c r="AF414" s="60"/>
      <c r="AG414" s="61">
        <v>1</v>
      </c>
      <c r="AH414" s="60"/>
      <c r="AI414" s="60"/>
      <c r="AJ414" s="60">
        <v>1</v>
      </c>
      <c r="AK414" s="60"/>
      <c r="AL414" s="60">
        <v>3</v>
      </c>
      <c r="AM414" s="60"/>
      <c r="AN414" s="60"/>
      <c r="AO414" s="60"/>
      <c r="AP414" s="59">
        <v>2</v>
      </c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62">
        <v>1</v>
      </c>
      <c r="BB414" s="62">
        <v>1</v>
      </c>
      <c r="BC414" s="62"/>
      <c r="BD414" s="62"/>
    </row>
    <row r="415" spans="2:56" ht="16.5" customHeight="1" thickBot="1" x14ac:dyDescent="0.3">
      <c r="B415" s="1" t="s">
        <v>1</v>
      </c>
      <c r="C415" s="14">
        <f t="shared" ref="C415:C417" si="45">SUM(F415:W415)</f>
        <v>2</v>
      </c>
      <c r="E415" s="1" t="s">
        <v>1</v>
      </c>
      <c r="F415" s="72"/>
      <c r="G415" s="41"/>
      <c r="H415" s="41"/>
      <c r="I415" s="64"/>
      <c r="J415" s="63">
        <v>1</v>
      </c>
      <c r="K415" s="41"/>
      <c r="L415" s="41">
        <v>1</v>
      </c>
      <c r="M415" s="41"/>
      <c r="N415" s="63"/>
      <c r="O415" s="64"/>
      <c r="P415" s="63"/>
      <c r="Q415" s="41"/>
      <c r="R415" s="41"/>
      <c r="S415" s="41"/>
      <c r="T415" s="41"/>
      <c r="U415" s="41"/>
      <c r="V415" s="41"/>
      <c r="W415" s="64"/>
      <c r="X415" s="72"/>
      <c r="Y415" s="41"/>
      <c r="Z415" s="41"/>
      <c r="AA415" s="41"/>
      <c r="AB415" s="63"/>
      <c r="AC415" s="41">
        <v>1</v>
      </c>
      <c r="AD415" s="41"/>
      <c r="AE415" s="64"/>
      <c r="AF415" s="41">
        <v>1</v>
      </c>
      <c r="AG415" s="64"/>
      <c r="AH415" s="41"/>
      <c r="AI415" s="41"/>
      <c r="AJ415" s="41"/>
      <c r="AK415" s="41"/>
      <c r="AL415" s="41"/>
      <c r="AM415" s="41"/>
      <c r="AN415" s="41"/>
      <c r="AO415" s="41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5"/>
      <c r="BB415" s="65"/>
      <c r="BC415" s="65"/>
      <c r="BD415" s="65"/>
    </row>
    <row r="416" spans="2:56" ht="16.5" customHeight="1" thickBot="1" x14ac:dyDescent="0.3">
      <c r="B416" s="1" t="s">
        <v>2</v>
      </c>
      <c r="C416" s="14">
        <f t="shared" si="45"/>
        <v>0</v>
      </c>
      <c r="E416" s="1" t="s">
        <v>2</v>
      </c>
      <c r="F416" s="72"/>
      <c r="G416" s="41"/>
      <c r="H416" s="41"/>
      <c r="I416" s="64"/>
      <c r="J416" s="63"/>
      <c r="K416" s="41"/>
      <c r="L416" s="41"/>
      <c r="M416" s="41"/>
      <c r="N416" s="63"/>
      <c r="O416" s="64"/>
      <c r="P416" s="63"/>
      <c r="Q416" s="41"/>
      <c r="R416" s="41"/>
      <c r="S416" s="41"/>
      <c r="T416" s="41"/>
      <c r="U416" s="41"/>
      <c r="V416" s="41"/>
      <c r="W416" s="64"/>
      <c r="X416" s="72"/>
      <c r="Y416" s="41"/>
      <c r="Z416" s="41"/>
      <c r="AA416" s="41"/>
      <c r="AB416" s="63"/>
      <c r="AC416" s="41"/>
      <c r="AD416" s="41"/>
      <c r="AE416" s="64"/>
      <c r="AF416" s="41"/>
      <c r="AG416" s="64"/>
      <c r="AH416" s="41"/>
      <c r="AI416" s="41"/>
      <c r="AJ416" s="41"/>
      <c r="AK416" s="41"/>
      <c r="AL416" s="41"/>
      <c r="AM416" s="41"/>
      <c r="AN416" s="41"/>
      <c r="AO416" s="41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5"/>
      <c r="BB416" s="65"/>
      <c r="BC416" s="65"/>
      <c r="BD416" s="65"/>
    </row>
    <row r="417" spans="2:56" ht="16.5" customHeight="1" thickBot="1" x14ac:dyDescent="0.3">
      <c r="B417" s="1" t="s">
        <v>3</v>
      </c>
      <c r="C417" s="15">
        <f t="shared" si="45"/>
        <v>0</v>
      </c>
      <c r="E417" s="1" t="s">
        <v>3</v>
      </c>
      <c r="F417" s="73"/>
      <c r="G417" s="67"/>
      <c r="H417" s="67"/>
      <c r="I417" s="68"/>
      <c r="J417" s="66"/>
      <c r="K417" s="67"/>
      <c r="L417" s="67"/>
      <c r="M417" s="67"/>
      <c r="N417" s="66"/>
      <c r="O417" s="68"/>
      <c r="P417" s="66"/>
      <c r="Q417" s="67"/>
      <c r="R417" s="67"/>
      <c r="S417" s="67"/>
      <c r="T417" s="67"/>
      <c r="U417" s="67"/>
      <c r="V417" s="67"/>
      <c r="W417" s="68"/>
      <c r="X417" s="73"/>
      <c r="Y417" s="67"/>
      <c r="Z417" s="67"/>
      <c r="AA417" s="67"/>
      <c r="AB417" s="66"/>
      <c r="AC417" s="67"/>
      <c r="AD417" s="67"/>
      <c r="AE417" s="68"/>
      <c r="AF417" s="67"/>
      <c r="AG417" s="68"/>
      <c r="AH417" s="67"/>
      <c r="AI417" s="67"/>
      <c r="AJ417" s="67"/>
      <c r="AK417" s="67"/>
      <c r="AL417" s="67"/>
      <c r="AM417" s="67"/>
      <c r="AN417" s="67"/>
      <c r="AO417" s="67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9"/>
      <c r="BB417" s="69"/>
      <c r="BC417" s="69"/>
      <c r="BD417" s="69"/>
    </row>
    <row r="418" spans="2:56" ht="21" customHeight="1" x14ac:dyDescent="0.25">
      <c r="B418" s="2"/>
      <c r="C418" s="8">
        <f>SUM(C414:C417)</f>
        <v>7</v>
      </c>
      <c r="F418" s="74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74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</row>
    <row r="419" spans="2:56" x14ac:dyDescent="0.25"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</row>
    <row r="420" spans="2:56" ht="15.75" x14ac:dyDescent="0.25">
      <c r="F420" s="82" t="s">
        <v>17</v>
      </c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3" t="s">
        <v>16</v>
      </c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79"/>
      <c r="AQ420" s="79"/>
      <c r="AR420" s="79"/>
      <c r="AS420" s="79"/>
      <c r="AT420" s="79"/>
      <c r="AU420" s="41"/>
      <c r="AV420" s="41"/>
      <c r="AW420" s="41"/>
      <c r="AX420" s="41"/>
      <c r="AY420" s="41"/>
      <c r="AZ420" s="41"/>
      <c r="BA420" s="41"/>
    </row>
    <row r="421" spans="2:56" ht="32.25" thickBot="1" x14ac:dyDescent="0.3">
      <c r="F421" s="81" t="s">
        <v>9</v>
      </c>
      <c r="G421" s="81"/>
      <c r="H421" s="81"/>
      <c r="I421" s="81"/>
      <c r="J421" s="81" t="s">
        <v>10</v>
      </c>
      <c r="K421" s="81"/>
      <c r="L421" s="81"/>
      <c r="M421" s="81"/>
      <c r="N421" s="81" t="s">
        <v>49</v>
      </c>
      <c r="O421" s="81"/>
      <c r="P421" s="81" t="s">
        <v>11</v>
      </c>
      <c r="Q421" s="81"/>
      <c r="R421" s="81"/>
      <c r="S421" s="81"/>
      <c r="T421" s="81"/>
      <c r="U421" s="81"/>
      <c r="V421" s="81"/>
      <c r="W421" s="81"/>
      <c r="X421" s="81" t="s">
        <v>9</v>
      </c>
      <c r="Y421" s="81"/>
      <c r="Z421" s="81"/>
      <c r="AA421" s="81"/>
      <c r="AB421" s="81" t="s">
        <v>10</v>
      </c>
      <c r="AC421" s="81"/>
      <c r="AD421" s="81"/>
      <c r="AE421" s="81"/>
      <c r="AF421" s="81" t="s">
        <v>49</v>
      </c>
      <c r="AG421" s="81"/>
      <c r="AH421" s="81" t="s">
        <v>11</v>
      </c>
      <c r="AI421" s="81"/>
      <c r="AJ421" s="81"/>
      <c r="AK421" s="81"/>
      <c r="AL421" s="81"/>
      <c r="AM421" s="81"/>
      <c r="AN421" s="81"/>
      <c r="AO421" s="81"/>
      <c r="AP421" s="70" t="s">
        <v>50</v>
      </c>
      <c r="AQ421" s="70" t="s">
        <v>57</v>
      </c>
      <c r="AR421" s="70" t="s">
        <v>63</v>
      </c>
      <c r="AS421" s="70" t="s">
        <v>64</v>
      </c>
      <c r="AT421" s="70" t="s">
        <v>61</v>
      </c>
      <c r="AU421" s="70" t="s">
        <v>54</v>
      </c>
      <c r="AV421" s="70" t="s">
        <v>19</v>
      </c>
      <c r="AW421" s="70" t="s">
        <v>58</v>
      </c>
      <c r="AX421" s="70" t="s">
        <v>51</v>
      </c>
      <c r="AY421" s="70" t="s">
        <v>53</v>
      </c>
      <c r="AZ421" s="70" t="s">
        <v>52</v>
      </c>
      <c r="BA421" s="70" t="s">
        <v>55</v>
      </c>
      <c r="BB421" s="70" t="s">
        <v>56</v>
      </c>
      <c r="BC421" s="70" t="s">
        <v>59</v>
      </c>
      <c r="BD421" s="70" t="s">
        <v>60</v>
      </c>
    </row>
    <row r="422" spans="2:56" ht="16.5" thickBot="1" x14ac:dyDescent="0.3">
      <c r="B422" s="17">
        <v>0.47916666666666669</v>
      </c>
      <c r="C422" s="7" t="s">
        <v>5</v>
      </c>
      <c r="E422" s="11"/>
      <c r="F422" s="75" t="s">
        <v>15</v>
      </c>
      <c r="G422" s="58" t="s">
        <v>12</v>
      </c>
      <c r="H422" s="58" t="s">
        <v>14</v>
      </c>
      <c r="I422" s="58" t="s">
        <v>13</v>
      </c>
      <c r="J422" s="58" t="s">
        <v>42</v>
      </c>
      <c r="K422" s="58" t="s">
        <v>41</v>
      </c>
      <c r="L422" s="58" t="s">
        <v>43</v>
      </c>
      <c r="M422" s="58" t="s">
        <v>44</v>
      </c>
      <c r="N422" s="58" t="s">
        <v>15</v>
      </c>
      <c r="O422" s="58" t="s">
        <v>14</v>
      </c>
      <c r="P422" s="58" t="s">
        <v>45</v>
      </c>
      <c r="Q422" s="58" t="s">
        <v>46</v>
      </c>
      <c r="R422" s="58" t="s">
        <v>42</v>
      </c>
      <c r="S422" s="58" t="s">
        <v>41</v>
      </c>
      <c r="T422" s="58" t="s">
        <v>47</v>
      </c>
      <c r="U422" s="58" t="s">
        <v>48</v>
      </c>
      <c r="V422" s="58" t="s">
        <v>43</v>
      </c>
      <c r="W422" s="58" t="s">
        <v>44</v>
      </c>
      <c r="X422" s="75" t="s">
        <v>15</v>
      </c>
      <c r="Y422" s="58" t="s">
        <v>12</v>
      </c>
      <c r="Z422" s="58" t="s">
        <v>14</v>
      </c>
      <c r="AA422" s="58" t="s">
        <v>13</v>
      </c>
      <c r="AB422" s="58" t="s">
        <v>42</v>
      </c>
      <c r="AC422" s="58" t="s">
        <v>41</v>
      </c>
      <c r="AD422" s="58" t="s">
        <v>43</v>
      </c>
      <c r="AE422" s="58" t="s">
        <v>44</v>
      </c>
      <c r="AF422" s="58" t="s">
        <v>15</v>
      </c>
      <c r="AG422" s="58" t="s">
        <v>14</v>
      </c>
      <c r="AH422" s="58" t="s">
        <v>45</v>
      </c>
      <c r="AI422" s="58" t="s">
        <v>46</v>
      </c>
      <c r="AJ422" s="58" t="s">
        <v>42</v>
      </c>
      <c r="AK422" s="58" t="s">
        <v>41</v>
      </c>
      <c r="AL422" s="58" t="s">
        <v>47</v>
      </c>
      <c r="AM422" s="58" t="s">
        <v>48</v>
      </c>
      <c r="AN422" s="58" t="s">
        <v>43</v>
      </c>
      <c r="AO422" s="58" t="s">
        <v>44</v>
      </c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</row>
    <row r="423" spans="2:56" ht="16.5" customHeight="1" thickBot="1" x14ac:dyDescent="0.3">
      <c r="B423" s="1" t="s">
        <v>0</v>
      </c>
      <c r="C423" s="13">
        <f>SUM(F423:W423)</f>
        <v>0</v>
      </c>
      <c r="E423" s="10" t="s">
        <v>0</v>
      </c>
      <c r="F423" s="71"/>
      <c r="G423" s="60"/>
      <c r="H423" s="60"/>
      <c r="I423" s="61"/>
      <c r="J423" s="59"/>
      <c r="K423" s="60"/>
      <c r="L423" s="60"/>
      <c r="M423" s="60"/>
      <c r="N423" s="59"/>
      <c r="O423" s="61"/>
      <c r="P423" s="59"/>
      <c r="Q423" s="60"/>
      <c r="R423" s="60"/>
      <c r="S423" s="60"/>
      <c r="T423" s="60"/>
      <c r="U423" s="60"/>
      <c r="V423" s="60"/>
      <c r="W423" s="61"/>
      <c r="X423" s="71"/>
      <c r="Y423" s="60"/>
      <c r="Z423" s="60"/>
      <c r="AA423" s="60"/>
      <c r="AB423" s="59"/>
      <c r="AC423" s="60"/>
      <c r="AD423" s="60"/>
      <c r="AE423" s="61"/>
      <c r="AF423" s="60"/>
      <c r="AG423" s="61"/>
      <c r="AH423" s="60"/>
      <c r="AI423" s="60"/>
      <c r="AJ423" s="60"/>
      <c r="AK423" s="60"/>
      <c r="AL423" s="60"/>
      <c r="AM423" s="60"/>
      <c r="AN423" s="60"/>
      <c r="AO423" s="60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62"/>
      <c r="BB423" s="62"/>
      <c r="BC423" s="62"/>
      <c r="BD423" s="62"/>
    </row>
    <row r="424" spans="2:56" ht="16.5" customHeight="1" thickBot="1" x14ac:dyDescent="0.3">
      <c r="B424" s="1" t="s">
        <v>1</v>
      </c>
      <c r="C424" s="14">
        <f t="shared" ref="C424:C426" si="46">SUM(F424:W424)</f>
        <v>0</v>
      </c>
      <c r="E424" s="1" t="s">
        <v>1</v>
      </c>
      <c r="F424" s="72"/>
      <c r="G424" s="41"/>
      <c r="H424" s="41"/>
      <c r="I424" s="64"/>
      <c r="J424" s="63"/>
      <c r="K424" s="41"/>
      <c r="L424" s="41"/>
      <c r="M424" s="41"/>
      <c r="N424" s="63"/>
      <c r="O424" s="64"/>
      <c r="P424" s="63"/>
      <c r="Q424" s="41"/>
      <c r="R424" s="41"/>
      <c r="S424" s="41"/>
      <c r="T424" s="41"/>
      <c r="U424" s="41"/>
      <c r="V424" s="41"/>
      <c r="W424" s="64"/>
      <c r="X424" s="72"/>
      <c r="Y424" s="41"/>
      <c r="Z424" s="41"/>
      <c r="AA424" s="41"/>
      <c r="AB424" s="63"/>
      <c r="AC424" s="41"/>
      <c r="AD424" s="41"/>
      <c r="AE424" s="64"/>
      <c r="AF424" s="41"/>
      <c r="AG424" s="64"/>
      <c r="AH424" s="41"/>
      <c r="AI424" s="41"/>
      <c r="AJ424" s="41"/>
      <c r="AK424" s="41"/>
      <c r="AL424" s="41"/>
      <c r="AM424" s="41"/>
      <c r="AN424" s="41"/>
      <c r="AO424" s="41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5"/>
      <c r="BB424" s="65"/>
      <c r="BC424" s="65"/>
      <c r="BD424" s="65"/>
    </row>
    <row r="425" spans="2:56" ht="16.5" customHeight="1" thickBot="1" x14ac:dyDescent="0.3">
      <c r="B425" s="1" t="s">
        <v>2</v>
      </c>
      <c r="C425" s="14">
        <f t="shared" si="46"/>
        <v>0</v>
      </c>
      <c r="E425" s="1" t="s">
        <v>2</v>
      </c>
      <c r="F425" s="72"/>
      <c r="G425" s="41"/>
      <c r="H425" s="41"/>
      <c r="I425" s="64"/>
      <c r="J425" s="63"/>
      <c r="K425" s="41"/>
      <c r="L425" s="41"/>
      <c r="M425" s="41"/>
      <c r="N425" s="63"/>
      <c r="O425" s="64"/>
      <c r="P425" s="63"/>
      <c r="Q425" s="41"/>
      <c r="R425" s="41"/>
      <c r="S425" s="41"/>
      <c r="T425" s="41"/>
      <c r="U425" s="41"/>
      <c r="V425" s="41"/>
      <c r="W425" s="64"/>
      <c r="X425" s="72"/>
      <c r="Y425" s="41"/>
      <c r="Z425" s="41"/>
      <c r="AA425" s="41"/>
      <c r="AB425" s="63"/>
      <c r="AC425" s="41"/>
      <c r="AD425" s="41"/>
      <c r="AE425" s="64"/>
      <c r="AF425" s="41"/>
      <c r="AG425" s="64"/>
      <c r="AH425" s="41"/>
      <c r="AI425" s="41"/>
      <c r="AJ425" s="41"/>
      <c r="AK425" s="41"/>
      <c r="AL425" s="41"/>
      <c r="AM425" s="41"/>
      <c r="AN425" s="41"/>
      <c r="AO425" s="41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5"/>
      <c r="BB425" s="65"/>
      <c r="BC425" s="65"/>
      <c r="BD425" s="65"/>
    </row>
    <row r="426" spans="2:56" ht="16.5" customHeight="1" thickBot="1" x14ac:dyDescent="0.3">
      <c r="B426" s="1" t="s">
        <v>3</v>
      </c>
      <c r="C426" s="15">
        <f t="shared" si="46"/>
        <v>0</v>
      </c>
      <c r="E426" s="1" t="s">
        <v>3</v>
      </c>
      <c r="F426" s="73"/>
      <c r="G426" s="67"/>
      <c r="H426" s="67"/>
      <c r="I426" s="68"/>
      <c r="J426" s="66"/>
      <c r="K426" s="67"/>
      <c r="L426" s="67"/>
      <c r="M426" s="67"/>
      <c r="N426" s="66"/>
      <c r="O426" s="68"/>
      <c r="P426" s="66"/>
      <c r="Q426" s="67"/>
      <c r="R426" s="67"/>
      <c r="S426" s="67"/>
      <c r="T426" s="67"/>
      <c r="U426" s="67"/>
      <c r="V426" s="67"/>
      <c r="W426" s="68"/>
      <c r="X426" s="73"/>
      <c r="Y426" s="67"/>
      <c r="Z426" s="67"/>
      <c r="AA426" s="67"/>
      <c r="AB426" s="66"/>
      <c r="AC426" s="67"/>
      <c r="AD426" s="67"/>
      <c r="AE426" s="68"/>
      <c r="AF426" s="67"/>
      <c r="AG426" s="68"/>
      <c r="AH426" s="67"/>
      <c r="AI426" s="67"/>
      <c r="AJ426" s="67"/>
      <c r="AK426" s="67"/>
      <c r="AL426" s="67"/>
      <c r="AM426" s="67"/>
      <c r="AN426" s="67"/>
      <c r="AO426" s="67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9"/>
      <c r="BB426" s="69"/>
      <c r="BC426" s="69"/>
      <c r="BD426" s="69"/>
    </row>
    <row r="427" spans="2:56" ht="21" customHeight="1" x14ac:dyDescent="0.25">
      <c r="B427" s="2"/>
      <c r="C427" s="8">
        <f>SUM(C423:C426)</f>
        <v>0</v>
      </c>
      <c r="F427" s="74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74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</row>
    <row r="428" spans="2:56" x14ac:dyDescent="0.25"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</row>
    <row r="429" spans="2:56" ht="15.75" x14ac:dyDescent="0.25">
      <c r="F429" s="82" t="s">
        <v>17</v>
      </c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3" t="s">
        <v>16</v>
      </c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79"/>
      <c r="AQ429" s="79"/>
      <c r="AR429" s="79"/>
      <c r="AS429" s="79"/>
      <c r="AT429" s="79"/>
      <c r="AU429" s="41"/>
      <c r="AV429" s="41"/>
      <c r="AW429" s="41"/>
      <c r="AX429" s="41"/>
      <c r="AY429" s="41"/>
      <c r="AZ429" s="41"/>
      <c r="BA429" s="41"/>
    </row>
    <row r="430" spans="2:56" ht="32.25" thickBot="1" x14ac:dyDescent="0.3">
      <c r="F430" s="81" t="s">
        <v>9</v>
      </c>
      <c r="G430" s="81"/>
      <c r="H430" s="81"/>
      <c r="I430" s="81"/>
      <c r="J430" s="81" t="s">
        <v>10</v>
      </c>
      <c r="K430" s="81"/>
      <c r="L430" s="81"/>
      <c r="M430" s="81"/>
      <c r="N430" s="81" t="s">
        <v>49</v>
      </c>
      <c r="O430" s="81"/>
      <c r="P430" s="81" t="s">
        <v>11</v>
      </c>
      <c r="Q430" s="81"/>
      <c r="R430" s="81"/>
      <c r="S430" s="81"/>
      <c r="T430" s="81"/>
      <c r="U430" s="81"/>
      <c r="V430" s="81"/>
      <c r="W430" s="81"/>
      <c r="X430" s="81" t="s">
        <v>9</v>
      </c>
      <c r="Y430" s="81"/>
      <c r="Z430" s="81"/>
      <c r="AA430" s="81"/>
      <c r="AB430" s="81" t="s">
        <v>10</v>
      </c>
      <c r="AC430" s="81"/>
      <c r="AD430" s="81"/>
      <c r="AE430" s="81"/>
      <c r="AF430" s="81" t="s">
        <v>49</v>
      </c>
      <c r="AG430" s="81"/>
      <c r="AH430" s="81" t="s">
        <v>11</v>
      </c>
      <c r="AI430" s="81"/>
      <c r="AJ430" s="81"/>
      <c r="AK430" s="81"/>
      <c r="AL430" s="81"/>
      <c r="AM430" s="81"/>
      <c r="AN430" s="81"/>
      <c r="AO430" s="81"/>
      <c r="AP430" s="70" t="s">
        <v>50</v>
      </c>
      <c r="AQ430" s="70" t="s">
        <v>57</v>
      </c>
      <c r="AR430" s="70" t="s">
        <v>63</v>
      </c>
      <c r="AS430" s="70" t="s">
        <v>64</v>
      </c>
      <c r="AT430" s="70" t="s">
        <v>61</v>
      </c>
      <c r="AU430" s="70" t="s">
        <v>54</v>
      </c>
      <c r="AV430" s="70" t="s">
        <v>19</v>
      </c>
      <c r="AW430" s="70" t="s">
        <v>58</v>
      </c>
      <c r="AX430" s="70" t="s">
        <v>51</v>
      </c>
      <c r="AY430" s="70" t="s">
        <v>53</v>
      </c>
      <c r="AZ430" s="70" t="s">
        <v>52</v>
      </c>
      <c r="BA430" s="70" t="s">
        <v>55</v>
      </c>
      <c r="BB430" s="70" t="s">
        <v>56</v>
      </c>
      <c r="BC430" s="70" t="s">
        <v>59</v>
      </c>
      <c r="BD430" s="70" t="s">
        <v>60</v>
      </c>
    </row>
    <row r="431" spans="2:56" ht="16.5" thickBot="1" x14ac:dyDescent="0.3">
      <c r="B431" s="17">
        <v>0.48958333333333331</v>
      </c>
      <c r="C431" s="7" t="s">
        <v>5</v>
      </c>
      <c r="E431" s="11"/>
      <c r="F431" s="75" t="s">
        <v>15</v>
      </c>
      <c r="G431" s="58" t="s">
        <v>12</v>
      </c>
      <c r="H431" s="58" t="s">
        <v>14</v>
      </c>
      <c r="I431" s="58" t="s">
        <v>13</v>
      </c>
      <c r="J431" s="58" t="s">
        <v>42</v>
      </c>
      <c r="K431" s="58" t="s">
        <v>41</v>
      </c>
      <c r="L431" s="58" t="s">
        <v>43</v>
      </c>
      <c r="M431" s="58" t="s">
        <v>44</v>
      </c>
      <c r="N431" s="58" t="s">
        <v>15</v>
      </c>
      <c r="O431" s="58" t="s">
        <v>14</v>
      </c>
      <c r="P431" s="58" t="s">
        <v>45</v>
      </c>
      <c r="Q431" s="58" t="s">
        <v>46</v>
      </c>
      <c r="R431" s="58" t="s">
        <v>42</v>
      </c>
      <c r="S431" s="58" t="s">
        <v>41</v>
      </c>
      <c r="T431" s="58" t="s">
        <v>47</v>
      </c>
      <c r="U431" s="58" t="s">
        <v>48</v>
      </c>
      <c r="V431" s="58" t="s">
        <v>43</v>
      </c>
      <c r="W431" s="58" t="s">
        <v>44</v>
      </c>
      <c r="X431" s="75" t="s">
        <v>15</v>
      </c>
      <c r="Y431" s="58" t="s">
        <v>12</v>
      </c>
      <c r="Z431" s="58" t="s">
        <v>14</v>
      </c>
      <c r="AA431" s="58" t="s">
        <v>13</v>
      </c>
      <c r="AB431" s="58" t="s">
        <v>42</v>
      </c>
      <c r="AC431" s="58" t="s">
        <v>41</v>
      </c>
      <c r="AD431" s="58" t="s">
        <v>43</v>
      </c>
      <c r="AE431" s="58" t="s">
        <v>44</v>
      </c>
      <c r="AF431" s="58" t="s">
        <v>15</v>
      </c>
      <c r="AG431" s="58" t="s">
        <v>14</v>
      </c>
      <c r="AH431" s="58" t="s">
        <v>45</v>
      </c>
      <c r="AI431" s="58" t="s">
        <v>46</v>
      </c>
      <c r="AJ431" s="58" t="s">
        <v>42</v>
      </c>
      <c r="AK431" s="58" t="s">
        <v>41</v>
      </c>
      <c r="AL431" s="58" t="s">
        <v>47</v>
      </c>
      <c r="AM431" s="58" t="s">
        <v>48</v>
      </c>
      <c r="AN431" s="58" t="s">
        <v>43</v>
      </c>
      <c r="AO431" s="58" t="s">
        <v>44</v>
      </c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</row>
    <row r="432" spans="2:56" ht="16.5" customHeight="1" thickBot="1" x14ac:dyDescent="0.3">
      <c r="B432" s="1" t="s">
        <v>0</v>
      </c>
      <c r="C432" s="13">
        <f>SUM(F432:W432)</f>
        <v>0</v>
      </c>
      <c r="E432" s="10" t="s">
        <v>0</v>
      </c>
      <c r="F432" s="71"/>
      <c r="G432" s="60"/>
      <c r="H432" s="60"/>
      <c r="I432" s="61"/>
      <c r="J432" s="59"/>
      <c r="K432" s="60"/>
      <c r="L432" s="60"/>
      <c r="M432" s="60"/>
      <c r="N432" s="59"/>
      <c r="O432" s="61"/>
      <c r="P432" s="59"/>
      <c r="Q432" s="60"/>
      <c r="R432" s="60"/>
      <c r="S432" s="60"/>
      <c r="T432" s="60"/>
      <c r="U432" s="60"/>
      <c r="V432" s="60"/>
      <c r="W432" s="61"/>
      <c r="X432" s="71"/>
      <c r="Y432" s="60"/>
      <c r="Z432" s="60"/>
      <c r="AA432" s="60"/>
      <c r="AB432" s="59"/>
      <c r="AC432" s="60"/>
      <c r="AD432" s="60"/>
      <c r="AE432" s="61"/>
      <c r="AF432" s="60"/>
      <c r="AG432" s="61"/>
      <c r="AH432" s="60"/>
      <c r="AI432" s="60"/>
      <c r="AJ432" s="60"/>
      <c r="AK432" s="60"/>
      <c r="AL432" s="60"/>
      <c r="AM432" s="60"/>
      <c r="AN432" s="60"/>
      <c r="AO432" s="60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62"/>
      <c r="BB432" s="62"/>
      <c r="BC432" s="62"/>
      <c r="BD432" s="62"/>
    </row>
    <row r="433" spans="2:56" ht="16.5" customHeight="1" thickBot="1" x14ac:dyDescent="0.3">
      <c r="B433" s="1" t="s">
        <v>1</v>
      </c>
      <c r="C433" s="14">
        <f t="shared" ref="C433:C435" si="47">SUM(F433:W433)</f>
        <v>0</v>
      </c>
      <c r="E433" s="1" t="s">
        <v>1</v>
      </c>
      <c r="F433" s="72"/>
      <c r="G433" s="41"/>
      <c r="H433" s="41"/>
      <c r="I433" s="64"/>
      <c r="J433" s="63"/>
      <c r="K433" s="41"/>
      <c r="L433" s="41"/>
      <c r="M433" s="41"/>
      <c r="N433" s="63"/>
      <c r="O433" s="64"/>
      <c r="P433" s="63"/>
      <c r="Q433" s="41"/>
      <c r="R433" s="41"/>
      <c r="S433" s="41"/>
      <c r="T433" s="41"/>
      <c r="U433" s="41"/>
      <c r="V433" s="41"/>
      <c r="W433" s="64"/>
      <c r="X433" s="72"/>
      <c r="Y433" s="41"/>
      <c r="Z433" s="41"/>
      <c r="AA433" s="41"/>
      <c r="AB433" s="63"/>
      <c r="AC433" s="41"/>
      <c r="AD433" s="41"/>
      <c r="AE433" s="64"/>
      <c r="AF433" s="41"/>
      <c r="AG433" s="64"/>
      <c r="AH433" s="41"/>
      <c r="AI433" s="41"/>
      <c r="AJ433" s="41"/>
      <c r="AK433" s="41"/>
      <c r="AL433" s="41"/>
      <c r="AM433" s="41"/>
      <c r="AN433" s="41"/>
      <c r="AO433" s="41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5"/>
      <c r="BB433" s="65"/>
      <c r="BC433" s="65"/>
      <c r="BD433" s="65"/>
    </row>
    <row r="434" spans="2:56" ht="16.5" customHeight="1" thickBot="1" x14ac:dyDescent="0.3">
      <c r="B434" s="1" t="s">
        <v>2</v>
      </c>
      <c r="C434" s="14">
        <f t="shared" si="47"/>
        <v>0</v>
      </c>
      <c r="E434" s="1" t="s">
        <v>2</v>
      </c>
      <c r="F434" s="72"/>
      <c r="G434" s="41"/>
      <c r="H434" s="41"/>
      <c r="I434" s="64"/>
      <c r="J434" s="63"/>
      <c r="K434" s="41"/>
      <c r="L434" s="41"/>
      <c r="M434" s="41"/>
      <c r="N434" s="63"/>
      <c r="O434" s="64"/>
      <c r="P434" s="63"/>
      <c r="Q434" s="41"/>
      <c r="R434" s="41"/>
      <c r="S434" s="41"/>
      <c r="T434" s="41"/>
      <c r="U434" s="41"/>
      <c r="V434" s="41"/>
      <c r="W434" s="64"/>
      <c r="X434" s="72"/>
      <c r="Y434" s="41"/>
      <c r="Z434" s="41"/>
      <c r="AA434" s="41"/>
      <c r="AB434" s="63"/>
      <c r="AC434" s="41"/>
      <c r="AD434" s="41"/>
      <c r="AE434" s="64"/>
      <c r="AF434" s="41"/>
      <c r="AG434" s="64"/>
      <c r="AH434" s="41"/>
      <c r="AI434" s="41"/>
      <c r="AJ434" s="41"/>
      <c r="AK434" s="41"/>
      <c r="AL434" s="41"/>
      <c r="AM434" s="41"/>
      <c r="AN434" s="41"/>
      <c r="AO434" s="41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5"/>
      <c r="BB434" s="65"/>
      <c r="BC434" s="65"/>
      <c r="BD434" s="65"/>
    </row>
    <row r="435" spans="2:56" ht="16.5" customHeight="1" thickBot="1" x14ac:dyDescent="0.3">
      <c r="B435" s="1" t="s">
        <v>3</v>
      </c>
      <c r="C435" s="15">
        <f t="shared" si="47"/>
        <v>0</v>
      </c>
      <c r="E435" s="1" t="s">
        <v>3</v>
      </c>
      <c r="F435" s="73"/>
      <c r="G435" s="67"/>
      <c r="H435" s="67"/>
      <c r="I435" s="68"/>
      <c r="J435" s="66"/>
      <c r="K435" s="67"/>
      <c r="L435" s="67"/>
      <c r="M435" s="67"/>
      <c r="N435" s="66"/>
      <c r="O435" s="68"/>
      <c r="P435" s="66"/>
      <c r="Q435" s="67"/>
      <c r="R435" s="67"/>
      <c r="S435" s="67"/>
      <c r="T435" s="67"/>
      <c r="U435" s="67"/>
      <c r="V435" s="67"/>
      <c r="W435" s="68"/>
      <c r="X435" s="73"/>
      <c r="Y435" s="67"/>
      <c r="Z435" s="67"/>
      <c r="AA435" s="67"/>
      <c r="AB435" s="66"/>
      <c r="AC435" s="67"/>
      <c r="AD435" s="67"/>
      <c r="AE435" s="68"/>
      <c r="AF435" s="67"/>
      <c r="AG435" s="68"/>
      <c r="AH435" s="67"/>
      <c r="AI435" s="67"/>
      <c r="AJ435" s="67"/>
      <c r="AK435" s="67"/>
      <c r="AL435" s="67"/>
      <c r="AM435" s="67"/>
      <c r="AN435" s="67"/>
      <c r="AO435" s="67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9"/>
      <c r="BB435" s="69"/>
      <c r="BC435" s="69"/>
      <c r="BD435" s="69"/>
    </row>
    <row r="436" spans="2:56" ht="21" customHeight="1" x14ac:dyDescent="0.25">
      <c r="B436" s="2"/>
      <c r="C436" s="8">
        <f>SUM(C432:C435)</f>
        <v>0</v>
      </c>
      <c r="F436" s="74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74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</row>
    <row r="437" spans="2:56" x14ac:dyDescent="0.25"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</row>
    <row r="438" spans="2:56" ht="15.75" x14ac:dyDescent="0.25">
      <c r="F438" s="82" t="s">
        <v>17</v>
      </c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3" t="s">
        <v>16</v>
      </c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79"/>
      <c r="AQ438" s="79"/>
      <c r="AR438" s="79"/>
      <c r="AS438" s="79"/>
      <c r="AT438" s="79"/>
      <c r="AU438" s="41"/>
      <c r="AV438" s="41"/>
      <c r="AW438" s="41"/>
      <c r="AX438" s="41"/>
      <c r="AY438" s="41"/>
      <c r="AZ438" s="41"/>
      <c r="BA438" s="41"/>
    </row>
    <row r="439" spans="2:56" ht="32.25" thickBot="1" x14ac:dyDescent="0.3">
      <c r="F439" s="81" t="s">
        <v>9</v>
      </c>
      <c r="G439" s="81"/>
      <c r="H439" s="81"/>
      <c r="I439" s="81"/>
      <c r="J439" s="81" t="s">
        <v>10</v>
      </c>
      <c r="K439" s="81"/>
      <c r="L439" s="81"/>
      <c r="M439" s="81"/>
      <c r="N439" s="81" t="s">
        <v>49</v>
      </c>
      <c r="O439" s="81"/>
      <c r="P439" s="81" t="s">
        <v>11</v>
      </c>
      <c r="Q439" s="81"/>
      <c r="R439" s="81"/>
      <c r="S439" s="81"/>
      <c r="T439" s="81"/>
      <c r="U439" s="81"/>
      <c r="V439" s="81"/>
      <c r="W439" s="81"/>
      <c r="X439" s="81" t="s">
        <v>9</v>
      </c>
      <c r="Y439" s="81"/>
      <c r="Z439" s="81"/>
      <c r="AA439" s="81"/>
      <c r="AB439" s="81" t="s">
        <v>10</v>
      </c>
      <c r="AC439" s="81"/>
      <c r="AD439" s="81"/>
      <c r="AE439" s="81"/>
      <c r="AF439" s="81" t="s">
        <v>49</v>
      </c>
      <c r="AG439" s="81"/>
      <c r="AH439" s="81" t="s">
        <v>11</v>
      </c>
      <c r="AI439" s="81"/>
      <c r="AJ439" s="81"/>
      <c r="AK439" s="81"/>
      <c r="AL439" s="81"/>
      <c r="AM439" s="81"/>
      <c r="AN439" s="81"/>
      <c r="AO439" s="81"/>
      <c r="AP439" s="70" t="s">
        <v>50</v>
      </c>
      <c r="AQ439" s="70" t="s">
        <v>57</v>
      </c>
      <c r="AR439" s="70" t="s">
        <v>63</v>
      </c>
      <c r="AS439" s="70" t="s">
        <v>64</v>
      </c>
      <c r="AT439" s="70" t="s">
        <v>61</v>
      </c>
      <c r="AU439" s="70" t="s">
        <v>54</v>
      </c>
      <c r="AV439" s="70" t="s">
        <v>19</v>
      </c>
      <c r="AW439" s="70" t="s">
        <v>58</v>
      </c>
      <c r="AX439" s="70" t="s">
        <v>51</v>
      </c>
      <c r="AY439" s="70" t="s">
        <v>53</v>
      </c>
      <c r="AZ439" s="70" t="s">
        <v>52</v>
      </c>
      <c r="BA439" s="70" t="s">
        <v>55</v>
      </c>
      <c r="BB439" s="70" t="s">
        <v>56</v>
      </c>
      <c r="BC439" s="70" t="s">
        <v>59</v>
      </c>
      <c r="BD439" s="70" t="s">
        <v>60</v>
      </c>
    </row>
    <row r="440" spans="2:56" ht="16.5" thickBot="1" x14ac:dyDescent="0.3">
      <c r="B440" s="16">
        <v>0.5</v>
      </c>
      <c r="C440" s="7" t="s">
        <v>5</v>
      </c>
      <c r="E440" s="11"/>
      <c r="F440" s="75" t="s">
        <v>15</v>
      </c>
      <c r="G440" s="58" t="s">
        <v>12</v>
      </c>
      <c r="H440" s="58" t="s">
        <v>14</v>
      </c>
      <c r="I440" s="58" t="s">
        <v>13</v>
      </c>
      <c r="J440" s="58" t="s">
        <v>42</v>
      </c>
      <c r="K440" s="58" t="s">
        <v>41</v>
      </c>
      <c r="L440" s="58" t="s">
        <v>43</v>
      </c>
      <c r="M440" s="58" t="s">
        <v>44</v>
      </c>
      <c r="N440" s="58" t="s">
        <v>15</v>
      </c>
      <c r="O440" s="58" t="s">
        <v>14</v>
      </c>
      <c r="P440" s="58" t="s">
        <v>45</v>
      </c>
      <c r="Q440" s="58" t="s">
        <v>46</v>
      </c>
      <c r="R440" s="58" t="s">
        <v>42</v>
      </c>
      <c r="S440" s="58" t="s">
        <v>41</v>
      </c>
      <c r="T440" s="58" t="s">
        <v>47</v>
      </c>
      <c r="U440" s="58" t="s">
        <v>48</v>
      </c>
      <c r="V440" s="58" t="s">
        <v>43</v>
      </c>
      <c r="W440" s="58" t="s">
        <v>44</v>
      </c>
      <c r="X440" s="75" t="s">
        <v>15</v>
      </c>
      <c r="Y440" s="58" t="s">
        <v>12</v>
      </c>
      <c r="Z440" s="58" t="s">
        <v>14</v>
      </c>
      <c r="AA440" s="58" t="s">
        <v>13</v>
      </c>
      <c r="AB440" s="58" t="s">
        <v>42</v>
      </c>
      <c r="AC440" s="58" t="s">
        <v>41</v>
      </c>
      <c r="AD440" s="58" t="s">
        <v>43</v>
      </c>
      <c r="AE440" s="58" t="s">
        <v>44</v>
      </c>
      <c r="AF440" s="58" t="s">
        <v>15</v>
      </c>
      <c r="AG440" s="58" t="s">
        <v>14</v>
      </c>
      <c r="AH440" s="58" t="s">
        <v>45</v>
      </c>
      <c r="AI440" s="58" t="s">
        <v>46</v>
      </c>
      <c r="AJ440" s="58" t="s">
        <v>42</v>
      </c>
      <c r="AK440" s="58" t="s">
        <v>41</v>
      </c>
      <c r="AL440" s="58" t="s">
        <v>47</v>
      </c>
      <c r="AM440" s="58" t="s">
        <v>48</v>
      </c>
      <c r="AN440" s="58" t="s">
        <v>43</v>
      </c>
      <c r="AO440" s="58" t="s">
        <v>44</v>
      </c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</row>
    <row r="441" spans="2:56" ht="16.5" customHeight="1" thickBot="1" x14ac:dyDescent="0.3">
      <c r="B441" s="1" t="s">
        <v>0</v>
      </c>
      <c r="C441" s="13">
        <f>SUM(F441:W441)</f>
        <v>1</v>
      </c>
      <c r="E441" s="10" t="s">
        <v>0</v>
      </c>
      <c r="F441" s="71"/>
      <c r="G441" s="60"/>
      <c r="H441" s="60"/>
      <c r="I441" s="61"/>
      <c r="J441" s="59"/>
      <c r="K441" s="60"/>
      <c r="L441" s="60"/>
      <c r="M441" s="60"/>
      <c r="N441" s="59"/>
      <c r="O441" s="61">
        <v>1</v>
      </c>
      <c r="P441" s="59"/>
      <c r="Q441" s="60"/>
      <c r="R441" s="60"/>
      <c r="S441" s="60"/>
      <c r="T441" s="60"/>
      <c r="U441" s="60"/>
      <c r="V441" s="60"/>
      <c r="W441" s="61"/>
      <c r="X441" s="71"/>
      <c r="Y441" s="60"/>
      <c r="Z441" s="60"/>
      <c r="AA441" s="60"/>
      <c r="AB441" s="59"/>
      <c r="AC441" s="60"/>
      <c r="AD441" s="60"/>
      <c r="AE441" s="61"/>
      <c r="AF441" s="60">
        <v>1</v>
      </c>
      <c r="AG441" s="61"/>
      <c r="AH441" s="60"/>
      <c r="AI441" s="60"/>
      <c r="AJ441" s="60"/>
      <c r="AK441" s="60"/>
      <c r="AL441" s="60"/>
      <c r="AM441" s="60"/>
      <c r="AN441" s="60"/>
      <c r="AO441" s="60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>
        <v>1</v>
      </c>
      <c r="BA441" s="62"/>
      <c r="BB441" s="62"/>
      <c r="BC441" s="62"/>
      <c r="BD441" s="62"/>
    </row>
    <row r="442" spans="2:56" ht="16.5" customHeight="1" thickBot="1" x14ac:dyDescent="0.3">
      <c r="B442" s="1" t="s">
        <v>1</v>
      </c>
      <c r="C442" s="14">
        <f t="shared" ref="C442:C444" si="48">SUM(F442:W442)</f>
        <v>1</v>
      </c>
      <c r="E442" s="1" t="s">
        <v>1</v>
      </c>
      <c r="F442" s="72"/>
      <c r="G442" s="41"/>
      <c r="H442" s="41">
        <v>1</v>
      </c>
      <c r="I442" s="64"/>
      <c r="J442" s="63"/>
      <c r="K442" s="41"/>
      <c r="L442" s="41"/>
      <c r="M442" s="41"/>
      <c r="N442" s="63"/>
      <c r="O442" s="64"/>
      <c r="P442" s="63"/>
      <c r="Q442" s="41"/>
      <c r="R442" s="41"/>
      <c r="S442" s="41"/>
      <c r="T442" s="41"/>
      <c r="U442" s="41"/>
      <c r="V442" s="41"/>
      <c r="W442" s="64"/>
      <c r="X442" s="72">
        <v>1</v>
      </c>
      <c r="Y442" s="41"/>
      <c r="Z442" s="41"/>
      <c r="AA442" s="41"/>
      <c r="AB442" s="63"/>
      <c r="AC442" s="41"/>
      <c r="AD442" s="41"/>
      <c r="AE442" s="64"/>
      <c r="AF442" s="41"/>
      <c r="AG442" s="64"/>
      <c r="AH442" s="41"/>
      <c r="AI442" s="41"/>
      <c r="AJ442" s="41"/>
      <c r="AK442" s="41"/>
      <c r="AL442" s="41"/>
      <c r="AM442" s="41"/>
      <c r="AN442" s="41"/>
      <c r="AO442" s="41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5"/>
      <c r="BB442" s="65"/>
      <c r="BC442" s="65">
        <v>1</v>
      </c>
      <c r="BD442" s="65"/>
    </row>
    <row r="443" spans="2:56" ht="16.5" customHeight="1" thickBot="1" x14ac:dyDescent="0.3">
      <c r="B443" s="1" t="s">
        <v>2</v>
      </c>
      <c r="C443" s="14">
        <f t="shared" si="48"/>
        <v>0</v>
      </c>
      <c r="E443" s="1" t="s">
        <v>2</v>
      </c>
      <c r="F443" s="72"/>
      <c r="G443" s="41"/>
      <c r="H443" s="41"/>
      <c r="I443" s="64"/>
      <c r="J443" s="63"/>
      <c r="K443" s="41"/>
      <c r="L443" s="41"/>
      <c r="M443" s="41"/>
      <c r="N443" s="63"/>
      <c r="O443" s="64"/>
      <c r="P443" s="63"/>
      <c r="Q443" s="41"/>
      <c r="R443" s="41"/>
      <c r="S443" s="41"/>
      <c r="T443" s="41"/>
      <c r="U443" s="41"/>
      <c r="V443" s="41"/>
      <c r="W443" s="64"/>
      <c r="X443" s="72"/>
      <c r="Y443" s="41"/>
      <c r="Z443" s="41"/>
      <c r="AA443" s="41"/>
      <c r="AB443" s="63"/>
      <c r="AC443" s="41"/>
      <c r="AD443" s="41"/>
      <c r="AE443" s="64"/>
      <c r="AF443" s="41"/>
      <c r="AG443" s="64"/>
      <c r="AH443" s="41"/>
      <c r="AI443" s="41"/>
      <c r="AJ443" s="41"/>
      <c r="AK443" s="41"/>
      <c r="AL443" s="41"/>
      <c r="AM443" s="41"/>
      <c r="AN443" s="41"/>
      <c r="AO443" s="41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5"/>
      <c r="BB443" s="65"/>
      <c r="BC443" s="65"/>
      <c r="BD443" s="65"/>
    </row>
    <row r="444" spans="2:56" ht="16.5" customHeight="1" thickBot="1" x14ac:dyDescent="0.3">
      <c r="B444" s="1" t="s">
        <v>3</v>
      </c>
      <c r="C444" s="15">
        <f t="shared" si="48"/>
        <v>0</v>
      </c>
      <c r="E444" s="1" t="s">
        <v>3</v>
      </c>
      <c r="F444" s="73"/>
      <c r="G444" s="67"/>
      <c r="H444" s="67"/>
      <c r="I444" s="68"/>
      <c r="J444" s="66"/>
      <c r="K444" s="67"/>
      <c r="L444" s="67"/>
      <c r="M444" s="67"/>
      <c r="N444" s="66"/>
      <c r="O444" s="68"/>
      <c r="P444" s="66"/>
      <c r="Q444" s="67"/>
      <c r="R444" s="67"/>
      <c r="S444" s="67"/>
      <c r="T444" s="67"/>
      <c r="U444" s="67"/>
      <c r="V444" s="67"/>
      <c r="W444" s="68"/>
      <c r="X444" s="73"/>
      <c r="Y444" s="67"/>
      <c r="Z444" s="67"/>
      <c r="AA444" s="67"/>
      <c r="AB444" s="66"/>
      <c r="AC444" s="67"/>
      <c r="AD444" s="67"/>
      <c r="AE444" s="68"/>
      <c r="AF444" s="67"/>
      <c r="AG444" s="68"/>
      <c r="AH444" s="67"/>
      <c r="AI444" s="67"/>
      <c r="AJ444" s="67"/>
      <c r="AK444" s="67"/>
      <c r="AL444" s="67"/>
      <c r="AM444" s="67"/>
      <c r="AN444" s="67"/>
      <c r="AO444" s="67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9"/>
      <c r="BB444" s="69"/>
      <c r="BC444" s="69"/>
      <c r="BD444" s="69"/>
    </row>
    <row r="445" spans="2:56" ht="21" customHeight="1" x14ac:dyDescent="0.25">
      <c r="B445" s="2"/>
      <c r="C445" s="8">
        <f>SUM(C441:C444)</f>
        <v>2</v>
      </c>
      <c r="F445" s="74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74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</row>
    <row r="446" spans="2:56" x14ac:dyDescent="0.25"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</row>
    <row r="447" spans="2:56" ht="15.75" x14ac:dyDescent="0.25">
      <c r="F447" s="82" t="s">
        <v>17</v>
      </c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3" t="s">
        <v>16</v>
      </c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79"/>
      <c r="AQ447" s="79"/>
      <c r="AR447" s="79"/>
      <c r="AS447" s="79"/>
      <c r="AT447" s="79"/>
      <c r="AU447" s="41"/>
      <c r="AV447" s="41"/>
      <c r="AW447" s="41"/>
      <c r="AX447" s="41"/>
      <c r="AY447" s="41"/>
      <c r="AZ447" s="41"/>
      <c r="BA447" s="41"/>
    </row>
    <row r="448" spans="2:56" ht="32.25" thickBot="1" x14ac:dyDescent="0.3">
      <c r="F448" s="81" t="s">
        <v>9</v>
      </c>
      <c r="G448" s="81"/>
      <c r="H448" s="81"/>
      <c r="I448" s="81"/>
      <c r="J448" s="81" t="s">
        <v>10</v>
      </c>
      <c r="K448" s="81"/>
      <c r="L448" s="81"/>
      <c r="M448" s="81"/>
      <c r="N448" s="81" t="s">
        <v>49</v>
      </c>
      <c r="O448" s="81"/>
      <c r="P448" s="81" t="s">
        <v>11</v>
      </c>
      <c r="Q448" s="81"/>
      <c r="R448" s="81"/>
      <c r="S448" s="81"/>
      <c r="T448" s="81"/>
      <c r="U448" s="81"/>
      <c r="V448" s="81"/>
      <c r="W448" s="81"/>
      <c r="X448" s="81" t="s">
        <v>9</v>
      </c>
      <c r="Y448" s="81"/>
      <c r="Z448" s="81"/>
      <c r="AA448" s="81"/>
      <c r="AB448" s="81" t="s">
        <v>10</v>
      </c>
      <c r="AC448" s="81"/>
      <c r="AD448" s="81"/>
      <c r="AE448" s="81"/>
      <c r="AF448" s="81" t="s">
        <v>49</v>
      </c>
      <c r="AG448" s="81"/>
      <c r="AH448" s="81" t="s">
        <v>11</v>
      </c>
      <c r="AI448" s="81"/>
      <c r="AJ448" s="81"/>
      <c r="AK448" s="81"/>
      <c r="AL448" s="81"/>
      <c r="AM448" s="81"/>
      <c r="AN448" s="81"/>
      <c r="AO448" s="81"/>
      <c r="AP448" s="70" t="s">
        <v>50</v>
      </c>
      <c r="AQ448" s="70" t="s">
        <v>57</v>
      </c>
      <c r="AR448" s="70" t="s">
        <v>63</v>
      </c>
      <c r="AS448" s="70" t="s">
        <v>64</v>
      </c>
      <c r="AT448" s="70" t="s">
        <v>61</v>
      </c>
      <c r="AU448" s="70" t="s">
        <v>54</v>
      </c>
      <c r="AV448" s="70" t="s">
        <v>19</v>
      </c>
      <c r="AW448" s="70" t="s">
        <v>58</v>
      </c>
      <c r="AX448" s="70" t="s">
        <v>51</v>
      </c>
      <c r="AY448" s="70" t="s">
        <v>53</v>
      </c>
      <c r="AZ448" s="70" t="s">
        <v>52</v>
      </c>
      <c r="BA448" s="70" t="s">
        <v>55</v>
      </c>
      <c r="BB448" s="70" t="s">
        <v>56</v>
      </c>
      <c r="BC448" s="70" t="s">
        <v>59</v>
      </c>
      <c r="BD448" s="70" t="s">
        <v>60</v>
      </c>
    </row>
    <row r="449" spans="2:57" ht="16.5" thickBot="1" x14ac:dyDescent="0.3">
      <c r="B449" s="16">
        <v>0.51041666666666663</v>
      </c>
      <c r="C449" s="7" t="s">
        <v>5</v>
      </c>
      <c r="E449" s="11"/>
      <c r="F449" s="75" t="s">
        <v>15</v>
      </c>
      <c r="G449" s="58" t="s">
        <v>12</v>
      </c>
      <c r="H449" s="58" t="s">
        <v>14</v>
      </c>
      <c r="I449" s="58" t="s">
        <v>13</v>
      </c>
      <c r="J449" s="58" t="s">
        <v>42</v>
      </c>
      <c r="K449" s="58" t="s">
        <v>41</v>
      </c>
      <c r="L449" s="58" t="s">
        <v>43</v>
      </c>
      <c r="M449" s="58" t="s">
        <v>44</v>
      </c>
      <c r="N449" s="58" t="s">
        <v>15</v>
      </c>
      <c r="O449" s="58" t="s">
        <v>14</v>
      </c>
      <c r="P449" s="58" t="s">
        <v>45</v>
      </c>
      <c r="Q449" s="58" t="s">
        <v>46</v>
      </c>
      <c r="R449" s="58" t="s">
        <v>42</v>
      </c>
      <c r="S449" s="58" t="s">
        <v>41</v>
      </c>
      <c r="T449" s="58" t="s">
        <v>47</v>
      </c>
      <c r="U449" s="58" t="s">
        <v>48</v>
      </c>
      <c r="V449" s="58" t="s">
        <v>43</v>
      </c>
      <c r="W449" s="58" t="s">
        <v>44</v>
      </c>
      <c r="X449" s="75" t="s">
        <v>15</v>
      </c>
      <c r="Y449" s="58" t="s">
        <v>12</v>
      </c>
      <c r="Z449" s="58" t="s">
        <v>14</v>
      </c>
      <c r="AA449" s="58" t="s">
        <v>13</v>
      </c>
      <c r="AB449" s="58" t="s">
        <v>42</v>
      </c>
      <c r="AC449" s="58" t="s">
        <v>41</v>
      </c>
      <c r="AD449" s="58" t="s">
        <v>43</v>
      </c>
      <c r="AE449" s="58" t="s">
        <v>44</v>
      </c>
      <c r="AF449" s="58" t="s">
        <v>15</v>
      </c>
      <c r="AG449" s="58" t="s">
        <v>14</v>
      </c>
      <c r="AH449" s="58" t="s">
        <v>45</v>
      </c>
      <c r="AI449" s="58" t="s">
        <v>46</v>
      </c>
      <c r="AJ449" s="58" t="s">
        <v>42</v>
      </c>
      <c r="AK449" s="58" t="s">
        <v>41</v>
      </c>
      <c r="AL449" s="58" t="s">
        <v>47</v>
      </c>
      <c r="AM449" s="58" t="s">
        <v>48</v>
      </c>
      <c r="AN449" s="58" t="s">
        <v>43</v>
      </c>
      <c r="AO449" s="58" t="s">
        <v>44</v>
      </c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</row>
    <row r="450" spans="2:57" ht="16.5" customHeight="1" thickBot="1" x14ac:dyDescent="0.3">
      <c r="B450" s="1" t="s">
        <v>0</v>
      </c>
      <c r="C450" s="13">
        <f>SUM(F450:W450)</f>
        <v>5</v>
      </c>
      <c r="E450" s="10" t="s">
        <v>0</v>
      </c>
      <c r="F450" s="71"/>
      <c r="G450" s="60"/>
      <c r="H450" s="60"/>
      <c r="I450" s="61"/>
      <c r="J450" s="59"/>
      <c r="K450" s="60"/>
      <c r="L450" s="60"/>
      <c r="M450" s="60"/>
      <c r="N450" s="59">
        <v>1</v>
      </c>
      <c r="O450" s="61"/>
      <c r="P450" s="59"/>
      <c r="Q450" s="60"/>
      <c r="R450" s="60">
        <v>2</v>
      </c>
      <c r="S450" s="60"/>
      <c r="T450" s="60"/>
      <c r="U450" s="60">
        <v>2</v>
      </c>
      <c r="V450" s="60"/>
      <c r="W450" s="61"/>
      <c r="X450" s="71"/>
      <c r="Y450" s="60"/>
      <c r="Z450" s="60"/>
      <c r="AA450" s="60"/>
      <c r="AB450" s="59"/>
      <c r="AC450" s="60"/>
      <c r="AD450" s="60"/>
      <c r="AE450" s="61"/>
      <c r="AF450" s="60"/>
      <c r="AG450" s="61">
        <v>1</v>
      </c>
      <c r="AH450" s="60"/>
      <c r="AI450" s="60"/>
      <c r="AJ450" s="60"/>
      <c r="AK450" s="60"/>
      <c r="AL450" s="60"/>
      <c r="AM450" s="60"/>
      <c r="AN450" s="60">
        <v>2</v>
      </c>
      <c r="AO450" s="60">
        <v>2</v>
      </c>
      <c r="AP450" s="59"/>
      <c r="AQ450" s="59"/>
      <c r="AR450" s="59"/>
      <c r="AS450" s="59"/>
      <c r="AT450" s="59"/>
      <c r="AU450" s="59"/>
      <c r="AV450" s="59"/>
      <c r="AW450" s="59"/>
      <c r="AX450" s="59"/>
      <c r="AY450" s="59">
        <v>1</v>
      </c>
      <c r="AZ450" s="59">
        <v>1</v>
      </c>
      <c r="BA450" s="62"/>
      <c r="BB450" s="62"/>
      <c r="BC450" s="62"/>
      <c r="BD450" s="62"/>
    </row>
    <row r="451" spans="2:57" ht="16.5" customHeight="1" thickBot="1" x14ac:dyDescent="0.3">
      <c r="B451" s="1" t="s">
        <v>1</v>
      </c>
      <c r="C451" s="14">
        <f t="shared" ref="C451:C453" si="49">SUM(F451:W451)</f>
        <v>1</v>
      </c>
      <c r="E451" s="1" t="s">
        <v>1</v>
      </c>
      <c r="F451" s="72"/>
      <c r="G451" s="41"/>
      <c r="H451" s="41"/>
      <c r="I451" s="64"/>
      <c r="J451" s="63"/>
      <c r="K451" s="41"/>
      <c r="L451" s="41"/>
      <c r="M451" s="41"/>
      <c r="N451" s="63"/>
      <c r="O451" s="64"/>
      <c r="P451" s="63"/>
      <c r="Q451" s="41"/>
      <c r="R451" s="41">
        <v>1</v>
      </c>
      <c r="S451" s="41"/>
      <c r="T451" s="41"/>
      <c r="U451" s="41"/>
      <c r="V451" s="41"/>
      <c r="W451" s="64"/>
      <c r="X451" s="72"/>
      <c r="Y451" s="41"/>
      <c r="Z451" s="41"/>
      <c r="AA451" s="41"/>
      <c r="AB451" s="63"/>
      <c r="AC451" s="41"/>
      <c r="AD451" s="41"/>
      <c r="AE451" s="64"/>
      <c r="AF451" s="41"/>
      <c r="AG451" s="64"/>
      <c r="AH451" s="41"/>
      <c r="AI451" s="41"/>
      <c r="AJ451" s="41"/>
      <c r="AK451" s="41"/>
      <c r="AL451" s="41"/>
      <c r="AM451" s="41"/>
      <c r="AN451" s="41"/>
      <c r="AO451" s="41">
        <v>1</v>
      </c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5"/>
      <c r="BB451" s="65"/>
      <c r="BC451" s="65"/>
      <c r="BD451" s="65"/>
    </row>
    <row r="452" spans="2:57" ht="16.5" customHeight="1" thickBot="1" x14ac:dyDescent="0.3">
      <c r="B452" s="1" t="s">
        <v>2</v>
      </c>
      <c r="C452" s="14">
        <f t="shared" si="49"/>
        <v>0</v>
      </c>
      <c r="E452" s="1" t="s">
        <v>2</v>
      </c>
      <c r="F452" s="72"/>
      <c r="G452" s="41"/>
      <c r="H452" s="41"/>
      <c r="I452" s="64"/>
      <c r="J452" s="63"/>
      <c r="K452" s="41"/>
      <c r="L452" s="41"/>
      <c r="M452" s="41"/>
      <c r="N452" s="63"/>
      <c r="O452" s="64"/>
      <c r="P452" s="63"/>
      <c r="Q452" s="41"/>
      <c r="R452" s="41"/>
      <c r="S452" s="41"/>
      <c r="T452" s="41"/>
      <c r="U452" s="41"/>
      <c r="V452" s="41"/>
      <c r="W452" s="64"/>
      <c r="X452" s="72"/>
      <c r="Y452" s="41"/>
      <c r="Z452" s="41"/>
      <c r="AA452" s="41"/>
      <c r="AB452" s="63"/>
      <c r="AC452" s="41"/>
      <c r="AD452" s="41"/>
      <c r="AE452" s="64"/>
      <c r="AF452" s="41"/>
      <c r="AG452" s="64"/>
      <c r="AH452" s="41"/>
      <c r="AI452" s="41"/>
      <c r="AJ452" s="41"/>
      <c r="AK452" s="41"/>
      <c r="AL452" s="41"/>
      <c r="AM452" s="41"/>
      <c r="AN452" s="41"/>
      <c r="AO452" s="41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5"/>
      <c r="BB452" s="65"/>
      <c r="BC452" s="65"/>
      <c r="BD452" s="65"/>
    </row>
    <row r="453" spans="2:57" ht="16.5" customHeight="1" thickBot="1" x14ac:dyDescent="0.3">
      <c r="B453" s="1" t="s">
        <v>3</v>
      </c>
      <c r="C453" s="15">
        <f t="shared" si="49"/>
        <v>0</v>
      </c>
      <c r="E453" s="1" t="s">
        <v>3</v>
      </c>
      <c r="F453" s="73"/>
      <c r="G453" s="67"/>
      <c r="H453" s="67"/>
      <c r="I453" s="68"/>
      <c r="J453" s="66"/>
      <c r="K453" s="67"/>
      <c r="L453" s="67"/>
      <c r="M453" s="67"/>
      <c r="N453" s="66"/>
      <c r="O453" s="68"/>
      <c r="P453" s="66"/>
      <c r="Q453" s="67"/>
      <c r="R453" s="67"/>
      <c r="S453" s="67"/>
      <c r="T453" s="67"/>
      <c r="U453" s="67"/>
      <c r="V453" s="67"/>
      <c r="W453" s="68"/>
      <c r="X453" s="73"/>
      <c r="Y453" s="67"/>
      <c r="Z453" s="67"/>
      <c r="AA453" s="67"/>
      <c r="AB453" s="66"/>
      <c r="AC453" s="67"/>
      <c r="AD453" s="67"/>
      <c r="AE453" s="68"/>
      <c r="AF453" s="67"/>
      <c r="AG453" s="68"/>
      <c r="AH453" s="67"/>
      <c r="AI453" s="67"/>
      <c r="AJ453" s="67"/>
      <c r="AK453" s="67"/>
      <c r="AL453" s="67"/>
      <c r="AM453" s="67"/>
      <c r="AN453" s="67"/>
      <c r="AO453" s="67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9"/>
      <c r="BB453" s="69"/>
      <c r="BC453" s="69"/>
      <c r="BD453" s="69"/>
    </row>
    <row r="454" spans="2:57" ht="21" customHeight="1" x14ac:dyDescent="0.25">
      <c r="B454" s="2"/>
      <c r="C454" s="8">
        <f>SUM(C450:C453)</f>
        <v>6</v>
      </c>
      <c r="F454" s="74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74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</row>
    <row r="455" spans="2:57" x14ac:dyDescent="0.25"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</row>
    <row r="456" spans="2:57" ht="15.75" x14ac:dyDescent="0.25">
      <c r="F456" s="82" t="s">
        <v>17</v>
      </c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3" t="s">
        <v>16</v>
      </c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79"/>
      <c r="AQ456" s="79"/>
      <c r="AR456" s="79"/>
      <c r="AS456" s="79"/>
      <c r="AT456" s="79"/>
      <c r="AU456" s="41"/>
      <c r="AV456" s="41"/>
      <c r="AW456" s="41"/>
      <c r="AX456" s="41"/>
      <c r="AY456" s="41"/>
      <c r="AZ456" s="41"/>
      <c r="BA456" s="41"/>
    </row>
    <row r="457" spans="2:57" ht="32.25" thickBot="1" x14ac:dyDescent="0.3">
      <c r="F457" s="81" t="s">
        <v>9</v>
      </c>
      <c r="G457" s="81"/>
      <c r="H457" s="81"/>
      <c r="I457" s="81"/>
      <c r="J457" s="81" t="s">
        <v>10</v>
      </c>
      <c r="K457" s="81"/>
      <c r="L457" s="81"/>
      <c r="M457" s="81"/>
      <c r="N457" s="81" t="s">
        <v>49</v>
      </c>
      <c r="O457" s="81"/>
      <c r="P457" s="81" t="s">
        <v>11</v>
      </c>
      <c r="Q457" s="81"/>
      <c r="R457" s="81"/>
      <c r="S457" s="81"/>
      <c r="T457" s="81"/>
      <c r="U457" s="81"/>
      <c r="V457" s="81"/>
      <c r="W457" s="81"/>
      <c r="X457" s="81" t="s">
        <v>9</v>
      </c>
      <c r="Y457" s="81"/>
      <c r="Z457" s="81"/>
      <c r="AA457" s="81"/>
      <c r="AB457" s="81" t="s">
        <v>10</v>
      </c>
      <c r="AC457" s="81"/>
      <c r="AD457" s="81"/>
      <c r="AE457" s="81"/>
      <c r="AF457" s="81" t="s">
        <v>49</v>
      </c>
      <c r="AG457" s="81"/>
      <c r="AH457" s="81" t="s">
        <v>11</v>
      </c>
      <c r="AI457" s="81"/>
      <c r="AJ457" s="81"/>
      <c r="AK457" s="81"/>
      <c r="AL457" s="81"/>
      <c r="AM457" s="81"/>
      <c r="AN457" s="81"/>
      <c r="AO457" s="81"/>
      <c r="AP457" s="70" t="s">
        <v>50</v>
      </c>
      <c r="AQ457" s="70" t="s">
        <v>57</v>
      </c>
      <c r="AR457" s="70" t="s">
        <v>63</v>
      </c>
      <c r="AS457" s="70" t="s">
        <v>64</v>
      </c>
      <c r="AT457" s="70" t="s">
        <v>61</v>
      </c>
      <c r="AU457" s="70" t="s">
        <v>54</v>
      </c>
      <c r="AV457" s="70" t="s">
        <v>19</v>
      </c>
      <c r="AW457" s="70" t="s">
        <v>58</v>
      </c>
      <c r="AX457" s="70" t="s">
        <v>51</v>
      </c>
      <c r="AY457" s="70" t="s">
        <v>53</v>
      </c>
      <c r="AZ457" s="70" t="s">
        <v>52</v>
      </c>
      <c r="BA457" s="70" t="s">
        <v>55</v>
      </c>
      <c r="BB457" s="70" t="s">
        <v>56</v>
      </c>
      <c r="BC457" s="70" t="s">
        <v>59</v>
      </c>
      <c r="BD457" s="70" t="s">
        <v>60</v>
      </c>
    </row>
    <row r="458" spans="2:57" ht="16.5" thickBot="1" x14ac:dyDescent="0.3">
      <c r="B458" s="16">
        <v>0.52083333333333337</v>
      </c>
      <c r="C458" s="7" t="s">
        <v>5</v>
      </c>
      <c r="E458" s="11"/>
      <c r="F458" s="75" t="s">
        <v>15</v>
      </c>
      <c r="G458" s="58" t="s">
        <v>12</v>
      </c>
      <c r="H458" s="58" t="s">
        <v>14</v>
      </c>
      <c r="I458" s="58" t="s">
        <v>13</v>
      </c>
      <c r="J458" s="58" t="s">
        <v>42</v>
      </c>
      <c r="K458" s="58" t="s">
        <v>41</v>
      </c>
      <c r="L458" s="58" t="s">
        <v>43</v>
      </c>
      <c r="M458" s="58" t="s">
        <v>44</v>
      </c>
      <c r="N458" s="58" t="s">
        <v>15</v>
      </c>
      <c r="O458" s="58" t="s">
        <v>14</v>
      </c>
      <c r="P458" s="58" t="s">
        <v>45</v>
      </c>
      <c r="Q458" s="58" t="s">
        <v>46</v>
      </c>
      <c r="R458" s="58" t="s">
        <v>42</v>
      </c>
      <c r="S458" s="58" t="s">
        <v>41</v>
      </c>
      <c r="T458" s="58" t="s">
        <v>47</v>
      </c>
      <c r="U458" s="58" t="s">
        <v>48</v>
      </c>
      <c r="V458" s="58" t="s">
        <v>43</v>
      </c>
      <c r="W458" s="58" t="s">
        <v>44</v>
      </c>
      <c r="X458" s="75" t="s">
        <v>15</v>
      </c>
      <c r="Y458" s="58" t="s">
        <v>12</v>
      </c>
      <c r="Z458" s="58" t="s">
        <v>14</v>
      </c>
      <c r="AA458" s="58" t="s">
        <v>13</v>
      </c>
      <c r="AB458" s="58" t="s">
        <v>42</v>
      </c>
      <c r="AC458" s="58" t="s">
        <v>41</v>
      </c>
      <c r="AD458" s="58" t="s">
        <v>43</v>
      </c>
      <c r="AE458" s="58" t="s">
        <v>44</v>
      </c>
      <c r="AF458" s="58" t="s">
        <v>15</v>
      </c>
      <c r="AG458" s="58" t="s">
        <v>14</v>
      </c>
      <c r="AH458" s="58" t="s">
        <v>45</v>
      </c>
      <c r="AI458" s="58" t="s">
        <v>46</v>
      </c>
      <c r="AJ458" s="58" t="s">
        <v>42</v>
      </c>
      <c r="AK458" s="58" t="s">
        <v>41</v>
      </c>
      <c r="AL458" s="58" t="s">
        <v>47</v>
      </c>
      <c r="AM458" s="58" t="s">
        <v>48</v>
      </c>
      <c r="AN458" s="58" t="s">
        <v>43</v>
      </c>
      <c r="AO458" s="58" t="s">
        <v>44</v>
      </c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</row>
    <row r="459" spans="2:57" ht="16.5" customHeight="1" thickBot="1" x14ac:dyDescent="0.3">
      <c r="B459" s="1" t="s">
        <v>0</v>
      </c>
      <c r="C459" s="13">
        <f>SUM(F459:W459)</f>
        <v>4</v>
      </c>
      <c r="E459" s="10" t="s">
        <v>0</v>
      </c>
      <c r="F459" s="71"/>
      <c r="G459" s="60"/>
      <c r="H459" s="60"/>
      <c r="I459" s="61"/>
      <c r="J459" s="59"/>
      <c r="K459" s="60"/>
      <c r="L459" s="60"/>
      <c r="M459" s="60"/>
      <c r="N459" s="59"/>
      <c r="O459" s="61"/>
      <c r="P459" s="59"/>
      <c r="Q459" s="60"/>
      <c r="R459" s="60">
        <v>2</v>
      </c>
      <c r="S459" s="60"/>
      <c r="T459" s="60"/>
      <c r="U459" s="60"/>
      <c r="V459" s="60"/>
      <c r="W459" s="61">
        <v>2</v>
      </c>
      <c r="X459" s="71"/>
      <c r="Y459" s="60"/>
      <c r="Z459" s="60"/>
      <c r="AA459" s="60"/>
      <c r="AB459" s="59"/>
      <c r="AC459" s="60"/>
      <c r="AD459" s="60"/>
      <c r="AE459" s="61"/>
      <c r="AF459" s="60"/>
      <c r="AG459" s="61"/>
      <c r="AH459" s="60"/>
      <c r="AI459" s="60"/>
      <c r="AJ459" s="60">
        <v>2</v>
      </c>
      <c r="AK459" s="60"/>
      <c r="AL459" s="60">
        <v>2</v>
      </c>
      <c r="AM459" s="60"/>
      <c r="AN459" s="60"/>
      <c r="AO459" s="60"/>
      <c r="AP459" s="59"/>
      <c r="AQ459" s="59">
        <v>1</v>
      </c>
      <c r="AR459" s="59"/>
      <c r="AS459" s="59"/>
      <c r="AT459" s="59"/>
      <c r="AU459" s="59"/>
      <c r="AV459" s="59"/>
      <c r="AW459" s="59"/>
      <c r="AX459" s="59"/>
      <c r="AY459" s="59">
        <v>1</v>
      </c>
      <c r="AZ459" s="59">
        <v>2</v>
      </c>
      <c r="BA459" s="62"/>
      <c r="BB459" s="62"/>
      <c r="BC459" s="62"/>
      <c r="BD459" s="62"/>
      <c r="BE459" t="s">
        <v>73</v>
      </c>
    </row>
    <row r="460" spans="2:57" ht="16.5" customHeight="1" thickBot="1" x14ac:dyDescent="0.3">
      <c r="B460" s="1" t="s">
        <v>1</v>
      </c>
      <c r="C460" s="14">
        <f t="shared" ref="C460:C462" si="50">SUM(F460:W460)</f>
        <v>1</v>
      </c>
      <c r="E460" s="1" t="s">
        <v>1</v>
      </c>
      <c r="F460" s="72"/>
      <c r="G460" s="41"/>
      <c r="H460" s="41"/>
      <c r="I460" s="64"/>
      <c r="J460" s="63"/>
      <c r="K460" s="41"/>
      <c r="L460" s="41"/>
      <c r="M460" s="41"/>
      <c r="N460" s="63"/>
      <c r="O460" s="64">
        <v>1</v>
      </c>
      <c r="P460" s="63"/>
      <c r="Q460" s="41"/>
      <c r="R460" s="41"/>
      <c r="S460" s="41"/>
      <c r="T460" s="41"/>
      <c r="U460" s="41"/>
      <c r="V460" s="41"/>
      <c r="W460" s="64"/>
      <c r="X460" s="72"/>
      <c r="Y460" s="41"/>
      <c r="Z460" s="41"/>
      <c r="AA460" s="41"/>
      <c r="AB460" s="63"/>
      <c r="AC460" s="41"/>
      <c r="AD460" s="41"/>
      <c r="AE460" s="64"/>
      <c r="AF460" s="41">
        <v>1</v>
      </c>
      <c r="AG460" s="64"/>
      <c r="AH460" s="41"/>
      <c r="AI460" s="41"/>
      <c r="AJ460" s="41"/>
      <c r="AK460" s="41"/>
      <c r="AL460" s="41"/>
      <c r="AM460" s="41"/>
      <c r="AN460" s="41"/>
      <c r="AO460" s="41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5"/>
      <c r="BB460" s="65">
        <v>1</v>
      </c>
      <c r="BC460" s="65"/>
      <c r="BD460" s="65"/>
    </row>
    <row r="461" spans="2:57" ht="16.5" customHeight="1" thickBot="1" x14ac:dyDescent="0.3">
      <c r="B461" s="1" t="s">
        <v>2</v>
      </c>
      <c r="C461" s="14">
        <f t="shared" si="50"/>
        <v>0</v>
      </c>
      <c r="E461" s="1" t="s">
        <v>2</v>
      </c>
      <c r="F461" s="72"/>
      <c r="G461" s="41"/>
      <c r="H461" s="41"/>
      <c r="I461" s="64"/>
      <c r="J461" s="63"/>
      <c r="K461" s="41"/>
      <c r="L461" s="41"/>
      <c r="M461" s="41"/>
      <c r="N461" s="63"/>
      <c r="O461" s="64"/>
      <c r="P461" s="63"/>
      <c r="Q461" s="41"/>
      <c r="R461" s="41"/>
      <c r="S461" s="41"/>
      <c r="T461" s="41"/>
      <c r="U461" s="41"/>
      <c r="V461" s="41"/>
      <c r="W461" s="64"/>
      <c r="X461" s="72"/>
      <c r="Y461" s="41"/>
      <c r="Z461" s="41"/>
      <c r="AA461" s="41"/>
      <c r="AB461" s="63"/>
      <c r="AC461" s="41"/>
      <c r="AD461" s="41"/>
      <c r="AE461" s="64"/>
      <c r="AF461" s="41"/>
      <c r="AG461" s="64"/>
      <c r="AH461" s="41"/>
      <c r="AI461" s="41"/>
      <c r="AJ461" s="41"/>
      <c r="AK461" s="41"/>
      <c r="AL461" s="41"/>
      <c r="AM461" s="41"/>
      <c r="AN461" s="41"/>
      <c r="AO461" s="41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5"/>
      <c r="BB461" s="65"/>
      <c r="BC461" s="65"/>
      <c r="BD461" s="65"/>
    </row>
    <row r="462" spans="2:57" ht="16.5" customHeight="1" thickBot="1" x14ac:dyDescent="0.3">
      <c r="B462" s="1" t="s">
        <v>3</v>
      </c>
      <c r="C462" s="15">
        <f t="shared" si="50"/>
        <v>0</v>
      </c>
      <c r="E462" s="1" t="s">
        <v>3</v>
      </c>
      <c r="F462" s="73"/>
      <c r="G462" s="67"/>
      <c r="H462" s="67"/>
      <c r="I462" s="68"/>
      <c r="J462" s="66"/>
      <c r="K462" s="67"/>
      <c r="L462" s="67"/>
      <c r="M462" s="67"/>
      <c r="N462" s="66"/>
      <c r="O462" s="68"/>
      <c r="P462" s="66"/>
      <c r="Q462" s="67"/>
      <c r="R462" s="67"/>
      <c r="S462" s="67"/>
      <c r="T462" s="67"/>
      <c r="U462" s="67"/>
      <c r="V462" s="67"/>
      <c r="W462" s="68"/>
      <c r="X462" s="73"/>
      <c r="Y462" s="67"/>
      <c r="Z462" s="67"/>
      <c r="AA462" s="67"/>
      <c r="AB462" s="66"/>
      <c r="AC462" s="67"/>
      <c r="AD462" s="67"/>
      <c r="AE462" s="68"/>
      <c r="AF462" s="67"/>
      <c r="AG462" s="68"/>
      <c r="AH462" s="67"/>
      <c r="AI462" s="67"/>
      <c r="AJ462" s="67"/>
      <c r="AK462" s="67"/>
      <c r="AL462" s="67"/>
      <c r="AM462" s="67"/>
      <c r="AN462" s="67"/>
      <c r="AO462" s="67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9"/>
      <c r="BB462" s="69"/>
      <c r="BC462" s="69"/>
      <c r="BD462" s="69"/>
    </row>
    <row r="463" spans="2:57" ht="21" customHeight="1" x14ac:dyDescent="0.25">
      <c r="B463" s="2"/>
      <c r="C463" s="8">
        <f>SUM(C459:C462)</f>
        <v>5</v>
      </c>
      <c r="F463" s="74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74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</row>
    <row r="464" spans="2:57" x14ac:dyDescent="0.25"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</row>
    <row r="465" spans="2:56" ht="15.75" x14ac:dyDescent="0.25">
      <c r="F465" s="82" t="s">
        <v>17</v>
      </c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3" t="s">
        <v>16</v>
      </c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79"/>
      <c r="AQ465" s="79"/>
      <c r="AR465" s="79"/>
      <c r="AS465" s="79"/>
      <c r="AT465" s="79"/>
      <c r="AU465" s="41"/>
      <c r="AV465" s="41"/>
      <c r="AW465" s="41"/>
      <c r="AX465" s="41"/>
      <c r="AY465" s="41"/>
      <c r="AZ465" s="41"/>
      <c r="BA465" s="41"/>
    </row>
    <row r="466" spans="2:56" ht="32.25" thickBot="1" x14ac:dyDescent="0.3">
      <c r="F466" s="81" t="s">
        <v>9</v>
      </c>
      <c r="G466" s="81"/>
      <c r="H466" s="81"/>
      <c r="I466" s="81"/>
      <c r="J466" s="81" t="s">
        <v>10</v>
      </c>
      <c r="K466" s="81"/>
      <c r="L466" s="81"/>
      <c r="M466" s="81"/>
      <c r="N466" s="81" t="s">
        <v>49</v>
      </c>
      <c r="O466" s="81"/>
      <c r="P466" s="81" t="s">
        <v>11</v>
      </c>
      <c r="Q466" s="81"/>
      <c r="R466" s="81"/>
      <c r="S466" s="81"/>
      <c r="T466" s="81"/>
      <c r="U466" s="81"/>
      <c r="V466" s="81"/>
      <c r="W466" s="81"/>
      <c r="X466" s="81" t="s">
        <v>9</v>
      </c>
      <c r="Y466" s="81"/>
      <c r="Z466" s="81"/>
      <c r="AA466" s="81"/>
      <c r="AB466" s="81" t="s">
        <v>10</v>
      </c>
      <c r="AC466" s="81"/>
      <c r="AD466" s="81"/>
      <c r="AE466" s="81"/>
      <c r="AF466" s="81" t="s">
        <v>49</v>
      </c>
      <c r="AG466" s="81"/>
      <c r="AH466" s="81" t="s">
        <v>11</v>
      </c>
      <c r="AI466" s="81"/>
      <c r="AJ466" s="81"/>
      <c r="AK466" s="81"/>
      <c r="AL466" s="81"/>
      <c r="AM466" s="81"/>
      <c r="AN466" s="81"/>
      <c r="AO466" s="81"/>
      <c r="AP466" s="70" t="s">
        <v>50</v>
      </c>
      <c r="AQ466" s="70" t="s">
        <v>57</v>
      </c>
      <c r="AR466" s="70" t="s">
        <v>63</v>
      </c>
      <c r="AS466" s="70" t="s">
        <v>64</v>
      </c>
      <c r="AT466" s="70" t="s">
        <v>61</v>
      </c>
      <c r="AU466" s="70" t="s">
        <v>54</v>
      </c>
      <c r="AV466" s="70" t="s">
        <v>19</v>
      </c>
      <c r="AW466" s="70" t="s">
        <v>58</v>
      </c>
      <c r="AX466" s="70" t="s">
        <v>51</v>
      </c>
      <c r="AY466" s="70" t="s">
        <v>53</v>
      </c>
      <c r="AZ466" s="70" t="s">
        <v>52</v>
      </c>
      <c r="BA466" s="70" t="s">
        <v>55</v>
      </c>
      <c r="BB466" s="70" t="s">
        <v>56</v>
      </c>
      <c r="BC466" s="70" t="s">
        <v>59</v>
      </c>
      <c r="BD466" s="70" t="s">
        <v>60</v>
      </c>
    </row>
    <row r="467" spans="2:56" ht="16.5" thickBot="1" x14ac:dyDescent="0.3">
      <c r="B467" s="16">
        <v>0.53125</v>
      </c>
      <c r="C467" s="7" t="s">
        <v>5</v>
      </c>
      <c r="E467" s="11"/>
      <c r="F467" s="75" t="s">
        <v>15</v>
      </c>
      <c r="G467" s="58" t="s">
        <v>12</v>
      </c>
      <c r="H467" s="58" t="s">
        <v>14</v>
      </c>
      <c r="I467" s="58" t="s">
        <v>13</v>
      </c>
      <c r="J467" s="58" t="s">
        <v>42</v>
      </c>
      <c r="K467" s="58" t="s">
        <v>41</v>
      </c>
      <c r="L467" s="58" t="s">
        <v>43</v>
      </c>
      <c r="M467" s="58" t="s">
        <v>44</v>
      </c>
      <c r="N467" s="58" t="s">
        <v>15</v>
      </c>
      <c r="O467" s="58" t="s">
        <v>14</v>
      </c>
      <c r="P467" s="58" t="s">
        <v>45</v>
      </c>
      <c r="Q467" s="58" t="s">
        <v>46</v>
      </c>
      <c r="R467" s="58" t="s">
        <v>42</v>
      </c>
      <c r="S467" s="58" t="s">
        <v>41</v>
      </c>
      <c r="T467" s="58" t="s">
        <v>47</v>
      </c>
      <c r="U467" s="58" t="s">
        <v>48</v>
      </c>
      <c r="V467" s="58" t="s">
        <v>43</v>
      </c>
      <c r="W467" s="58" t="s">
        <v>44</v>
      </c>
      <c r="X467" s="75" t="s">
        <v>15</v>
      </c>
      <c r="Y467" s="58" t="s">
        <v>12</v>
      </c>
      <c r="Z467" s="58" t="s">
        <v>14</v>
      </c>
      <c r="AA467" s="58" t="s">
        <v>13</v>
      </c>
      <c r="AB467" s="58" t="s">
        <v>42</v>
      </c>
      <c r="AC467" s="58" t="s">
        <v>41</v>
      </c>
      <c r="AD467" s="58" t="s">
        <v>43</v>
      </c>
      <c r="AE467" s="58" t="s">
        <v>44</v>
      </c>
      <c r="AF467" s="58" t="s">
        <v>15</v>
      </c>
      <c r="AG467" s="58" t="s">
        <v>14</v>
      </c>
      <c r="AH467" s="58" t="s">
        <v>45</v>
      </c>
      <c r="AI467" s="58" t="s">
        <v>46</v>
      </c>
      <c r="AJ467" s="58" t="s">
        <v>42</v>
      </c>
      <c r="AK467" s="58" t="s">
        <v>41</v>
      </c>
      <c r="AL467" s="58" t="s">
        <v>47</v>
      </c>
      <c r="AM467" s="58" t="s">
        <v>48</v>
      </c>
      <c r="AN467" s="58" t="s">
        <v>43</v>
      </c>
      <c r="AO467" s="58" t="s">
        <v>44</v>
      </c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</row>
    <row r="468" spans="2:56" ht="16.5" customHeight="1" thickBot="1" x14ac:dyDescent="0.3">
      <c r="B468" s="1" t="s">
        <v>0</v>
      </c>
      <c r="C468" s="13">
        <f>SUM(F468:W468)</f>
        <v>2</v>
      </c>
      <c r="E468" s="10" t="s">
        <v>0</v>
      </c>
      <c r="F468" s="71"/>
      <c r="G468" s="60"/>
      <c r="H468" s="60"/>
      <c r="I468" s="61"/>
      <c r="J468" s="59"/>
      <c r="K468" s="60"/>
      <c r="L468" s="60"/>
      <c r="M468" s="60"/>
      <c r="N468" s="59"/>
      <c r="O468" s="61">
        <v>2</v>
      </c>
      <c r="P468" s="59"/>
      <c r="Q468" s="60"/>
      <c r="R468" s="60"/>
      <c r="S468" s="60"/>
      <c r="T468" s="60"/>
      <c r="U468" s="60"/>
      <c r="V468" s="60"/>
      <c r="W468" s="61"/>
      <c r="X468" s="71"/>
      <c r="Y468" s="60"/>
      <c r="Z468" s="60"/>
      <c r="AA468" s="60"/>
      <c r="AB468" s="59"/>
      <c r="AC468" s="60"/>
      <c r="AD468" s="60"/>
      <c r="AE468" s="61"/>
      <c r="AF468" s="60">
        <v>2</v>
      </c>
      <c r="AG468" s="61"/>
      <c r="AH468" s="60"/>
      <c r="AI468" s="60"/>
      <c r="AJ468" s="60"/>
      <c r="AK468" s="60"/>
      <c r="AL468" s="60"/>
      <c r="AM468" s="60"/>
      <c r="AN468" s="60"/>
      <c r="AO468" s="60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>
        <v>2</v>
      </c>
      <c r="BA468" s="62"/>
      <c r="BB468" s="62"/>
      <c r="BC468" s="62"/>
      <c r="BD468" s="62"/>
    </row>
    <row r="469" spans="2:56" ht="16.5" customHeight="1" thickBot="1" x14ac:dyDescent="0.3">
      <c r="B469" s="1" t="s">
        <v>1</v>
      </c>
      <c r="C469" s="14">
        <f t="shared" ref="C469:C471" si="51">SUM(F469:W469)</f>
        <v>2</v>
      </c>
      <c r="E469" s="1" t="s">
        <v>1</v>
      </c>
      <c r="F469" s="72"/>
      <c r="G469" s="41"/>
      <c r="H469" s="41"/>
      <c r="I469" s="64"/>
      <c r="J469" s="63"/>
      <c r="K469" s="41"/>
      <c r="L469" s="41">
        <v>1</v>
      </c>
      <c r="M469" s="41"/>
      <c r="N469" s="63"/>
      <c r="O469" s="64">
        <v>1</v>
      </c>
      <c r="P469" s="63"/>
      <c r="Q469" s="41"/>
      <c r="R469" s="41"/>
      <c r="S469" s="41"/>
      <c r="T469" s="41"/>
      <c r="U469" s="41"/>
      <c r="V469" s="41"/>
      <c r="W469" s="64"/>
      <c r="X469" s="72"/>
      <c r="Y469" s="41"/>
      <c r="Z469" s="41"/>
      <c r="AA469" s="41"/>
      <c r="AB469" s="63"/>
      <c r="AC469" s="41">
        <v>1</v>
      </c>
      <c r="AD469" s="41"/>
      <c r="AE469" s="64"/>
      <c r="AF469" s="41">
        <v>1</v>
      </c>
      <c r="AG469" s="64"/>
      <c r="AH469" s="41"/>
      <c r="AI469" s="41"/>
      <c r="AJ469" s="41"/>
      <c r="AK469" s="41"/>
      <c r="AL469" s="41"/>
      <c r="AM469" s="41"/>
      <c r="AN469" s="41"/>
      <c r="AO469" s="41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5"/>
      <c r="BB469" s="65"/>
      <c r="BC469" s="65"/>
      <c r="BD469" s="65"/>
    </row>
    <row r="470" spans="2:56" ht="16.5" customHeight="1" thickBot="1" x14ac:dyDescent="0.3">
      <c r="B470" s="1" t="s">
        <v>2</v>
      </c>
      <c r="C470" s="14">
        <f t="shared" si="51"/>
        <v>0</v>
      </c>
      <c r="E470" s="1" t="s">
        <v>2</v>
      </c>
      <c r="F470" s="72"/>
      <c r="G470" s="41"/>
      <c r="H470" s="41"/>
      <c r="I470" s="64"/>
      <c r="J470" s="63"/>
      <c r="K470" s="41"/>
      <c r="L470" s="41"/>
      <c r="M470" s="41"/>
      <c r="N470" s="63"/>
      <c r="O470" s="64"/>
      <c r="P470" s="63"/>
      <c r="Q470" s="41"/>
      <c r="R470" s="41"/>
      <c r="S470" s="41"/>
      <c r="T470" s="41"/>
      <c r="U470" s="41"/>
      <c r="V470" s="41"/>
      <c r="W470" s="64"/>
      <c r="X470" s="72"/>
      <c r="Y470" s="41"/>
      <c r="Z470" s="41"/>
      <c r="AA470" s="41"/>
      <c r="AB470" s="63"/>
      <c r="AC470" s="41"/>
      <c r="AD470" s="41"/>
      <c r="AE470" s="64"/>
      <c r="AF470" s="41"/>
      <c r="AG470" s="64"/>
      <c r="AH470" s="41"/>
      <c r="AI470" s="41"/>
      <c r="AJ470" s="41"/>
      <c r="AK470" s="41"/>
      <c r="AL470" s="41"/>
      <c r="AM470" s="41"/>
      <c r="AN470" s="41"/>
      <c r="AO470" s="41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5"/>
      <c r="BB470" s="65"/>
      <c r="BC470" s="65"/>
      <c r="BD470" s="65"/>
    </row>
    <row r="471" spans="2:56" ht="16.5" customHeight="1" thickBot="1" x14ac:dyDescent="0.3">
      <c r="B471" s="1" t="s">
        <v>3</v>
      </c>
      <c r="C471" s="15">
        <f t="shared" si="51"/>
        <v>0</v>
      </c>
      <c r="E471" s="1" t="s">
        <v>3</v>
      </c>
      <c r="F471" s="73"/>
      <c r="G471" s="67"/>
      <c r="H471" s="67"/>
      <c r="I471" s="68"/>
      <c r="J471" s="66"/>
      <c r="K471" s="67"/>
      <c r="L471" s="67"/>
      <c r="M471" s="67"/>
      <c r="N471" s="66"/>
      <c r="O471" s="68"/>
      <c r="P471" s="66"/>
      <c r="Q471" s="67"/>
      <c r="R471" s="67"/>
      <c r="S471" s="67"/>
      <c r="T471" s="67"/>
      <c r="U471" s="67"/>
      <c r="V471" s="67"/>
      <c r="W471" s="68"/>
      <c r="X471" s="73"/>
      <c r="Y471" s="67"/>
      <c r="Z471" s="67"/>
      <c r="AA471" s="67"/>
      <c r="AB471" s="66"/>
      <c r="AC471" s="67"/>
      <c r="AD471" s="67"/>
      <c r="AE471" s="68"/>
      <c r="AF471" s="67"/>
      <c r="AG471" s="68"/>
      <c r="AH471" s="67"/>
      <c r="AI471" s="67"/>
      <c r="AJ471" s="67"/>
      <c r="AK471" s="67"/>
      <c r="AL471" s="67"/>
      <c r="AM471" s="67"/>
      <c r="AN471" s="67"/>
      <c r="AO471" s="67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9"/>
      <c r="BB471" s="69"/>
      <c r="BC471" s="69"/>
      <c r="BD471" s="69"/>
    </row>
    <row r="472" spans="2:56" ht="21" customHeight="1" x14ac:dyDescent="0.25">
      <c r="B472" s="2"/>
      <c r="C472" s="8">
        <f>SUM(C468:C471)</f>
        <v>4</v>
      </c>
      <c r="F472" s="74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74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</row>
    <row r="473" spans="2:56" x14ac:dyDescent="0.25"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</row>
    <row r="474" spans="2:56" ht="15.75" x14ac:dyDescent="0.25">
      <c r="F474" s="82" t="s">
        <v>17</v>
      </c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3" t="s">
        <v>16</v>
      </c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79"/>
      <c r="AQ474" s="79"/>
      <c r="AR474" s="79"/>
      <c r="AS474" s="79"/>
      <c r="AT474" s="79"/>
      <c r="AU474" s="41"/>
      <c r="AV474" s="41"/>
      <c r="AW474" s="41"/>
      <c r="AX474" s="41"/>
      <c r="AY474" s="41"/>
      <c r="AZ474" s="41"/>
      <c r="BA474" s="41"/>
    </row>
    <row r="475" spans="2:56" ht="32.25" thickBot="1" x14ac:dyDescent="0.3">
      <c r="F475" s="81" t="s">
        <v>9</v>
      </c>
      <c r="G475" s="81"/>
      <c r="H475" s="81"/>
      <c r="I475" s="81"/>
      <c r="J475" s="81" t="s">
        <v>10</v>
      </c>
      <c r="K475" s="81"/>
      <c r="L475" s="81"/>
      <c r="M475" s="81"/>
      <c r="N475" s="81" t="s">
        <v>49</v>
      </c>
      <c r="O475" s="81"/>
      <c r="P475" s="81" t="s">
        <v>11</v>
      </c>
      <c r="Q475" s="81"/>
      <c r="R475" s="81"/>
      <c r="S475" s="81"/>
      <c r="T475" s="81"/>
      <c r="U475" s="81"/>
      <c r="V475" s="81"/>
      <c r="W475" s="81"/>
      <c r="X475" s="81" t="s">
        <v>9</v>
      </c>
      <c r="Y475" s="81"/>
      <c r="Z475" s="81"/>
      <c r="AA475" s="81"/>
      <c r="AB475" s="81" t="s">
        <v>10</v>
      </c>
      <c r="AC475" s="81"/>
      <c r="AD475" s="81"/>
      <c r="AE475" s="81"/>
      <c r="AF475" s="81" t="s">
        <v>49</v>
      </c>
      <c r="AG475" s="81"/>
      <c r="AH475" s="81" t="s">
        <v>11</v>
      </c>
      <c r="AI475" s="81"/>
      <c r="AJ475" s="81"/>
      <c r="AK475" s="81"/>
      <c r="AL475" s="81"/>
      <c r="AM475" s="81"/>
      <c r="AN475" s="81"/>
      <c r="AO475" s="81"/>
      <c r="AP475" s="70" t="s">
        <v>50</v>
      </c>
      <c r="AQ475" s="70" t="s">
        <v>57</v>
      </c>
      <c r="AR475" s="70" t="s">
        <v>63</v>
      </c>
      <c r="AS475" s="70" t="s">
        <v>64</v>
      </c>
      <c r="AT475" s="70" t="s">
        <v>61</v>
      </c>
      <c r="AU475" s="70" t="s">
        <v>54</v>
      </c>
      <c r="AV475" s="70" t="s">
        <v>19</v>
      </c>
      <c r="AW475" s="70" t="s">
        <v>58</v>
      </c>
      <c r="AX475" s="70" t="s">
        <v>51</v>
      </c>
      <c r="AY475" s="70" t="s">
        <v>53</v>
      </c>
      <c r="AZ475" s="70" t="s">
        <v>52</v>
      </c>
      <c r="BA475" s="70" t="s">
        <v>55</v>
      </c>
      <c r="BB475" s="70" t="s">
        <v>56</v>
      </c>
      <c r="BC475" s="70" t="s">
        <v>59</v>
      </c>
      <c r="BD475" s="70" t="s">
        <v>60</v>
      </c>
    </row>
    <row r="476" spans="2:56" ht="16.5" thickBot="1" x14ac:dyDescent="0.3">
      <c r="B476" s="17">
        <v>0.54166666666666663</v>
      </c>
      <c r="C476" s="7" t="s">
        <v>5</v>
      </c>
      <c r="E476" s="11"/>
      <c r="F476" s="75" t="s">
        <v>15</v>
      </c>
      <c r="G476" s="58" t="s">
        <v>12</v>
      </c>
      <c r="H476" s="58" t="s">
        <v>14</v>
      </c>
      <c r="I476" s="58" t="s">
        <v>13</v>
      </c>
      <c r="J476" s="58" t="s">
        <v>42</v>
      </c>
      <c r="K476" s="58" t="s">
        <v>41</v>
      </c>
      <c r="L476" s="58" t="s">
        <v>43</v>
      </c>
      <c r="M476" s="58" t="s">
        <v>44</v>
      </c>
      <c r="N476" s="58" t="s">
        <v>15</v>
      </c>
      <c r="O476" s="58" t="s">
        <v>14</v>
      </c>
      <c r="P476" s="58" t="s">
        <v>45</v>
      </c>
      <c r="Q476" s="58" t="s">
        <v>46</v>
      </c>
      <c r="R476" s="58" t="s">
        <v>42</v>
      </c>
      <c r="S476" s="58" t="s">
        <v>41</v>
      </c>
      <c r="T476" s="58" t="s">
        <v>47</v>
      </c>
      <c r="U476" s="58" t="s">
        <v>48</v>
      </c>
      <c r="V476" s="58" t="s">
        <v>43</v>
      </c>
      <c r="W476" s="58" t="s">
        <v>44</v>
      </c>
      <c r="X476" s="75" t="s">
        <v>15</v>
      </c>
      <c r="Y476" s="58" t="s">
        <v>12</v>
      </c>
      <c r="Z476" s="58" t="s">
        <v>14</v>
      </c>
      <c r="AA476" s="58" t="s">
        <v>13</v>
      </c>
      <c r="AB476" s="58" t="s">
        <v>42</v>
      </c>
      <c r="AC476" s="58" t="s">
        <v>41</v>
      </c>
      <c r="AD476" s="58" t="s">
        <v>43</v>
      </c>
      <c r="AE476" s="58" t="s">
        <v>44</v>
      </c>
      <c r="AF476" s="58" t="s">
        <v>15</v>
      </c>
      <c r="AG476" s="58" t="s">
        <v>14</v>
      </c>
      <c r="AH476" s="58" t="s">
        <v>45</v>
      </c>
      <c r="AI476" s="58" t="s">
        <v>46</v>
      </c>
      <c r="AJ476" s="58" t="s">
        <v>42</v>
      </c>
      <c r="AK476" s="58" t="s">
        <v>41</v>
      </c>
      <c r="AL476" s="58" t="s">
        <v>47</v>
      </c>
      <c r="AM476" s="58" t="s">
        <v>48</v>
      </c>
      <c r="AN476" s="58" t="s">
        <v>43</v>
      </c>
      <c r="AO476" s="58" t="s">
        <v>44</v>
      </c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</row>
    <row r="477" spans="2:56" ht="16.5" customHeight="1" thickBot="1" x14ac:dyDescent="0.3">
      <c r="B477" s="1" t="s">
        <v>0</v>
      </c>
      <c r="C477" s="13">
        <f>SUM(F477:W477)</f>
        <v>0</v>
      </c>
      <c r="E477" s="10" t="s">
        <v>0</v>
      </c>
      <c r="F477" s="71"/>
      <c r="G477" s="60"/>
      <c r="H477" s="60"/>
      <c r="I477" s="61"/>
      <c r="J477" s="59"/>
      <c r="K477" s="60"/>
      <c r="L477" s="60"/>
      <c r="M477" s="60"/>
      <c r="N477" s="59"/>
      <c r="O477" s="61"/>
      <c r="P477" s="59"/>
      <c r="Q477" s="60"/>
      <c r="R477" s="60"/>
      <c r="S477" s="60"/>
      <c r="T477" s="60"/>
      <c r="U477" s="60"/>
      <c r="V477" s="60"/>
      <c r="W477" s="61"/>
      <c r="X477" s="71"/>
      <c r="Y477" s="60"/>
      <c r="Z477" s="60"/>
      <c r="AA477" s="60"/>
      <c r="AB477" s="59"/>
      <c r="AC477" s="60"/>
      <c r="AD477" s="60"/>
      <c r="AE477" s="61"/>
      <c r="AF477" s="60"/>
      <c r="AG477" s="61"/>
      <c r="AH477" s="60"/>
      <c r="AI477" s="60"/>
      <c r="AJ477" s="60"/>
      <c r="AK477" s="60"/>
      <c r="AL477" s="60"/>
      <c r="AM477" s="60"/>
      <c r="AN477" s="60"/>
      <c r="AO477" s="60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62"/>
      <c r="BB477" s="62"/>
      <c r="BC477" s="62"/>
      <c r="BD477" s="62"/>
    </row>
    <row r="478" spans="2:56" ht="16.5" customHeight="1" thickBot="1" x14ac:dyDescent="0.3">
      <c r="B478" s="1" t="s">
        <v>1</v>
      </c>
      <c r="C478" s="14">
        <f t="shared" ref="C478:C480" si="52">SUM(F478:W478)</f>
        <v>0</v>
      </c>
      <c r="E478" s="1" t="s">
        <v>1</v>
      </c>
      <c r="F478" s="72"/>
      <c r="G478" s="41"/>
      <c r="H478" s="41"/>
      <c r="I478" s="64"/>
      <c r="J478" s="63"/>
      <c r="K478" s="41"/>
      <c r="L478" s="41"/>
      <c r="M478" s="41"/>
      <c r="N478" s="63"/>
      <c r="O478" s="64"/>
      <c r="P478" s="63"/>
      <c r="Q478" s="41"/>
      <c r="R478" s="41"/>
      <c r="S478" s="41"/>
      <c r="T478" s="41"/>
      <c r="U478" s="41"/>
      <c r="V478" s="41"/>
      <c r="W478" s="64"/>
      <c r="X478" s="72"/>
      <c r="Y478" s="41"/>
      <c r="Z478" s="41"/>
      <c r="AA478" s="41"/>
      <c r="AB478" s="63"/>
      <c r="AC478" s="41"/>
      <c r="AD478" s="41"/>
      <c r="AE478" s="64"/>
      <c r="AF478" s="41"/>
      <c r="AG478" s="64"/>
      <c r="AH478" s="41"/>
      <c r="AI478" s="41"/>
      <c r="AJ478" s="41"/>
      <c r="AK478" s="41"/>
      <c r="AL478" s="41"/>
      <c r="AM478" s="41"/>
      <c r="AN478" s="41"/>
      <c r="AO478" s="41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5"/>
      <c r="BB478" s="65"/>
      <c r="BC478" s="65"/>
      <c r="BD478" s="65"/>
    </row>
    <row r="479" spans="2:56" ht="16.5" customHeight="1" thickBot="1" x14ac:dyDescent="0.3">
      <c r="B479" s="1" t="s">
        <v>2</v>
      </c>
      <c r="C479" s="14">
        <f t="shared" si="52"/>
        <v>0</v>
      </c>
      <c r="E479" s="1" t="s">
        <v>2</v>
      </c>
      <c r="F479" s="72"/>
      <c r="G479" s="41"/>
      <c r="H479" s="41"/>
      <c r="I479" s="64"/>
      <c r="J479" s="63"/>
      <c r="K479" s="41"/>
      <c r="L479" s="41"/>
      <c r="M479" s="41"/>
      <c r="N479" s="63"/>
      <c r="O479" s="64"/>
      <c r="P479" s="63"/>
      <c r="Q479" s="41"/>
      <c r="R479" s="41"/>
      <c r="S479" s="41"/>
      <c r="T479" s="41"/>
      <c r="U479" s="41"/>
      <c r="V479" s="41"/>
      <c r="W479" s="64"/>
      <c r="X479" s="72"/>
      <c r="Y479" s="41"/>
      <c r="Z479" s="41"/>
      <c r="AA479" s="41"/>
      <c r="AB479" s="63"/>
      <c r="AC479" s="41"/>
      <c r="AD479" s="41"/>
      <c r="AE479" s="64"/>
      <c r="AF479" s="41"/>
      <c r="AG479" s="64"/>
      <c r="AH479" s="41"/>
      <c r="AI479" s="41"/>
      <c r="AJ479" s="41"/>
      <c r="AK479" s="41"/>
      <c r="AL479" s="41"/>
      <c r="AM479" s="41"/>
      <c r="AN479" s="41"/>
      <c r="AO479" s="41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5"/>
      <c r="BB479" s="65"/>
      <c r="BC479" s="65"/>
      <c r="BD479" s="65"/>
    </row>
    <row r="480" spans="2:56" ht="16.5" customHeight="1" thickBot="1" x14ac:dyDescent="0.3">
      <c r="B480" s="1" t="s">
        <v>3</v>
      </c>
      <c r="C480" s="15">
        <f t="shared" si="52"/>
        <v>0</v>
      </c>
      <c r="E480" s="1" t="s">
        <v>3</v>
      </c>
      <c r="F480" s="73"/>
      <c r="G480" s="67"/>
      <c r="H480" s="67"/>
      <c r="I480" s="68"/>
      <c r="J480" s="66"/>
      <c r="K480" s="67"/>
      <c r="L480" s="67"/>
      <c r="M480" s="67"/>
      <c r="N480" s="66"/>
      <c r="O480" s="68"/>
      <c r="P480" s="66"/>
      <c r="Q480" s="67"/>
      <c r="R480" s="67"/>
      <c r="S480" s="67"/>
      <c r="T480" s="67"/>
      <c r="U480" s="67"/>
      <c r="V480" s="67"/>
      <c r="W480" s="68"/>
      <c r="X480" s="73"/>
      <c r="Y480" s="67"/>
      <c r="Z480" s="67"/>
      <c r="AA480" s="67"/>
      <c r="AB480" s="66"/>
      <c r="AC480" s="67"/>
      <c r="AD480" s="67"/>
      <c r="AE480" s="68"/>
      <c r="AF480" s="67"/>
      <c r="AG480" s="68"/>
      <c r="AH480" s="67"/>
      <c r="AI480" s="67"/>
      <c r="AJ480" s="67"/>
      <c r="AK480" s="67"/>
      <c r="AL480" s="67"/>
      <c r="AM480" s="67"/>
      <c r="AN480" s="67"/>
      <c r="AO480" s="67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9"/>
      <c r="BB480" s="69"/>
      <c r="BC480" s="69"/>
      <c r="BD480" s="69"/>
    </row>
    <row r="481" spans="2:56" ht="21" customHeight="1" x14ac:dyDescent="0.25">
      <c r="B481" s="2"/>
      <c r="C481" s="8">
        <f>SUM(C477:C480)</f>
        <v>0</v>
      </c>
      <c r="F481" s="74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74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</row>
    <row r="482" spans="2:56" x14ac:dyDescent="0.25"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</row>
    <row r="483" spans="2:56" ht="15.75" x14ac:dyDescent="0.25">
      <c r="F483" s="82" t="s">
        <v>17</v>
      </c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3" t="s">
        <v>16</v>
      </c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79"/>
      <c r="AQ483" s="79"/>
      <c r="AR483" s="79"/>
      <c r="AS483" s="79"/>
      <c r="AT483" s="79"/>
      <c r="AU483" s="41"/>
      <c r="AV483" s="41"/>
      <c r="AW483" s="41"/>
      <c r="AX483" s="41"/>
      <c r="AY483" s="41"/>
      <c r="AZ483" s="41"/>
      <c r="BA483" s="41"/>
    </row>
    <row r="484" spans="2:56" ht="32.25" thickBot="1" x14ac:dyDescent="0.3">
      <c r="F484" s="81" t="s">
        <v>9</v>
      </c>
      <c r="G484" s="81"/>
      <c r="H484" s="81"/>
      <c r="I484" s="81"/>
      <c r="J484" s="81" t="s">
        <v>10</v>
      </c>
      <c r="K484" s="81"/>
      <c r="L484" s="81"/>
      <c r="M484" s="81"/>
      <c r="N484" s="81" t="s">
        <v>49</v>
      </c>
      <c r="O484" s="81"/>
      <c r="P484" s="81" t="s">
        <v>11</v>
      </c>
      <c r="Q484" s="81"/>
      <c r="R484" s="81"/>
      <c r="S484" s="81"/>
      <c r="T484" s="81"/>
      <c r="U484" s="81"/>
      <c r="V484" s="81"/>
      <c r="W484" s="81"/>
      <c r="X484" s="81" t="s">
        <v>9</v>
      </c>
      <c r="Y484" s="81"/>
      <c r="Z484" s="81"/>
      <c r="AA484" s="81"/>
      <c r="AB484" s="81" t="s">
        <v>10</v>
      </c>
      <c r="AC484" s="81"/>
      <c r="AD484" s="81"/>
      <c r="AE484" s="81"/>
      <c r="AF484" s="81" t="s">
        <v>49</v>
      </c>
      <c r="AG484" s="81"/>
      <c r="AH484" s="81" t="s">
        <v>11</v>
      </c>
      <c r="AI484" s="81"/>
      <c r="AJ484" s="81"/>
      <c r="AK484" s="81"/>
      <c r="AL484" s="81"/>
      <c r="AM484" s="81"/>
      <c r="AN484" s="81"/>
      <c r="AO484" s="81"/>
      <c r="AP484" s="70" t="s">
        <v>50</v>
      </c>
      <c r="AQ484" s="70" t="s">
        <v>57</v>
      </c>
      <c r="AR484" s="70" t="s">
        <v>63</v>
      </c>
      <c r="AS484" s="70" t="s">
        <v>64</v>
      </c>
      <c r="AT484" s="70" t="s">
        <v>61</v>
      </c>
      <c r="AU484" s="70" t="s">
        <v>54</v>
      </c>
      <c r="AV484" s="70" t="s">
        <v>19</v>
      </c>
      <c r="AW484" s="70" t="s">
        <v>58</v>
      </c>
      <c r="AX484" s="70" t="s">
        <v>51</v>
      </c>
      <c r="AY484" s="70" t="s">
        <v>53</v>
      </c>
      <c r="AZ484" s="70" t="s">
        <v>52</v>
      </c>
      <c r="BA484" s="70" t="s">
        <v>55</v>
      </c>
      <c r="BB484" s="70" t="s">
        <v>56</v>
      </c>
      <c r="BC484" s="70" t="s">
        <v>59</v>
      </c>
      <c r="BD484" s="70" t="s">
        <v>60</v>
      </c>
    </row>
    <row r="485" spans="2:56" ht="16.5" thickBot="1" x14ac:dyDescent="0.3">
      <c r="B485" s="17">
        <v>0.55208333333333337</v>
      </c>
      <c r="C485" s="7" t="s">
        <v>5</v>
      </c>
      <c r="E485" s="11"/>
      <c r="F485" s="75" t="s">
        <v>15</v>
      </c>
      <c r="G485" s="58" t="s">
        <v>12</v>
      </c>
      <c r="H485" s="58" t="s">
        <v>14</v>
      </c>
      <c r="I485" s="58" t="s">
        <v>13</v>
      </c>
      <c r="J485" s="58" t="s">
        <v>42</v>
      </c>
      <c r="K485" s="58" t="s">
        <v>41</v>
      </c>
      <c r="L485" s="58" t="s">
        <v>43</v>
      </c>
      <c r="M485" s="58" t="s">
        <v>44</v>
      </c>
      <c r="N485" s="58" t="s">
        <v>15</v>
      </c>
      <c r="O485" s="58" t="s">
        <v>14</v>
      </c>
      <c r="P485" s="58" t="s">
        <v>45</v>
      </c>
      <c r="Q485" s="58" t="s">
        <v>46</v>
      </c>
      <c r="R485" s="58" t="s">
        <v>42</v>
      </c>
      <c r="S485" s="58" t="s">
        <v>41</v>
      </c>
      <c r="T485" s="58" t="s">
        <v>47</v>
      </c>
      <c r="U485" s="58" t="s">
        <v>48</v>
      </c>
      <c r="V485" s="58" t="s">
        <v>43</v>
      </c>
      <c r="W485" s="58" t="s">
        <v>44</v>
      </c>
      <c r="X485" s="75" t="s">
        <v>15</v>
      </c>
      <c r="Y485" s="58" t="s">
        <v>12</v>
      </c>
      <c r="Z485" s="58" t="s">
        <v>14</v>
      </c>
      <c r="AA485" s="58" t="s">
        <v>13</v>
      </c>
      <c r="AB485" s="58" t="s">
        <v>42</v>
      </c>
      <c r="AC485" s="58" t="s">
        <v>41</v>
      </c>
      <c r="AD485" s="58" t="s">
        <v>43</v>
      </c>
      <c r="AE485" s="58" t="s">
        <v>44</v>
      </c>
      <c r="AF485" s="58" t="s">
        <v>15</v>
      </c>
      <c r="AG485" s="58" t="s">
        <v>14</v>
      </c>
      <c r="AH485" s="58" t="s">
        <v>45</v>
      </c>
      <c r="AI485" s="58" t="s">
        <v>46</v>
      </c>
      <c r="AJ485" s="58" t="s">
        <v>42</v>
      </c>
      <c r="AK485" s="58" t="s">
        <v>41</v>
      </c>
      <c r="AL485" s="58" t="s">
        <v>47</v>
      </c>
      <c r="AM485" s="58" t="s">
        <v>48</v>
      </c>
      <c r="AN485" s="58" t="s">
        <v>43</v>
      </c>
      <c r="AO485" s="58" t="s">
        <v>44</v>
      </c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</row>
    <row r="486" spans="2:56" ht="16.5" customHeight="1" thickBot="1" x14ac:dyDescent="0.3">
      <c r="B486" s="1" t="s">
        <v>0</v>
      </c>
      <c r="C486" s="13">
        <f>SUM(F486:W486)</f>
        <v>2</v>
      </c>
      <c r="E486" s="10" t="s">
        <v>0</v>
      </c>
      <c r="F486" s="71"/>
      <c r="G486" s="60"/>
      <c r="H486" s="60"/>
      <c r="I486" s="61"/>
      <c r="J486" s="59"/>
      <c r="K486" s="60"/>
      <c r="L486" s="60"/>
      <c r="M486" s="60"/>
      <c r="N486" s="59"/>
      <c r="O486" s="61"/>
      <c r="P486" s="59"/>
      <c r="Q486" s="60"/>
      <c r="R486" s="60"/>
      <c r="S486" s="60"/>
      <c r="T486" s="60">
        <v>1</v>
      </c>
      <c r="U486" s="60">
        <v>1</v>
      </c>
      <c r="V486" s="60"/>
      <c r="W486" s="61"/>
      <c r="X486" s="71"/>
      <c r="Y486" s="60"/>
      <c r="Z486" s="60"/>
      <c r="AA486" s="60"/>
      <c r="AB486" s="59"/>
      <c r="AC486" s="60"/>
      <c r="AD486" s="60"/>
      <c r="AE486" s="61"/>
      <c r="AF486" s="60"/>
      <c r="AG486" s="61"/>
      <c r="AH486" s="60"/>
      <c r="AI486" s="60"/>
      <c r="AJ486" s="60"/>
      <c r="AK486" s="60">
        <v>1</v>
      </c>
      <c r="AL486" s="60"/>
      <c r="AM486" s="60"/>
      <c r="AN486" s="60"/>
      <c r="AO486" s="60">
        <v>1</v>
      </c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>
        <v>1</v>
      </c>
      <c r="BA486" s="62">
        <v>1</v>
      </c>
      <c r="BB486" s="62"/>
      <c r="BC486" s="62"/>
      <c r="BD486" s="62"/>
    </row>
    <row r="487" spans="2:56" ht="16.5" customHeight="1" thickBot="1" x14ac:dyDescent="0.3">
      <c r="B487" s="1" t="s">
        <v>1</v>
      </c>
      <c r="C487" s="14">
        <f t="shared" ref="C487:C489" si="53">SUM(F487:W487)</f>
        <v>0</v>
      </c>
      <c r="E487" s="1" t="s">
        <v>1</v>
      </c>
      <c r="F487" s="72"/>
      <c r="G487" s="41"/>
      <c r="H487" s="41"/>
      <c r="I487" s="64"/>
      <c r="J487" s="63"/>
      <c r="K487" s="41"/>
      <c r="L487" s="41"/>
      <c r="M487" s="41"/>
      <c r="N487" s="63"/>
      <c r="O487" s="64"/>
      <c r="P487" s="63"/>
      <c r="Q487" s="41"/>
      <c r="R487" s="41"/>
      <c r="S487" s="41"/>
      <c r="T487" s="41"/>
      <c r="U487" s="41"/>
      <c r="V487" s="41"/>
      <c r="W487" s="64"/>
      <c r="X487" s="72"/>
      <c r="Y487" s="41"/>
      <c r="Z487" s="41"/>
      <c r="AA487" s="41"/>
      <c r="AB487" s="63"/>
      <c r="AC487" s="41"/>
      <c r="AD487" s="41"/>
      <c r="AE487" s="64"/>
      <c r="AF487" s="41"/>
      <c r="AG487" s="64"/>
      <c r="AH487" s="41"/>
      <c r="AI487" s="41"/>
      <c r="AJ487" s="41"/>
      <c r="AK487" s="41"/>
      <c r="AL487" s="41"/>
      <c r="AM487" s="41"/>
      <c r="AN487" s="41"/>
      <c r="AO487" s="41"/>
      <c r="AP487" s="63"/>
      <c r="AQ487" s="63"/>
      <c r="AR487" s="63"/>
      <c r="AS487" s="63"/>
      <c r="AT487" s="63"/>
      <c r="AU487" s="63">
        <v>1</v>
      </c>
      <c r="AV487" s="63"/>
      <c r="AW487" s="63"/>
      <c r="AX487" s="63"/>
      <c r="AY487" s="63"/>
      <c r="AZ487" s="63"/>
      <c r="BA487" s="65"/>
      <c r="BB487" s="65"/>
      <c r="BC487" s="65"/>
      <c r="BD487" s="65"/>
    </row>
    <row r="488" spans="2:56" ht="16.5" customHeight="1" thickBot="1" x14ac:dyDescent="0.3">
      <c r="B488" s="1" t="s">
        <v>2</v>
      </c>
      <c r="C488" s="14">
        <f t="shared" si="53"/>
        <v>0</v>
      </c>
      <c r="E488" s="1" t="s">
        <v>2</v>
      </c>
      <c r="F488" s="72"/>
      <c r="G488" s="41"/>
      <c r="H488" s="41"/>
      <c r="I488" s="64"/>
      <c r="J488" s="63"/>
      <c r="K488" s="41"/>
      <c r="L488" s="41"/>
      <c r="M488" s="41"/>
      <c r="N488" s="63"/>
      <c r="O488" s="64"/>
      <c r="P488" s="63"/>
      <c r="Q488" s="41"/>
      <c r="R488" s="41"/>
      <c r="S488" s="41"/>
      <c r="T488" s="41"/>
      <c r="U488" s="41"/>
      <c r="V488" s="41"/>
      <c r="W488" s="64"/>
      <c r="X488" s="72"/>
      <c r="Y488" s="41"/>
      <c r="Z488" s="41"/>
      <c r="AA488" s="41"/>
      <c r="AB488" s="63"/>
      <c r="AC488" s="41"/>
      <c r="AD488" s="41"/>
      <c r="AE488" s="64"/>
      <c r="AF488" s="41"/>
      <c r="AG488" s="64"/>
      <c r="AH488" s="41"/>
      <c r="AI488" s="41"/>
      <c r="AJ488" s="41"/>
      <c r="AK488" s="41"/>
      <c r="AL488" s="41"/>
      <c r="AM488" s="41"/>
      <c r="AN488" s="41"/>
      <c r="AO488" s="41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5"/>
      <c r="BB488" s="65"/>
      <c r="BC488" s="65"/>
      <c r="BD488" s="65"/>
    </row>
    <row r="489" spans="2:56" ht="16.5" customHeight="1" thickBot="1" x14ac:dyDescent="0.3">
      <c r="B489" s="1" t="s">
        <v>3</v>
      </c>
      <c r="C489" s="15">
        <f t="shared" si="53"/>
        <v>0</v>
      </c>
      <c r="E489" s="1" t="s">
        <v>3</v>
      </c>
      <c r="F489" s="73"/>
      <c r="G489" s="67"/>
      <c r="H489" s="67"/>
      <c r="I489" s="68"/>
      <c r="J489" s="66"/>
      <c r="K489" s="67"/>
      <c r="L489" s="67"/>
      <c r="M489" s="67"/>
      <c r="N489" s="66"/>
      <c r="O489" s="68"/>
      <c r="P489" s="66"/>
      <c r="Q489" s="67"/>
      <c r="R489" s="67"/>
      <c r="S489" s="67"/>
      <c r="T489" s="67"/>
      <c r="U489" s="67"/>
      <c r="V489" s="67"/>
      <c r="W489" s="68"/>
      <c r="X489" s="73"/>
      <c r="Y489" s="67"/>
      <c r="Z489" s="67"/>
      <c r="AA489" s="67"/>
      <c r="AB489" s="66"/>
      <c r="AC489" s="67"/>
      <c r="AD489" s="67"/>
      <c r="AE489" s="68"/>
      <c r="AF489" s="67"/>
      <c r="AG489" s="68"/>
      <c r="AH489" s="67"/>
      <c r="AI489" s="67"/>
      <c r="AJ489" s="67"/>
      <c r="AK489" s="67"/>
      <c r="AL489" s="67"/>
      <c r="AM489" s="67"/>
      <c r="AN489" s="67"/>
      <c r="AO489" s="67"/>
      <c r="AP489" s="66"/>
      <c r="AQ489" s="66"/>
      <c r="AR489" s="66"/>
      <c r="AS489" s="66"/>
      <c r="AT489" s="66"/>
      <c r="AU489" s="66"/>
      <c r="AV489" s="66"/>
      <c r="AW489" s="66"/>
      <c r="AX489" s="66"/>
      <c r="AY489" s="66"/>
      <c r="AZ489" s="66"/>
      <c r="BA489" s="69"/>
      <c r="BB489" s="69"/>
      <c r="BC489" s="69"/>
      <c r="BD489" s="69"/>
    </row>
    <row r="490" spans="2:56" ht="21" customHeight="1" x14ac:dyDescent="0.25">
      <c r="B490" s="2"/>
      <c r="C490" s="8">
        <f>SUM(C486:C489)</f>
        <v>2</v>
      </c>
      <c r="F490" s="74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74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</row>
    <row r="491" spans="2:56" x14ac:dyDescent="0.25"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</row>
    <row r="492" spans="2:56" ht="15.75" x14ac:dyDescent="0.25">
      <c r="F492" s="82" t="s">
        <v>17</v>
      </c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3" t="s">
        <v>16</v>
      </c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79"/>
      <c r="AQ492" s="79"/>
      <c r="AR492" s="79"/>
      <c r="AS492" s="79"/>
      <c r="AT492" s="79"/>
      <c r="AU492" s="41"/>
      <c r="AV492" s="41"/>
      <c r="AW492" s="41"/>
      <c r="AX492" s="41"/>
      <c r="AY492" s="41"/>
      <c r="AZ492" s="41"/>
      <c r="BA492" s="41"/>
    </row>
    <row r="493" spans="2:56" ht="32.25" thickBot="1" x14ac:dyDescent="0.3">
      <c r="F493" s="81" t="s">
        <v>9</v>
      </c>
      <c r="G493" s="81"/>
      <c r="H493" s="81"/>
      <c r="I493" s="81"/>
      <c r="J493" s="81" t="s">
        <v>10</v>
      </c>
      <c r="K493" s="81"/>
      <c r="L493" s="81"/>
      <c r="M493" s="81"/>
      <c r="N493" s="81" t="s">
        <v>49</v>
      </c>
      <c r="O493" s="81"/>
      <c r="P493" s="81" t="s">
        <v>11</v>
      </c>
      <c r="Q493" s="81"/>
      <c r="R493" s="81"/>
      <c r="S493" s="81"/>
      <c r="T493" s="81"/>
      <c r="U493" s="81"/>
      <c r="V493" s="81"/>
      <c r="W493" s="81"/>
      <c r="X493" s="81" t="s">
        <v>9</v>
      </c>
      <c r="Y493" s="81"/>
      <c r="Z493" s="81"/>
      <c r="AA493" s="81"/>
      <c r="AB493" s="81" t="s">
        <v>10</v>
      </c>
      <c r="AC493" s="81"/>
      <c r="AD493" s="81"/>
      <c r="AE493" s="81"/>
      <c r="AF493" s="81" t="s">
        <v>49</v>
      </c>
      <c r="AG493" s="81"/>
      <c r="AH493" s="81" t="s">
        <v>11</v>
      </c>
      <c r="AI493" s="81"/>
      <c r="AJ493" s="81"/>
      <c r="AK493" s="81"/>
      <c r="AL493" s="81"/>
      <c r="AM493" s="81"/>
      <c r="AN493" s="81"/>
      <c r="AO493" s="81"/>
      <c r="AP493" s="70" t="s">
        <v>50</v>
      </c>
      <c r="AQ493" s="70" t="s">
        <v>57</v>
      </c>
      <c r="AR493" s="70" t="s">
        <v>63</v>
      </c>
      <c r="AS493" s="70" t="s">
        <v>64</v>
      </c>
      <c r="AT493" s="70" t="s">
        <v>61</v>
      </c>
      <c r="AU493" s="70" t="s">
        <v>54</v>
      </c>
      <c r="AV493" s="70" t="s">
        <v>19</v>
      </c>
      <c r="AW493" s="70" t="s">
        <v>58</v>
      </c>
      <c r="AX493" s="70" t="s">
        <v>51</v>
      </c>
      <c r="AY493" s="70" t="s">
        <v>53</v>
      </c>
      <c r="AZ493" s="70" t="s">
        <v>52</v>
      </c>
      <c r="BA493" s="70" t="s">
        <v>55</v>
      </c>
      <c r="BB493" s="70" t="s">
        <v>56</v>
      </c>
      <c r="BC493" s="70" t="s">
        <v>59</v>
      </c>
      <c r="BD493" s="70" t="s">
        <v>60</v>
      </c>
    </row>
    <row r="494" spans="2:56" ht="16.5" thickBot="1" x14ac:dyDescent="0.3">
      <c r="B494" s="17">
        <v>0.5625</v>
      </c>
      <c r="C494" s="7" t="s">
        <v>5</v>
      </c>
      <c r="E494" s="11"/>
      <c r="F494" s="75" t="s">
        <v>15</v>
      </c>
      <c r="G494" s="58" t="s">
        <v>12</v>
      </c>
      <c r="H494" s="58" t="s">
        <v>14</v>
      </c>
      <c r="I494" s="58" t="s">
        <v>13</v>
      </c>
      <c r="J494" s="58" t="s">
        <v>42</v>
      </c>
      <c r="K494" s="58" t="s">
        <v>41</v>
      </c>
      <c r="L494" s="58" t="s">
        <v>43</v>
      </c>
      <c r="M494" s="58" t="s">
        <v>44</v>
      </c>
      <c r="N494" s="58" t="s">
        <v>15</v>
      </c>
      <c r="O494" s="58" t="s">
        <v>14</v>
      </c>
      <c r="P494" s="58" t="s">
        <v>45</v>
      </c>
      <c r="Q494" s="58" t="s">
        <v>46</v>
      </c>
      <c r="R494" s="58" t="s">
        <v>42</v>
      </c>
      <c r="S494" s="58" t="s">
        <v>41</v>
      </c>
      <c r="T494" s="58" t="s">
        <v>47</v>
      </c>
      <c r="U494" s="58" t="s">
        <v>48</v>
      </c>
      <c r="V494" s="58" t="s">
        <v>43</v>
      </c>
      <c r="W494" s="58" t="s">
        <v>44</v>
      </c>
      <c r="X494" s="75" t="s">
        <v>15</v>
      </c>
      <c r="Y494" s="58" t="s">
        <v>12</v>
      </c>
      <c r="Z494" s="58" t="s">
        <v>14</v>
      </c>
      <c r="AA494" s="58" t="s">
        <v>13</v>
      </c>
      <c r="AB494" s="58" t="s">
        <v>42</v>
      </c>
      <c r="AC494" s="58" t="s">
        <v>41</v>
      </c>
      <c r="AD494" s="58" t="s">
        <v>43</v>
      </c>
      <c r="AE494" s="58" t="s">
        <v>44</v>
      </c>
      <c r="AF494" s="58" t="s">
        <v>15</v>
      </c>
      <c r="AG494" s="58" t="s">
        <v>14</v>
      </c>
      <c r="AH494" s="58" t="s">
        <v>45</v>
      </c>
      <c r="AI494" s="58" t="s">
        <v>46</v>
      </c>
      <c r="AJ494" s="58" t="s">
        <v>42</v>
      </c>
      <c r="AK494" s="58" t="s">
        <v>41</v>
      </c>
      <c r="AL494" s="58" t="s">
        <v>47</v>
      </c>
      <c r="AM494" s="58" t="s">
        <v>48</v>
      </c>
      <c r="AN494" s="58" t="s">
        <v>43</v>
      </c>
      <c r="AO494" s="58" t="s">
        <v>44</v>
      </c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</row>
    <row r="495" spans="2:56" ht="16.5" customHeight="1" thickBot="1" x14ac:dyDescent="0.3">
      <c r="B495" s="1" t="s">
        <v>0</v>
      </c>
      <c r="C495" s="13">
        <f>SUM(F495:W495)</f>
        <v>1</v>
      </c>
      <c r="E495" s="10" t="s">
        <v>0</v>
      </c>
      <c r="F495" s="71"/>
      <c r="G495" s="60"/>
      <c r="H495" s="60"/>
      <c r="I495" s="61"/>
      <c r="J495" s="59"/>
      <c r="K495" s="60"/>
      <c r="L495" s="60"/>
      <c r="M495" s="60"/>
      <c r="N495" s="59"/>
      <c r="O495" s="61"/>
      <c r="P495" s="59"/>
      <c r="Q495" s="60"/>
      <c r="R495" s="60"/>
      <c r="S495" s="60"/>
      <c r="T495" s="60"/>
      <c r="U495" s="60">
        <v>1</v>
      </c>
      <c r="V495" s="60"/>
      <c r="W495" s="61"/>
      <c r="X495" s="71"/>
      <c r="Y495" s="60"/>
      <c r="Z495" s="60"/>
      <c r="AA495" s="60"/>
      <c r="AB495" s="59"/>
      <c r="AC495" s="60"/>
      <c r="AD495" s="60"/>
      <c r="AE495" s="61"/>
      <c r="AF495" s="60"/>
      <c r="AG495" s="61"/>
      <c r="AH495" s="60"/>
      <c r="AI495" s="60"/>
      <c r="AJ495" s="60"/>
      <c r="AK495" s="60"/>
      <c r="AL495" s="60"/>
      <c r="AM495" s="60"/>
      <c r="AN495" s="60">
        <v>1</v>
      </c>
      <c r="AO495" s="60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62">
        <v>2</v>
      </c>
      <c r="BB495" s="62"/>
      <c r="BC495" s="62"/>
      <c r="BD495" s="62"/>
    </row>
    <row r="496" spans="2:56" ht="16.5" customHeight="1" thickBot="1" x14ac:dyDescent="0.3">
      <c r="B496" s="1" t="s">
        <v>1</v>
      </c>
      <c r="C496" s="14">
        <f t="shared" ref="C496:C498" si="54">SUM(F496:W496)</f>
        <v>2</v>
      </c>
      <c r="E496" s="1" t="s">
        <v>1</v>
      </c>
      <c r="F496" s="72"/>
      <c r="G496" s="41"/>
      <c r="H496" s="41"/>
      <c r="I496" s="64"/>
      <c r="J496" s="63"/>
      <c r="K496" s="41"/>
      <c r="L496" s="41"/>
      <c r="M496" s="41"/>
      <c r="N496" s="63">
        <v>1</v>
      </c>
      <c r="O496" s="64">
        <v>1</v>
      </c>
      <c r="P496" s="63"/>
      <c r="Q496" s="41"/>
      <c r="R496" s="41"/>
      <c r="S496" s="41"/>
      <c r="T496" s="41"/>
      <c r="U496" s="41"/>
      <c r="V496" s="41"/>
      <c r="W496" s="64"/>
      <c r="X496" s="72"/>
      <c r="Y496" s="41"/>
      <c r="Z496" s="41"/>
      <c r="AA496" s="41"/>
      <c r="AB496" s="63"/>
      <c r="AC496" s="41"/>
      <c r="AD496" s="41"/>
      <c r="AE496" s="64"/>
      <c r="AF496" s="41">
        <v>1</v>
      </c>
      <c r="AG496" s="64"/>
      <c r="AH496" s="41"/>
      <c r="AI496" s="41"/>
      <c r="AJ496" s="41">
        <v>1</v>
      </c>
      <c r="AK496" s="41"/>
      <c r="AL496" s="41"/>
      <c r="AM496" s="41"/>
      <c r="AN496" s="41"/>
      <c r="AO496" s="41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5"/>
      <c r="BB496" s="65"/>
      <c r="BC496" s="65"/>
      <c r="BD496" s="65"/>
    </row>
    <row r="497" spans="2:56" ht="16.5" customHeight="1" thickBot="1" x14ac:dyDescent="0.3">
      <c r="B497" s="1" t="s">
        <v>2</v>
      </c>
      <c r="C497" s="14">
        <f t="shared" si="54"/>
        <v>0</v>
      </c>
      <c r="E497" s="1" t="s">
        <v>2</v>
      </c>
      <c r="F497" s="72"/>
      <c r="G497" s="41"/>
      <c r="H497" s="41"/>
      <c r="I497" s="64"/>
      <c r="J497" s="63"/>
      <c r="K497" s="41"/>
      <c r="L497" s="41"/>
      <c r="M497" s="41"/>
      <c r="N497" s="63"/>
      <c r="O497" s="64"/>
      <c r="P497" s="63"/>
      <c r="Q497" s="41"/>
      <c r="R497" s="41"/>
      <c r="S497" s="41"/>
      <c r="T497" s="41"/>
      <c r="U497" s="41"/>
      <c r="V497" s="41"/>
      <c r="W497" s="64"/>
      <c r="X497" s="72"/>
      <c r="Y497" s="41"/>
      <c r="Z497" s="41"/>
      <c r="AA497" s="41"/>
      <c r="AB497" s="63"/>
      <c r="AC497" s="41"/>
      <c r="AD497" s="41"/>
      <c r="AE497" s="64"/>
      <c r="AF497" s="41"/>
      <c r="AG497" s="64"/>
      <c r="AH497" s="41"/>
      <c r="AI497" s="41"/>
      <c r="AJ497" s="41"/>
      <c r="AK497" s="41"/>
      <c r="AL497" s="41"/>
      <c r="AM497" s="41"/>
      <c r="AN497" s="41"/>
      <c r="AO497" s="41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5"/>
      <c r="BB497" s="65"/>
      <c r="BC497" s="65"/>
      <c r="BD497" s="65"/>
    </row>
    <row r="498" spans="2:56" ht="16.5" customHeight="1" thickBot="1" x14ac:dyDescent="0.3">
      <c r="B498" s="1" t="s">
        <v>3</v>
      </c>
      <c r="C498" s="15">
        <f t="shared" si="54"/>
        <v>0</v>
      </c>
      <c r="E498" s="1" t="s">
        <v>3</v>
      </c>
      <c r="F498" s="73"/>
      <c r="G498" s="67"/>
      <c r="H498" s="67"/>
      <c r="I498" s="68"/>
      <c r="J498" s="66"/>
      <c r="K498" s="67"/>
      <c r="L498" s="67"/>
      <c r="M498" s="67"/>
      <c r="N498" s="66"/>
      <c r="O498" s="68"/>
      <c r="P498" s="66"/>
      <c r="Q498" s="67"/>
      <c r="R498" s="67"/>
      <c r="S498" s="67"/>
      <c r="T498" s="67"/>
      <c r="U498" s="67"/>
      <c r="V498" s="67"/>
      <c r="W498" s="68"/>
      <c r="X498" s="73"/>
      <c r="Y498" s="67"/>
      <c r="Z498" s="67"/>
      <c r="AA498" s="67"/>
      <c r="AB498" s="66"/>
      <c r="AC498" s="67"/>
      <c r="AD498" s="67"/>
      <c r="AE498" s="68"/>
      <c r="AF498" s="67"/>
      <c r="AG498" s="68"/>
      <c r="AH498" s="67"/>
      <c r="AI498" s="67"/>
      <c r="AJ498" s="67"/>
      <c r="AK498" s="67"/>
      <c r="AL498" s="67"/>
      <c r="AM498" s="67"/>
      <c r="AN498" s="67"/>
      <c r="AO498" s="67"/>
      <c r="AP498" s="66"/>
      <c r="AQ498" s="66"/>
      <c r="AR498" s="66"/>
      <c r="AS498" s="66"/>
      <c r="AT498" s="66"/>
      <c r="AU498" s="66"/>
      <c r="AV498" s="66"/>
      <c r="AW498" s="66"/>
      <c r="AX498" s="66"/>
      <c r="AY498" s="66"/>
      <c r="AZ498" s="66"/>
      <c r="BA498" s="69"/>
      <c r="BB498" s="69"/>
      <c r="BC498" s="69"/>
      <c r="BD498" s="69"/>
    </row>
    <row r="499" spans="2:56" ht="21" customHeight="1" x14ac:dyDescent="0.25">
      <c r="B499" s="2"/>
      <c r="C499" s="8">
        <f>SUM(C495:C498)</f>
        <v>3</v>
      </c>
      <c r="F499" s="74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74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</row>
    <row r="500" spans="2:56" x14ac:dyDescent="0.25"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</row>
    <row r="501" spans="2:56" ht="15.75" x14ac:dyDescent="0.25">
      <c r="F501" s="82" t="s">
        <v>17</v>
      </c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3" t="s">
        <v>16</v>
      </c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79"/>
      <c r="AQ501" s="79"/>
      <c r="AR501" s="79"/>
      <c r="AS501" s="79"/>
      <c r="AT501" s="79"/>
      <c r="AU501" s="41"/>
      <c r="AV501" s="41"/>
      <c r="AW501" s="41"/>
      <c r="AX501" s="41"/>
      <c r="AY501" s="41"/>
      <c r="AZ501" s="41"/>
      <c r="BA501" s="41"/>
    </row>
    <row r="502" spans="2:56" ht="32.25" thickBot="1" x14ac:dyDescent="0.3">
      <c r="F502" s="81" t="s">
        <v>9</v>
      </c>
      <c r="G502" s="81"/>
      <c r="H502" s="81"/>
      <c r="I502" s="81"/>
      <c r="J502" s="81" t="s">
        <v>10</v>
      </c>
      <c r="K502" s="81"/>
      <c r="L502" s="81"/>
      <c r="M502" s="81"/>
      <c r="N502" s="81" t="s">
        <v>49</v>
      </c>
      <c r="O502" s="81"/>
      <c r="P502" s="81" t="s">
        <v>11</v>
      </c>
      <c r="Q502" s="81"/>
      <c r="R502" s="81"/>
      <c r="S502" s="81"/>
      <c r="T502" s="81"/>
      <c r="U502" s="81"/>
      <c r="V502" s="81"/>
      <c r="W502" s="81"/>
      <c r="X502" s="81" t="s">
        <v>9</v>
      </c>
      <c r="Y502" s="81"/>
      <c r="Z502" s="81"/>
      <c r="AA502" s="81"/>
      <c r="AB502" s="81" t="s">
        <v>10</v>
      </c>
      <c r="AC502" s="81"/>
      <c r="AD502" s="81"/>
      <c r="AE502" s="81"/>
      <c r="AF502" s="81" t="s">
        <v>49</v>
      </c>
      <c r="AG502" s="81"/>
      <c r="AH502" s="81" t="s">
        <v>11</v>
      </c>
      <c r="AI502" s="81"/>
      <c r="AJ502" s="81"/>
      <c r="AK502" s="81"/>
      <c r="AL502" s="81"/>
      <c r="AM502" s="81"/>
      <c r="AN502" s="81"/>
      <c r="AO502" s="81"/>
      <c r="AP502" s="70" t="s">
        <v>50</v>
      </c>
      <c r="AQ502" s="70" t="s">
        <v>57</v>
      </c>
      <c r="AR502" s="70" t="s">
        <v>63</v>
      </c>
      <c r="AS502" s="70" t="s">
        <v>64</v>
      </c>
      <c r="AT502" s="70" t="s">
        <v>61</v>
      </c>
      <c r="AU502" s="70" t="s">
        <v>54</v>
      </c>
      <c r="AV502" s="70" t="s">
        <v>19</v>
      </c>
      <c r="AW502" s="70" t="s">
        <v>58</v>
      </c>
      <c r="AX502" s="70" t="s">
        <v>51</v>
      </c>
      <c r="AY502" s="70" t="s">
        <v>53</v>
      </c>
      <c r="AZ502" s="70" t="s">
        <v>52</v>
      </c>
      <c r="BA502" s="70" t="s">
        <v>55</v>
      </c>
      <c r="BB502" s="70" t="s">
        <v>56</v>
      </c>
      <c r="BC502" s="70" t="s">
        <v>59</v>
      </c>
      <c r="BD502" s="70" t="s">
        <v>60</v>
      </c>
    </row>
    <row r="503" spans="2:56" ht="16.5" thickBot="1" x14ac:dyDescent="0.3">
      <c r="B503" s="17">
        <v>0.57291666666666663</v>
      </c>
      <c r="C503" s="7" t="s">
        <v>5</v>
      </c>
      <c r="E503" s="11"/>
      <c r="F503" s="75" t="s">
        <v>15</v>
      </c>
      <c r="G503" s="58" t="s">
        <v>12</v>
      </c>
      <c r="H503" s="58" t="s">
        <v>14</v>
      </c>
      <c r="I503" s="58" t="s">
        <v>13</v>
      </c>
      <c r="J503" s="58" t="s">
        <v>42</v>
      </c>
      <c r="K503" s="58" t="s">
        <v>41</v>
      </c>
      <c r="L503" s="58" t="s">
        <v>43</v>
      </c>
      <c r="M503" s="58" t="s">
        <v>44</v>
      </c>
      <c r="N503" s="58" t="s">
        <v>15</v>
      </c>
      <c r="O503" s="58" t="s">
        <v>14</v>
      </c>
      <c r="P503" s="58" t="s">
        <v>45</v>
      </c>
      <c r="Q503" s="58" t="s">
        <v>46</v>
      </c>
      <c r="R503" s="58" t="s">
        <v>42</v>
      </c>
      <c r="S503" s="58" t="s">
        <v>41</v>
      </c>
      <c r="T503" s="58" t="s">
        <v>47</v>
      </c>
      <c r="U503" s="58" t="s">
        <v>48</v>
      </c>
      <c r="V503" s="58" t="s">
        <v>43</v>
      </c>
      <c r="W503" s="58" t="s">
        <v>44</v>
      </c>
      <c r="X503" s="75" t="s">
        <v>15</v>
      </c>
      <c r="Y503" s="58" t="s">
        <v>12</v>
      </c>
      <c r="Z503" s="58" t="s">
        <v>14</v>
      </c>
      <c r="AA503" s="58" t="s">
        <v>13</v>
      </c>
      <c r="AB503" s="58" t="s">
        <v>42</v>
      </c>
      <c r="AC503" s="58" t="s">
        <v>41</v>
      </c>
      <c r="AD503" s="58" t="s">
        <v>43</v>
      </c>
      <c r="AE503" s="58" t="s">
        <v>44</v>
      </c>
      <c r="AF503" s="58" t="s">
        <v>15</v>
      </c>
      <c r="AG503" s="58" t="s">
        <v>14</v>
      </c>
      <c r="AH503" s="58" t="s">
        <v>45</v>
      </c>
      <c r="AI503" s="58" t="s">
        <v>46</v>
      </c>
      <c r="AJ503" s="58" t="s">
        <v>42</v>
      </c>
      <c r="AK503" s="58" t="s">
        <v>41</v>
      </c>
      <c r="AL503" s="58" t="s">
        <v>47</v>
      </c>
      <c r="AM503" s="58" t="s">
        <v>48</v>
      </c>
      <c r="AN503" s="58" t="s">
        <v>43</v>
      </c>
      <c r="AO503" s="58" t="s">
        <v>44</v>
      </c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</row>
    <row r="504" spans="2:56" ht="16.5" customHeight="1" thickBot="1" x14ac:dyDescent="0.3">
      <c r="B504" s="1" t="s">
        <v>0</v>
      </c>
      <c r="C504" s="13">
        <f>SUM(F504:W504)</f>
        <v>3</v>
      </c>
      <c r="E504" s="10" t="s">
        <v>0</v>
      </c>
      <c r="F504" s="71"/>
      <c r="G504" s="60"/>
      <c r="H504" s="60"/>
      <c r="I504" s="61"/>
      <c r="J504" s="59"/>
      <c r="K504" s="60"/>
      <c r="L504" s="60"/>
      <c r="M504" s="60"/>
      <c r="N504" s="59"/>
      <c r="O504" s="61"/>
      <c r="P504" s="59">
        <v>2</v>
      </c>
      <c r="Q504" s="60">
        <v>1</v>
      </c>
      <c r="R504" s="60"/>
      <c r="S504" s="60"/>
      <c r="T504" s="60"/>
      <c r="U504" s="60"/>
      <c r="V504" s="60"/>
      <c r="W504" s="61"/>
      <c r="X504" s="71"/>
      <c r="Y504" s="60"/>
      <c r="Z504" s="60"/>
      <c r="AA504" s="60"/>
      <c r="AB504" s="59"/>
      <c r="AC504" s="60"/>
      <c r="AD504" s="60"/>
      <c r="AE504" s="61"/>
      <c r="AF504" s="60"/>
      <c r="AG504" s="61"/>
      <c r="AH504" s="60"/>
      <c r="AI504" s="60"/>
      <c r="AJ504" s="60"/>
      <c r="AK504" s="60"/>
      <c r="AL504" s="60">
        <v>1</v>
      </c>
      <c r="AM504" s="60">
        <v>2</v>
      </c>
      <c r="AN504" s="60"/>
      <c r="AO504" s="60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62"/>
      <c r="BB504" s="62">
        <v>3</v>
      </c>
      <c r="BC504" s="62"/>
      <c r="BD504" s="62"/>
    </row>
    <row r="505" spans="2:56" ht="16.5" customHeight="1" thickBot="1" x14ac:dyDescent="0.3">
      <c r="B505" s="1" t="s">
        <v>1</v>
      </c>
      <c r="C505" s="14">
        <f t="shared" ref="C505:C507" si="55">SUM(F505:W505)</f>
        <v>0</v>
      </c>
      <c r="E505" s="1" t="s">
        <v>1</v>
      </c>
      <c r="F505" s="72"/>
      <c r="G505" s="41"/>
      <c r="H505" s="41"/>
      <c r="I505" s="64"/>
      <c r="J505" s="63"/>
      <c r="K505" s="41"/>
      <c r="L505" s="41"/>
      <c r="M505" s="41"/>
      <c r="N505" s="63"/>
      <c r="O505" s="64"/>
      <c r="P505" s="63"/>
      <c r="Q505" s="41"/>
      <c r="R505" s="41"/>
      <c r="S505" s="41"/>
      <c r="T505" s="41"/>
      <c r="U505" s="41"/>
      <c r="V505" s="41"/>
      <c r="W505" s="64"/>
      <c r="X505" s="72"/>
      <c r="Y505" s="41"/>
      <c r="Z505" s="41"/>
      <c r="AA505" s="41"/>
      <c r="AB505" s="63"/>
      <c r="AC505" s="41"/>
      <c r="AD505" s="41"/>
      <c r="AE505" s="64"/>
      <c r="AF505" s="41"/>
      <c r="AG505" s="64"/>
      <c r="AH505" s="41"/>
      <c r="AI505" s="41"/>
      <c r="AJ505" s="41"/>
      <c r="AK505" s="41"/>
      <c r="AL505" s="41"/>
      <c r="AM505" s="41"/>
      <c r="AN505" s="41"/>
      <c r="AO505" s="41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5"/>
      <c r="BB505" s="65"/>
      <c r="BC505" s="65"/>
      <c r="BD505" s="65"/>
    </row>
    <row r="506" spans="2:56" ht="16.5" customHeight="1" thickBot="1" x14ac:dyDescent="0.3">
      <c r="B506" s="1" t="s">
        <v>2</v>
      </c>
      <c r="C506" s="14">
        <f t="shared" si="55"/>
        <v>1</v>
      </c>
      <c r="E506" s="1" t="s">
        <v>2</v>
      </c>
      <c r="F506" s="72"/>
      <c r="G506" s="41"/>
      <c r="H506" s="41"/>
      <c r="I506" s="64"/>
      <c r="J506" s="63">
        <v>1</v>
      </c>
      <c r="K506" s="41"/>
      <c r="L506" s="41"/>
      <c r="M506" s="41"/>
      <c r="N506" s="63"/>
      <c r="O506" s="64"/>
      <c r="P506" s="63"/>
      <c r="Q506" s="41"/>
      <c r="R506" s="41"/>
      <c r="S506" s="41"/>
      <c r="T506" s="41"/>
      <c r="U506" s="41"/>
      <c r="V506" s="41"/>
      <c r="W506" s="64"/>
      <c r="X506" s="72"/>
      <c r="Y506" s="41"/>
      <c r="Z506" s="41"/>
      <c r="AA506" s="41"/>
      <c r="AB506" s="63"/>
      <c r="AC506" s="41"/>
      <c r="AD506" s="41"/>
      <c r="AE506" s="64">
        <v>1</v>
      </c>
      <c r="AF506" s="41"/>
      <c r="AG506" s="64"/>
      <c r="AH506" s="41"/>
      <c r="AI506" s="41"/>
      <c r="AJ506" s="41"/>
      <c r="AK506" s="41"/>
      <c r="AL506" s="41"/>
      <c r="AM506" s="41"/>
      <c r="AN506" s="41"/>
      <c r="AO506" s="41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5"/>
      <c r="BB506" s="65">
        <v>1</v>
      </c>
      <c r="BC506" s="65"/>
      <c r="BD506" s="65"/>
    </row>
    <row r="507" spans="2:56" ht="16.5" customHeight="1" thickBot="1" x14ac:dyDescent="0.3">
      <c r="B507" s="1" t="s">
        <v>3</v>
      </c>
      <c r="C507" s="15">
        <f t="shared" si="55"/>
        <v>0</v>
      </c>
      <c r="E507" s="1" t="s">
        <v>3</v>
      </c>
      <c r="F507" s="73"/>
      <c r="G507" s="67"/>
      <c r="H507" s="67"/>
      <c r="I507" s="68"/>
      <c r="J507" s="66"/>
      <c r="K507" s="67"/>
      <c r="L507" s="67"/>
      <c r="M507" s="67"/>
      <c r="N507" s="66"/>
      <c r="O507" s="68"/>
      <c r="P507" s="66"/>
      <c r="Q507" s="67"/>
      <c r="R507" s="67"/>
      <c r="S507" s="67"/>
      <c r="T507" s="67"/>
      <c r="U507" s="67"/>
      <c r="V507" s="67"/>
      <c r="W507" s="68"/>
      <c r="X507" s="73"/>
      <c r="Y507" s="67"/>
      <c r="Z507" s="67"/>
      <c r="AA507" s="67"/>
      <c r="AB507" s="66"/>
      <c r="AC507" s="67"/>
      <c r="AD507" s="67"/>
      <c r="AE507" s="68"/>
      <c r="AF507" s="67"/>
      <c r="AG507" s="68"/>
      <c r="AH507" s="67"/>
      <c r="AI507" s="67"/>
      <c r="AJ507" s="67"/>
      <c r="AK507" s="67"/>
      <c r="AL507" s="67"/>
      <c r="AM507" s="67"/>
      <c r="AN507" s="67"/>
      <c r="AO507" s="67"/>
      <c r="AP507" s="66"/>
      <c r="AQ507" s="66"/>
      <c r="AR507" s="66"/>
      <c r="AS507" s="66"/>
      <c r="AT507" s="66"/>
      <c r="AU507" s="66"/>
      <c r="AV507" s="66"/>
      <c r="AW507" s="66"/>
      <c r="AX507" s="66"/>
      <c r="AY507" s="66"/>
      <c r="AZ507" s="66"/>
      <c r="BA507" s="69"/>
      <c r="BB507" s="69"/>
      <c r="BC507" s="69"/>
      <c r="BD507" s="69"/>
    </row>
    <row r="508" spans="2:56" ht="21" customHeight="1" x14ac:dyDescent="0.25">
      <c r="B508" s="2"/>
      <c r="C508" s="8">
        <f>SUM(C504:C507)</f>
        <v>4</v>
      </c>
      <c r="F508" s="74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74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</row>
    <row r="509" spans="2:56" x14ac:dyDescent="0.25"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</row>
    <row r="510" spans="2:56" ht="15.75" x14ac:dyDescent="0.25">
      <c r="F510" s="82" t="s">
        <v>17</v>
      </c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3" t="s">
        <v>16</v>
      </c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79"/>
      <c r="AQ510" s="79"/>
      <c r="AR510" s="79"/>
      <c r="AS510" s="79"/>
      <c r="AT510" s="79"/>
      <c r="AU510" s="41"/>
      <c r="AV510" s="41"/>
      <c r="AW510" s="41"/>
      <c r="AX510" s="41"/>
      <c r="AY510" s="41"/>
      <c r="AZ510" s="41"/>
      <c r="BA510" s="41"/>
    </row>
    <row r="511" spans="2:56" ht="32.25" thickBot="1" x14ac:dyDescent="0.3">
      <c r="B511" s="80"/>
      <c r="F511" s="81" t="s">
        <v>9</v>
      </c>
      <c r="G511" s="81"/>
      <c r="H511" s="81"/>
      <c r="I511" s="81"/>
      <c r="J511" s="81" t="s">
        <v>10</v>
      </c>
      <c r="K511" s="81"/>
      <c r="L511" s="81"/>
      <c r="M511" s="81"/>
      <c r="N511" s="81" t="s">
        <v>49</v>
      </c>
      <c r="O511" s="81"/>
      <c r="P511" s="81" t="s">
        <v>11</v>
      </c>
      <c r="Q511" s="81"/>
      <c r="R511" s="81"/>
      <c r="S511" s="81"/>
      <c r="T511" s="81"/>
      <c r="U511" s="81"/>
      <c r="V511" s="81"/>
      <c r="W511" s="81"/>
      <c r="X511" s="81" t="s">
        <v>9</v>
      </c>
      <c r="Y511" s="81"/>
      <c r="Z511" s="81"/>
      <c r="AA511" s="81"/>
      <c r="AB511" s="81" t="s">
        <v>10</v>
      </c>
      <c r="AC511" s="81"/>
      <c r="AD511" s="81"/>
      <c r="AE511" s="81"/>
      <c r="AF511" s="81" t="s">
        <v>49</v>
      </c>
      <c r="AG511" s="81"/>
      <c r="AH511" s="81" t="s">
        <v>11</v>
      </c>
      <c r="AI511" s="81"/>
      <c r="AJ511" s="81"/>
      <c r="AK511" s="81"/>
      <c r="AL511" s="81"/>
      <c r="AM511" s="81"/>
      <c r="AN511" s="81"/>
      <c r="AO511" s="81"/>
      <c r="AP511" s="70" t="s">
        <v>50</v>
      </c>
      <c r="AQ511" s="70" t="s">
        <v>57</v>
      </c>
      <c r="AR511" s="70" t="s">
        <v>63</v>
      </c>
      <c r="AS511" s="70" t="s">
        <v>64</v>
      </c>
      <c r="AT511" s="70" t="s">
        <v>61</v>
      </c>
      <c r="AU511" s="70" t="s">
        <v>54</v>
      </c>
      <c r="AV511" s="70" t="s">
        <v>19</v>
      </c>
      <c r="AW511" s="70" t="s">
        <v>58</v>
      </c>
      <c r="AX511" s="70" t="s">
        <v>51</v>
      </c>
      <c r="AY511" s="70" t="s">
        <v>53</v>
      </c>
      <c r="AZ511" s="70" t="s">
        <v>52</v>
      </c>
      <c r="BA511" s="70" t="s">
        <v>55</v>
      </c>
      <c r="BB511" s="70" t="s">
        <v>56</v>
      </c>
      <c r="BC511" s="70" t="s">
        <v>59</v>
      </c>
      <c r="BD511" s="70" t="s">
        <v>60</v>
      </c>
    </row>
    <row r="512" spans="2:56" ht="16.5" thickBot="1" x14ac:dyDescent="0.3">
      <c r="B512" s="16">
        <v>0.58333333333333404</v>
      </c>
      <c r="C512" s="7" t="s">
        <v>5</v>
      </c>
      <c r="E512" s="11"/>
      <c r="F512" s="75" t="s">
        <v>15</v>
      </c>
      <c r="G512" s="58" t="s">
        <v>12</v>
      </c>
      <c r="H512" s="58" t="s">
        <v>14</v>
      </c>
      <c r="I512" s="58" t="s">
        <v>13</v>
      </c>
      <c r="J512" s="58" t="s">
        <v>42</v>
      </c>
      <c r="K512" s="58" t="s">
        <v>41</v>
      </c>
      <c r="L512" s="58" t="s">
        <v>43</v>
      </c>
      <c r="M512" s="58" t="s">
        <v>44</v>
      </c>
      <c r="N512" s="58" t="s">
        <v>15</v>
      </c>
      <c r="O512" s="58" t="s">
        <v>14</v>
      </c>
      <c r="P512" s="58" t="s">
        <v>45</v>
      </c>
      <c r="Q512" s="58" t="s">
        <v>46</v>
      </c>
      <c r="R512" s="58" t="s">
        <v>42</v>
      </c>
      <c r="S512" s="58" t="s">
        <v>41</v>
      </c>
      <c r="T512" s="58" t="s">
        <v>47</v>
      </c>
      <c r="U512" s="58" t="s">
        <v>48</v>
      </c>
      <c r="V512" s="58" t="s">
        <v>43</v>
      </c>
      <c r="W512" s="58" t="s">
        <v>44</v>
      </c>
      <c r="X512" s="75" t="s">
        <v>15</v>
      </c>
      <c r="Y512" s="58" t="s">
        <v>12</v>
      </c>
      <c r="Z512" s="58" t="s">
        <v>14</v>
      </c>
      <c r="AA512" s="58" t="s">
        <v>13</v>
      </c>
      <c r="AB512" s="58" t="s">
        <v>42</v>
      </c>
      <c r="AC512" s="58" t="s">
        <v>41</v>
      </c>
      <c r="AD512" s="58" t="s">
        <v>43</v>
      </c>
      <c r="AE512" s="58" t="s">
        <v>44</v>
      </c>
      <c r="AF512" s="58" t="s">
        <v>15</v>
      </c>
      <c r="AG512" s="58" t="s">
        <v>14</v>
      </c>
      <c r="AH512" s="58" t="s">
        <v>45</v>
      </c>
      <c r="AI512" s="58" t="s">
        <v>46</v>
      </c>
      <c r="AJ512" s="58" t="s">
        <v>42</v>
      </c>
      <c r="AK512" s="58" t="s">
        <v>41</v>
      </c>
      <c r="AL512" s="58" t="s">
        <v>47</v>
      </c>
      <c r="AM512" s="58" t="s">
        <v>48</v>
      </c>
      <c r="AN512" s="58" t="s">
        <v>43</v>
      </c>
      <c r="AO512" s="58" t="s">
        <v>44</v>
      </c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</row>
    <row r="513" spans="2:56" ht="16.5" customHeight="1" thickBot="1" x14ac:dyDescent="0.3">
      <c r="B513" s="1" t="s">
        <v>0</v>
      </c>
      <c r="C513" s="13">
        <f>SUM(F513:W513)</f>
        <v>0</v>
      </c>
      <c r="E513" s="10" t="s">
        <v>0</v>
      </c>
      <c r="F513" s="71"/>
      <c r="G513" s="60"/>
      <c r="H513" s="60"/>
      <c r="I513" s="61"/>
      <c r="J513" s="59"/>
      <c r="K513" s="60"/>
      <c r="L513" s="60"/>
      <c r="M513" s="60"/>
      <c r="N513" s="59"/>
      <c r="O513" s="61"/>
      <c r="P513" s="59"/>
      <c r="Q513" s="60"/>
      <c r="R513" s="60"/>
      <c r="S513" s="60"/>
      <c r="T513" s="60"/>
      <c r="U513" s="60"/>
      <c r="V513" s="60"/>
      <c r="W513" s="61"/>
      <c r="X513" s="71"/>
      <c r="Y513" s="60"/>
      <c r="Z513" s="60"/>
      <c r="AA513" s="60"/>
      <c r="AB513" s="59"/>
      <c r="AC513" s="60"/>
      <c r="AD513" s="60"/>
      <c r="AE513" s="61"/>
      <c r="AF513" s="60"/>
      <c r="AG513" s="61"/>
      <c r="AH513" s="60"/>
      <c r="AI513" s="60"/>
      <c r="AJ513" s="60"/>
      <c r="AK513" s="60"/>
      <c r="AL513" s="60"/>
      <c r="AM513" s="60"/>
      <c r="AN513" s="60"/>
      <c r="AO513" s="60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62"/>
      <c r="BB513" s="62"/>
      <c r="BC513" s="62"/>
      <c r="BD513" s="62"/>
    </row>
    <row r="514" spans="2:56" ht="16.5" customHeight="1" thickBot="1" x14ac:dyDescent="0.3">
      <c r="B514" s="1" t="s">
        <v>1</v>
      </c>
      <c r="C514" s="14">
        <f t="shared" ref="C514:C516" si="56">SUM(F514:W514)</f>
        <v>3</v>
      </c>
      <c r="E514" s="1" t="s">
        <v>1</v>
      </c>
      <c r="F514" s="72"/>
      <c r="G514" s="41"/>
      <c r="H514" s="41"/>
      <c r="I514" s="64"/>
      <c r="J514" s="63">
        <v>1</v>
      </c>
      <c r="K514" s="41"/>
      <c r="L514" s="41">
        <v>1</v>
      </c>
      <c r="M514" s="41"/>
      <c r="N514" s="63">
        <v>1</v>
      </c>
      <c r="O514" s="64"/>
      <c r="P514" s="63"/>
      <c r="Q514" s="41"/>
      <c r="R514" s="41"/>
      <c r="S514" s="41"/>
      <c r="T514" s="41"/>
      <c r="U514" s="41"/>
      <c r="V514" s="41"/>
      <c r="W514" s="64"/>
      <c r="X514" s="72"/>
      <c r="Y514" s="41"/>
      <c r="Z514" s="41"/>
      <c r="AA514" s="41"/>
      <c r="AB514" s="63"/>
      <c r="AC514" s="41">
        <v>1</v>
      </c>
      <c r="AD514" s="41"/>
      <c r="AE514" s="64">
        <v>1</v>
      </c>
      <c r="AF514" s="41"/>
      <c r="AG514" s="64">
        <v>1</v>
      </c>
      <c r="AH514" s="41"/>
      <c r="AI514" s="41"/>
      <c r="AJ514" s="41"/>
      <c r="AK514" s="41"/>
      <c r="AL514" s="41"/>
      <c r="AM514" s="41"/>
      <c r="AN514" s="41"/>
      <c r="AO514" s="41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5">
        <v>1</v>
      </c>
      <c r="BB514" s="65">
        <v>1</v>
      </c>
      <c r="BC514" s="65"/>
      <c r="BD514" s="65"/>
    </row>
    <row r="515" spans="2:56" ht="16.5" customHeight="1" thickBot="1" x14ac:dyDescent="0.3">
      <c r="B515" s="1" t="s">
        <v>2</v>
      </c>
      <c r="C515" s="14">
        <f t="shared" si="56"/>
        <v>0</v>
      </c>
      <c r="E515" s="1" t="s">
        <v>2</v>
      </c>
      <c r="F515" s="72"/>
      <c r="G515" s="41"/>
      <c r="H515" s="41"/>
      <c r="I515" s="64"/>
      <c r="J515" s="63"/>
      <c r="K515" s="41"/>
      <c r="L515" s="41"/>
      <c r="M515" s="41"/>
      <c r="N515" s="63"/>
      <c r="O515" s="64"/>
      <c r="P515" s="63"/>
      <c r="Q515" s="41"/>
      <c r="R515" s="41"/>
      <c r="S515" s="41"/>
      <c r="T515" s="41"/>
      <c r="U515" s="41"/>
      <c r="V515" s="41"/>
      <c r="W515" s="64"/>
      <c r="X515" s="72"/>
      <c r="Y515" s="41"/>
      <c r="Z515" s="41"/>
      <c r="AA515" s="41"/>
      <c r="AB515" s="63"/>
      <c r="AC515" s="41"/>
      <c r="AD515" s="41"/>
      <c r="AE515" s="64"/>
      <c r="AF515" s="41"/>
      <c r="AG515" s="64"/>
      <c r="AH515" s="41"/>
      <c r="AI515" s="41"/>
      <c r="AJ515" s="41"/>
      <c r="AK515" s="41"/>
      <c r="AL515" s="41"/>
      <c r="AM515" s="41"/>
      <c r="AN515" s="41"/>
      <c r="AO515" s="41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5"/>
      <c r="BB515" s="65"/>
      <c r="BC515" s="65"/>
      <c r="BD515" s="65"/>
    </row>
    <row r="516" spans="2:56" ht="16.5" customHeight="1" thickBot="1" x14ac:dyDescent="0.3">
      <c r="B516" s="1" t="s">
        <v>3</v>
      </c>
      <c r="C516" s="15">
        <f t="shared" si="56"/>
        <v>0</v>
      </c>
      <c r="E516" s="1" t="s">
        <v>3</v>
      </c>
      <c r="F516" s="73"/>
      <c r="G516" s="67"/>
      <c r="H516" s="67"/>
      <c r="I516" s="68"/>
      <c r="J516" s="66"/>
      <c r="K516" s="67"/>
      <c r="L516" s="67"/>
      <c r="M516" s="67"/>
      <c r="N516" s="66"/>
      <c r="O516" s="68"/>
      <c r="P516" s="66"/>
      <c r="Q516" s="67"/>
      <c r="R516" s="67"/>
      <c r="S516" s="67"/>
      <c r="T516" s="67"/>
      <c r="U516" s="67"/>
      <c r="V516" s="67"/>
      <c r="W516" s="68"/>
      <c r="X516" s="73"/>
      <c r="Y516" s="67"/>
      <c r="Z516" s="67"/>
      <c r="AA516" s="67"/>
      <c r="AB516" s="66"/>
      <c r="AC516" s="67"/>
      <c r="AD516" s="67"/>
      <c r="AE516" s="68"/>
      <c r="AF516" s="67"/>
      <c r="AG516" s="68"/>
      <c r="AH516" s="67"/>
      <c r="AI516" s="67"/>
      <c r="AJ516" s="67"/>
      <c r="AK516" s="67"/>
      <c r="AL516" s="67"/>
      <c r="AM516" s="67"/>
      <c r="AN516" s="67"/>
      <c r="AO516" s="67"/>
      <c r="AP516" s="66"/>
      <c r="AQ516" s="66"/>
      <c r="AR516" s="66"/>
      <c r="AS516" s="66"/>
      <c r="AT516" s="66"/>
      <c r="AU516" s="66"/>
      <c r="AV516" s="66"/>
      <c r="AW516" s="66"/>
      <c r="AX516" s="66"/>
      <c r="AY516" s="66"/>
      <c r="AZ516" s="66"/>
      <c r="BA516" s="69"/>
      <c r="BB516" s="69"/>
      <c r="BC516" s="69"/>
      <c r="BD516" s="69"/>
    </row>
    <row r="517" spans="2:56" ht="21" customHeight="1" x14ac:dyDescent="0.25">
      <c r="B517" s="2"/>
      <c r="C517" s="8">
        <f>SUM(C513:C516)</f>
        <v>3</v>
      </c>
      <c r="F517" s="74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74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</row>
    <row r="518" spans="2:56" x14ac:dyDescent="0.25"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</row>
    <row r="519" spans="2:56" ht="15.75" x14ac:dyDescent="0.25">
      <c r="F519" s="82" t="s">
        <v>17</v>
      </c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3" t="s">
        <v>16</v>
      </c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79"/>
      <c r="AQ519" s="79"/>
      <c r="AR519" s="79"/>
      <c r="AS519" s="79"/>
      <c r="AT519" s="79"/>
      <c r="AU519" s="41"/>
      <c r="AV519" s="41"/>
      <c r="AW519" s="41"/>
      <c r="AX519" s="41"/>
      <c r="AY519" s="41"/>
      <c r="AZ519" s="41"/>
      <c r="BA519" s="41"/>
    </row>
    <row r="520" spans="2:56" ht="32.25" thickBot="1" x14ac:dyDescent="0.3">
      <c r="F520" s="81" t="s">
        <v>9</v>
      </c>
      <c r="G520" s="81"/>
      <c r="H520" s="81"/>
      <c r="I520" s="81"/>
      <c r="J520" s="81" t="s">
        <v>10</v>
      </c>
      <c r="K520" s="81"/>
      <c r="L520" s="81"/>
      <c r="M520" s="81"/>
      <c r="N520" s="81" t="s">
        <v>49</v>
      </c>
      <c r="O520" s="81"/>
      <c r="P520" s="81" t="s">
        <v>11</v>
      </c>
      <c r="Q520" s="81"/>
      <c r="R520" s="81"/>
      <c r="S520" s="81"/>
      <c r="T520" s="81"/>
      <c r="U520" s="81"/>
      <c r="V520" s="81"/>
      <c r="W520" s="81"/>
      <c r="X520" s="81" t="s">
        <v>9</v>
      </c>
      <c r="Y520" s="81"/>
      <c r="Z520" s="81"/>
      <c r="AA520" s="81"/>
      <c r="AB520" s="81" t="s">
        <v>10</v>
      </c>
      <c r="AC520" s="81"/>
      <c r="AD520" s="81"/>
      <c r="AE520" s="81"/>
      <c r="AF520" s="81" t="s">
        <v>49</v>
      </c>
      <c r="AG520" s="81"/>
      <c r="AH520" s="81" t="s">
        <v>11</v>
      </c>
      <c r="AI520" s="81"/>
      <c r="AJ520" s="81"/>
      <c r="AK520" s="81"/>
      <c r="AL520" s="81"/>
      <c r="AM520" s="81"/>
      <c r="AN520" s="81"/>
      <c r="AO520" s="81"/>
      <c r="AP520" s="70" t="s">
        <v>50</v>
      </c>
      <c r="AQ520" s="70" t="s">
        <v>57</v>
      </c>
      <c r="AR520" s="70" t="s">
        <v>63</v>
      </c>
      <c r="AS520" s="70" t="s">
        <v>64</v>
      </c>
      <c r="AT520" s="70" t="s">
        <v>61</v>
      </c>
      <c r="AU520" s="70" t="s">
        <v>54</v>
      </c>
      <c r="AV520" s="70" t="s">
        <v>19</v>
      </c>
      <c r="AW520" s="70" t="s">
        <v>58</v>
      </c>
      <c r="AX520" s="70" t="s">
        <v>51</v>
      </c>
      <c r="AY520" s="70" t="s">
        <v>53</v>
      </c>
      <c r="AZ520" s="70" t="s">
        <v>52</v>
      </c>
      <c r="BA520" s="70" t="s">
        <v>55</v>
      </c>
      <c r="BB520" s="70" t="s">
        <v>56</v>
      </c>
      <c r="BC520" s="70" t="s">
        <v>59</v>
      </c>
      <c r="BD520" s="70" t="s">
        <v>60</v>
      </c>
    </row>
    <row r="521" spans="2:56" ht="16.5" thickBot="1" x14ac:dyDescent="0.3">
      <c r="B521" s="16">
        <v>0.59375</v>
      </c>
      <c r="C521" s="7" t="s">
        <v>5</v>
      </c>
      <c r="E521" s="11"/>
      <c r="F521" s="75" t="s">
        <v>15</v>
      </c>
      <c r="G521" s="58" t="s">
        <v>12</v>
      </c>
      <c r="H521" s="58" t="s">
        <v>14</v>
      </c>
      <c r="I521" s="58" t="s">
        <v>13</v>
      </c>
      <c r="J521" s="58" t="s">
        <v>42</v>
      </c>
      <c r="K521" s="58" t="s">
        <v>41</v>
      </c>
      <c r="L521" s="58" t="s">
        <v>43</v>
      </c>
      <c r="M521" s="58" t="s">
        <v>44</v>
      </c>
      <c r="N521" s="58" t="s">
        <v>15</v>
      </c>
      <c r="O521" s="58" t="s">
        <v>14</v>
      </c>
      <c r="P521" s="58" t="s">
        <v>45</v>
      </c>
      <c r="Q521" s="58" t="s">
        <v>46</v>
      </c>
      <c r="R521" s="58" t="s">
        <v>42</v>
      </c>
      <c r="S521" s="58" t="s">
        <v>41</v>
      </c>
      <c r="T521" s="58" t="s">
        <v>47</v>
      </c>
      <c r="U521" s="58" t="s">
        <v>48</v>
      </c>
      <c r="V521" s="58" t="s">
        <v>43</v>
      </c>
      <c r="W521" s="58" t="s">
        <v>44</v>
      </c>
      <c r="X521" s="75" t="s">
        <v>15</v>
      </c>
      <c r="Y521" s="58" t="s">
        <v>12</v>
      </c>
      <c r="Z521" s="58" t="s">
        <v>14</v>
      </c>
      <c r="AA521" s="58" t="s">
        <v>13</v>
      </c>
      <c r="AB521" s="58" t="s">
        <v>42</v>
      </c>
      <c r="AC521" s="58" t="s">
        <v>41</v>
      </c>
      <c r="AD521" s="58" t="s">
        <v>43</v>
      </c>
      <c r="AE521" s="58" t="s">
        <v>44</v>
      </c>
      <c r="AF521" s="58" t="s">
        <v>15</v>
      </c>
      <c r="AG521" s="58" t="s">
        <v>14</v>
      </c>
      <c r="AH521" s="58" t="s">
        <v>45</v>
      </c>
      <c r="AI521" s="58" t="s">
        <v>46</v>
      </c>
      <c r="AJ521" s="58" t="s">
        <v>42</v>
      </c>
      <c r="AK521" s="58" t="s">
        <v>41</v>
      </c>
      <c r="AL521" s="58" t="s">
        <v>47</v>
      </c>
      <c r="AM521" s="58" t="s">
        <v>48</v>
      </c>
      <c r="AN521" s="58" t="s">
        <v>43</v>
      </c>
      <c r="AO521" s="58" t="s">
        <v>44</v>
      </c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</row>
    <row r="522" spans="2:56" ht="16.5" customHeight="1" thickBot="1" x14ac:dyDescent="0.3">
      <c r="B522" s="1" t="s">
        <v>0</v>
      </c>
      <c r="C522" s="13">
        <f>SUM(F522:W522)</f>
        <v>4</v>
      </c>
      <c r="E522" s="10" t="s">
        <v>0</v>
      </c>
      <c r="F522" s="71"/>
      <c r="G522" s="60"/>
      <c r="H522" s="60"/>
      <c r="I522" s="61"/>
      <c r="J522" s="59"/>
      <c r="K522" s="60"/>
      <c r="L522" s="60"/>
      <c r="M522" s="60"/>
      <c r="N522" s="59">
        <v>2</v>
      </c>
      <c r="O522" s="61"/>
      <c r="P522" s="59"/>
      <c r="Q522" s="60"/>
      <c r="R522" s="60"/>
      <c r="S522" s="60"/>
      <c r="T522" s="60"/>
      <c r="U522" s="60"/>
      <c r="V522" s="60"/>
      <c r="W522" s="61">
        <v>2</v>
      </c>
      <c r="X522" s="71"/>
      <c r="Y522" s="60"/>
      <c r="Z522" s="60"/>
      <c r="AA522" s="60"/>
      <c r="AB522" s="59"/>
      <c r="AC522" s="60"/>
      <c r="AD522" s="60"/>
      <c r="AE522" s="61"/>
      <c r="AF522" s="60"/>
      <c r="AG522" s="61">
        <v>2</v>
      </c>
      <c r="AH522" s="60"/>
      <c r="AI522" s="60">
        <v>2</v>
      </c>
      <c r="AJ522" s="60"/>
      <c r="AK522" s="60"/>
      <c r="AL522" s="60"/>
      <c r="AM522" s="60"/>
      <c r="AN522" s="60"/>
      <c r="AO522" s="60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62"/>
      <c r="BB522" s="62">
        <v>4</v>
      </c>
      <c r="BC522" s="62"/>
      <c r="BD522" s="62"/>
    </row>
    <row r="523" spans="2:56" ht="16.5" customHeight="1" thickBot="1" x14ac:dyDescent="0.3">
      <c r="B523" s="1" t="s">
        <v>1</v>
      </c>
      <c r="C523" s="14">
        <f t="shared" ref="C523:C525" si="57">SUM(F523:W523)</f>
        <v>3</v>
      </c>
      <c r="E523" s="1" t="s">
        <v>1</v>
      </c>
      <c r="F523" s="72"/>
      <c r="G523" s="41"/>
      <c r="H523" s="41"/>
      <c r="I523" s="64"/>
      <c r="J523" s="63"/>
      <c r="K523" s="41"/>
      <c r="L523" s="41"/>
      <c r="M523" s="41"/>
      <c r="N523" s="63">
        <v>1</v>
      </c>
      <c r="O523" s="64">
        <v>1</v>
      </c>
      <c r="P523" s="63"/>
      <c r="Q523" s="41"/>
      <c r="R523" s="41">
        <v>1</v>
      </c>
      <c r="S523" s="41"/>
      <c r="T523" s="41"/>
      <c r="U523" s="41"/>
      <c r="V523" s="41"/>
      <c r="W523" s="64"/>
      <c r="X523" s="72"/>
      <c r="Y523" s="41"/>
      <c r="Z523" s="41"/>
      <c r="AA523" s="41"/>
      <c r="AB523" s="63"/>
      <c r="AC523" s="41"/>
      <c r="AD523" s="41"/>
      <c r="AE523" s="64"/>
      <c r="AF523" s="41">
        <v>1</v>
      </c>
      <c r="AG523" s="64"/>
      <c r="AH523" s="41"/>
      <c r="AI523" s="41"/>
      <c r="AJ523" s="41"/>
      <c r="AK523" s="41"/>
      <c r="AL523" s="41"/>
      <c r="AM523" s="41">
        <v>1</v>
      </c>
      <c r="AN523" s="41"/>
      <c r="AO523" s="41">
        <v>1</v>
      </c>
      <c r="AP523" s="63">
        <v>1</v>
      </c>
      <c r="AQ523" s="63">
        <v>2</v>
      </c>
      <c r="AR523" s="63"/>
      <c r="AS523" s="63"/>
      <c r="AT523" s="63"/>
      <c r="AU523" s="63"/>
      <c r="AV523" s="63"/>
      <c r="AW523" s="63"/>
      <c r="AX523" s="63"/>
      <c r="AY523" s="63"/>
      <c r="AZ523" s="63"/>
      <c r="BA523" s="65"/>
      <c r="BB523" s="65">
        <v>2</v>
      </c>
      <c r="BC523" s="65"/>
      <c r="BD523" s="65"/>
    </row>
    <row r="524" spans="2:56" ht="16.5" customHeight="1" thickBot="1" x14ac:dyDescent="0.3">
      <c r="B524" s="1" t="s">
        <v>2</v>
      </c>
      <c r="C524" s="14">
        <f t="shared" si="57"/>
        <v>1</v>
      </c>
      <c r="E524" s="1" t="s">
        <v>2</v>
      </c>
      <c r="F524" s="72"/>
      <c r="G524" s="41"/>
      <c r="H524" s="41"/>
      <c r="I524" s="64"/>
      <c r="J524" s="63"/>
      <c r="K524" s="41"/>
      <c r="L524" s="41">
        <v>1</v>
      </c>
      <c r="M524" s="41"/>
      <c r="N524" s="63"/>
      <c r="O524" s="64"/>
      <c r="P524" s="63"/>
      <c r="Q524" s="41"/>
      <c r="R524" s="41"/>
      <c r="S524" s="41"/>
      <c r="T524" s="41"/>
      <c r="U524" s="41"/>
      <c r="V524" s="41"/>
      <c r="W524" s="64"/>
      <c r="X524" s="72"/>
      <c r="Y524" s="41"/>
      <c r="Z524" s="41"/>
      <c r="AA524" s="41"/>
      <c r="AB524" s="63"/>
      <c r="AC524" s="41">
        <v>1</v>
      </c>
      <c r="AD524" s="41"/>
      <c r="AE524" s="64"/>
      <c r="AF524" s="41"/>
      <c r="AG524" s="64"/>
      <c r="AH524" s="41"/>
      <c r="AI524" s="41"/>
      <c r="AJ524" s="41"/>
      <c r="AK524" s="41"/>
      <c r="AL524" s="41"/>
      <c r="AM524" s="41"/>
      <c r="AN524" s="41"/>
      <c r="AO524" s="41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5"/>
      <c r="BB524" s="65">
        <v>1</v>
      </c>
      <c r="BC524" s="65"/>
      <c r="BD524" s="65"/>
    </row>
    <row r="525" spans="2:56" ht="16.5" customHeight="1" thickBot="1" x14ac:dyDescent="0.3">
      <c r="B525" s="1" t="s">
        <v>3</v>
      </c>
      <c r="C525" s="15">
        <f t="shared" si="57"/>
        <v>0</v>
      </c>
      <c r="E525" s="1" t="s">
        <v>3</v>
      </c>
      <c r="F525" s="73"/>
      <c r="G525" s="67"/>
      <c r="H525" s="67"/>
      <c r="I525" s="68"/>
      <c r="J525" s="66"/>
      <c r="K525" s="67"/>
      <c r="L525" s="67"/>
      <c r="M525" s="67"/>
      <c r="N525" s="66"/>
      <c r="O525" s="68"/>
      <c r="P525" s="66"/>
      <c r="Q525" s="67"/>
      <c r="R525" s="67"/>
      <c r="S525" s="67"/>
      <c r="T525" s="67"/>
      <c r="U525" s="67"/>
      <c r="V525" s="67"/>
      <c r="W525" s="68"/>
      <c r="X525" s="73"/>
      <c r="Y525" s="67"/>
      <c r="Z525" s="67"/>
      <c r="AA525" s="67"/>
      <c r="AB525" s="66"/>
      <c r="AC525" s="67"/>
      <c r="AD525" s="67"/>
      <c r="AE525" s="68"/>
      <c r="AF525" s="67"/>
      <c r="AG525" s="68"/>
      <c r="AH525" s="67"/>
      <c r="AI525" s="67"/>
      <c r="AJ525" s="67"/>
      <c r="AK525" s="67"/>
      <c r="AL525" s="67"/>
      <c r="AM525" s="67"/>
      <c r="AN525" s="67"/>
      <c r="AO525" s="67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9"/>
      <c r="BB525" s="69"/>
      <c r="BC525" s="69"/>
      <c r="BD525" s="69"/>
    </row>
    <row r="526" spans="2:56" ht="21" customHeight="1" x14ac:dyDescent="0.25">
      <c r="B526" s="2"/>
      <c r="C526" s="8">
        <f>SUM(C522:C525)</f>
        <v>8</v>
      </c>
      <c r="F526" s="74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74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</row>
    <row r="527" spans="2:56" x14ac:dyDescent="0.25"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</row>
    <row r="528" spans="2:56" ht="15.75" x14ac:dyDescent="0.25">
      <c r="F528" s="82" t="s">
        <v>17</v>
      </c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3" t="s">
        <v>16</v>
      </c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79"/>
      <c r="AQ528" s="79"/>
      <c r="AR528" s="79"/>
      <c r="AS528" s="79"/>
      <c r="AT528" s="79"/>
      <c r="AU528" s="41"/>
      <c r="AV528" s="41"/>
      <c r="AW528" s="41"/>
      <c r="AX528" s="41"/>
      <c r="AY528" s="41"/>
      <c r="AZ528" s="41"/>
      <c r="BA528" s="41"/>
    </row>
    <row r="529" spans="2:56" ht="32.25" thickBot="1" x14ac:dyDescent="0.3">
      <c r="F529" s="81" t="s">
        <v>9</v>
      </c>
      <c r="G529" s="81"/>
      <c r="H529" s="81"/>
      <c r="I529" s="81"/>
      <c r="J529" s="81" t="s">
        <v>10</v>
      </c>
      <c r="K529" s="81"/>
      <c r="L529" s="81"/>
      <c r="M529" s="81"/>
      <c r="N529" s="81" t="s">
        <v>49</v>
      </c>
      <c r="O529" s="81"/>
      <c r="P529" s="81" t="s">
        <v>11</v>
      </c>
      <c r="Q529" s="81"/>
      <c r="R529" s="81"/>
      <c r="S529" s="81"/>
      <c r="T529" s="81"/>
      <c r="U529" s="81"/>
      <c r="V529" s="81"/>
      <c r="W529" s="81"/>
      <c r="X529" s="81" t="s">
        <v>9</v>
      </c>
      <c r="Y529" s="81"/>
      <c r="Z529" s="81"/>
      <c r="AA529" s="81"/>
      <c r="AB529" s="81" t="s">
        <v>10</v>
      </c>
      <c r="AC529" s="81"/>
      <c r="AD529" s="81"/>
      <c r="AE529" s="81"/>
      <c r="AF529" s="81" t="s">
        <v>49</v>
      </c>
      <c r="AG529" s="81"/>
      <c r="AH529" s="81" t="s">
        <v>11</v>
      </c>
      <c r="AI529" s="81"/>
      <c r="AJ529" s="81"/>
      <c r="AK529" s="81"/>
      <c r="AL529" s="81"/>
      <c r="AM529" s="81"/>
      <c r="AN529" s="81"/>
      <c r="AO529" s="81"/>
      <c r="AP529" s="70" t="s">
        <v>50</v>
      </c>
      <c r="AQ529" s="70" t="s">
        <v>57</v>
      </c>
      <c r="AR529" s="70" t="s">
        <v>63</v>
      </c>
      <c r="AS529" s="70" t="s">
        <v>64</v>
      </c>
      <c r="AT529" s="70" t="s">
        <v>61</v>
      </c>
      <c r="AU529" s="70" t="s">
        <v>54</v>
      </c>
      <c r="AV529" s="70" t="s">
        <v>19</v>
      </c>
      <c r="AW529" s="70" t="s">
        <v>58</v>
      </c>
      <c r="AX529" s="70" t="s">
        <v>51</v>
      </c>
      <c r="AY529" s="70" t="s">
        <v>53</v>
      </c>
      <c r="AZ529" s="70" t="s">
        <v>52</v>
      </c>
      <c r="BA529" s="70" t="s">
        <v>55</v>
      </c>
      <c r="BB529" s="70" t="s">
        <v>56</v>
      </c>
      <c r="BC529" s="70" t="s">
        <v>59</v>
      </c>
      <c r="BD529" s="70" t="s">
        <v>60</v>
      </c>
    </row>
    <row r="530" spans="2:56" ht="16.5" thickBot="1" x14ac:dyDescent="0.3">
      <c r="B530" s="16">
        <v>0.60416666666666696</v>
      </c>
      <c r="C530" s="7" t="s">
        <v>5</v>
      </c>
      <c r="E530" s="11"/>
      <c r="F530" s="75" t="s">
        <v>15</v>
      </c>
      <c r="G530" s="58" t="s">
        <v>12</v>
      </c>
      <c r="H530" s="58" t="s">
        <v>14</v>
      </c>
      <c r="I530" s="58" t="s">
        <v>13</v>
      </c>
      <c r="J530" s="58" t="s">
        <v>42</v>
      </c>
      <c r="K530" s="58" t="s">
        <v>41</v>
      </c>
      <c r="L530" s="58" t="s">
        <v>43</v>
      </c>
      <c r="M530" s="58" t="s">
        <v>44</v>
      </c>
      <c r="N530" s="58" t="s">
        <v>15</v>
      </c>
      <c r="O530" s="58" t="s">
        <v>14</v>
      </c>
      <c r="P530" s="58" t="s">
        <v>45</v>
      </c>
      <c r="Q530" s="58" t="s">
        <v>46</v>
      </c>
      <c r="R530" s="58" t="s">
        <v>42</v>
      </c>
      <c r="S530" s="58" t="s">
        <v>41</v>
      </c>
      <c r="T530" s="58" t="s">
        <v>47</v>
      </c>
      <c r="U530" s="58" t="s">
        <v>48</v>
      </c>
      <c r="V530" s="58" t="s">
        <v>43</v>
      </c>
      <c r="W530" s="58" t="s">
        <v>44</v>
      </c>
      <c r="X530" s="75" t="s">
        <v>15</v>
      </c>
      <c r="Y530" s="58" t="s">
        <v>12</v>
      </c>
      <c r="Z530" s="58" t="s">
        <v>14</v>
      </c>
      <c r="AA530" s="58" t="s">
        <v>13</v>
      </c>
      <c r="AB530" s="58" t="s">
        <v>42</v>
      </c>
      <c r="AC530" s="58" t="s">
        <v>41</v>
      </c>
      <c r="AD530" s="58" t="s">
        <v>43</v>
      </c>
      <c r="AE530" s="58" t="s">
        <v>44</v>
      </c>
      <c r="AF530" s="58" t="s">
        <v>15</v>
      </c>
      <c r="AG530" s="58" t="s">
        <v>14</v>
      </c>
      <c r="AH530" s="58" t="s">
        <v>45</v>
      </c>
      <c r="AI530" s="58" t="s">
        <v>46</v>
      </c>
      <c r="AJ530" s="58" t="s">
        <v>42</v>
      </c>
      <c r="AK530" s="58" t="s">
        <v>41</v>
      </c>
      <c r="AL530" s="58" t="s">
        <v>47</v>
      </c>
      <c r="AM530" s="58" t="s">
        <v>48</v>
      </c>
      <c r="AN530" s="58" t="s">
        <v>43</v>
      </c>
      <c r="AO530" s="58" t="s">
        <v>44</v>
      </c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</row>
    <row r="531" spans="2:56" ht="16.5" customHeight="1" thickBot="1" x14ac:dyDescent="0.3">
      <c r="B531" s="1" t="s">
        <v>0</v>
      </c>
      <c r="C531" s="13">
        <f>SUM(F531:W531)</f>
        <v>2</v>
      </c>
      <c r="E531" s="10" t="s">
        <v>0</v>
      </c>
      <c r="F531" s="71"/>
      <c r="G531" s="60"/>
      <c r="H531" s="60"/>
      <c r="I531" s="61"/>
      <c r="J531" s="59"/>
      <c r="K531" s="60"/>
      <c r="L531" s="60"/>
      <c r="M531" s="60"/>
      <c r="N531" s="59">
        <v>1</v>
      </c>
      <c r="O531" s="61"/>
      <c r="P531" s="59"/>
      <c r="Q531" s="60"/>
      <c r="R531" s="60"/>
      <c r="S531" s="60"/>
      <c r="T531" s="60"/>
      <c r="U531" s="60"/>
      <c r="V531" s="60"/>
      <c r="W531" s="61">
        <v>1</v>
      </c>
      <c r="X531" s="71"/>
      <c r="Y531" s="60"/>
      <c r="Z531" s="60"/>
      <c r="AA531" s="60"/>
      <c r="AB531" s="59"/>
      <c r="AC531" s="60"/>
      <c r="AD531" s="60"/>
      <c r="AE531" s="61"/>
      <c r="AF531" s="60"/>
      <c r="AG531" s="61">
        <v>1</v>
      </c>
      <c r="AH531" s="60">
        <v>1</v>
      </c>
      <c r="AI531" s="60"/>
      <c r="AJ531" s="60"/>
      <c r="AK531" s="60"/>
      <c r="AL531" s="60"/>
      <c r="AM531" s="60"/>
      <c r="AN531" s="60"/>
      <c r="AO531" s="60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62">
        <v>2</v>
      </c>
      <c r="BB531" s="62"/>
      <c r="BC531" s="62"/>
      <c r="BD531" s="62"/>
    </row>
    <row r="532" spans="2:56" ht="16.5" customHeight="1" thickBot="1" x14ac:dyDescent="0.3">
      <c r="B532" s="1" t="s">
        <v>1</v>
      </c>
      <c r="C532" s="14">
        <f t="shared" ref="C532:C534" si="58">SUM(F532:W532)</f>
        <v>2</v>
      </c>
      <c r="E532" s="1" t="s">
        <v>1</v>
      </c>
      <c r="F532" s="72"/>
      <c r="G532" s="41"/>
      <c r="H532" s="41"/>
      <c r="I532" s="64"/>
      <c r="J532" s="63"/>
      <c r="K532" s="41"/>
      <c r="L532" s="41"/>
      <c r="M532" s="41"/>
      <c r="N532" s="63"/>
      <c r="O532" s="64"/>
      <c r="P532" s="63"/>
      <c r="Q532" s="41"/>
      <c r="R532" s="41"/>
      <c r="S532" s="41"/>
      <c r="T532" s="41"/>
      <c r="U532" s="41">
        <v>2</v>
      </c>
      <c r="V532" s="41"/>
      <c r="W532" s="64"/>
      <c r="X532" s="72"/>
      <c r="Y532" s="41"/>
      <c r="Z532" s="41"/>
      <c r="AA532" s="41"/>
      <c r="AB532" s="63"/>
      <c r="AC532" s="41"/>
      <c r="AD532" s="41"/>
      <c r="AE532" s="64"/>
      <c r="AF532" s="41"/>
      <c r="AG532" s="64"/>
      <c r="AH532" s="41">
        <v>2</v>
      </c>
      <c r="AI532" s="41"/>
      <c r="AJ532" s="41"/>
      <c r="AK532" s="41"/>
      <c r="AL532" s="41"/>
      <c r="AM532" s="41"/>
      <c r="AN532" s="41"/>
      <c r="AO532" s="41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5"/>
      <c r="BB532" s="65"/>
      <c r="BC532" s="65"/>
      <c r="BD532" s="65"/>
    </row>
    <row r="533" spans="2:56" ht="16.5" customHeight="1" thickBot="1" x14ac:dyDescent="0.3">
      <c r="B533" s="1" t="s">
        <v>2</v>
      </c>
      <c r="C533" s="14">
        <f t="shared" si="58"/>
        <v>0</v>
      </c>
      <c r="E533" s="1" t="s">
        <v>2</v>
      </c>
      <c r="F533" s="72"/>
      <c r="G533" s="41"/>
      <c r="H533" s="41"/>
      <c r="I533" s="64"/>
      <c r="J533" s="63"/>
      <c r="K533" s="41"/>
      <c r="L533" s="41"/>
      <c r="M533" s="41"/>
      <c r="N533" s="63"/>
      <c r="O533" s="64"/>
      <c r="P533" s="63"/>
      <c r="Q533" s="41"/>
      <c r="R533" s="41"/>
      <c r="S533" s="41"/>
      <c r="T533" s="41"/>
      <c r="U533" s="41"/>
      <c r="V533" s="41"/>
      <c r="W533" s="64"/>
      <c r="X533" s="72"/>
      <c r="Y533" s="41"/>
      <c r="Z533" s="41"/>
      <c r="AA533" s="41"/>
      <c r="AB533" s="63"/>
      <c r="AC533" s="41"/>
      <c r="AD533" s="41"/>
      <c r="AE533" s="64"/>
      <c r="AF533" s="41"/>
      <c r="AG533" s="64"/>
      <c r="AH533" s="41"/>
      <c r="AI533" s="41"/>
      <c r="AJ533" s="41"/>
      <c r="AK533" s="41"/>
      <c r="AL533" s="41"/>
      <c r="AM533" s="41"/>
      <c r="AN533" s="41"/>
      <c r="AO533" s="41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5"/>
      <c r="BB533" s="65"/>
      <c r="BC533" s="65"/>
      <c r="BD533" s="65"/>
    </row>
    <row r="534" spans="2:56" ht="16.5" customHeight="1" thickBot="1" x14ac:dyDescent="0.3">
      <c r="B534" s="1" t="s">
        <v>3</v>
      </c>
      <c r="C534" s="15">
        <f t="shared" si="58"/>
        <v>0</v>
      </c>
      <c r="E534" s="1" t="s">
        <v>3</v>
      </c>
      <c r="F534" s="73"/>
      <c r="G534" s="67"/>
      <c r="H534" s="67"/>
      <c r="I534" s="68"/>
      <c r="J534" s="66"/>
      <c r="K534" s="67"/>
      <c r="L534" s="67"/>
      <c r="M534" s="67"/>
      <c r="N534" s="66"/>
      <c r="O534" s="68"/>
      <c r="P534" s="66"/>
      <c r="Q534" s="67"/>
      <c r="R534" s="67"/>
      <c r="S534" s="67"/>
      <c r="T534" s="67"/>
      <c r="U534" s="67"/>
      <c r="V534" s="67"/>
      <c r="W534" s="68"/>
      <c r="X534" s="73"/>
      <c r="Y534" s="67"/>
      <c r="Z534" s="67"/>
      <c r="AA534" s="67"/>
      <c r="AB534" s="66"/>
      <c r="AC534" s="67"/>
      <c r="AD534" s="67"/>
      <c r="AE534" s="68"/>
      <c r="AF534" s="67"/>
      <c r="AG534" s="68"/>
      <c r="AH534" s="67"/>
      <c r="AI534" s="67"/>
      <c r="AJ534" s="67"/>
      <c r="AK534" s="67"/>
      <c r="AL534" s="67"/>
      <c r="AM534" s="67"/>
      <c r="AN534" s="67"/>
      <c r="AO534" s="67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9"/>
      <c r="BB534" s="69"/>
      <c r="BC534" s="69"/>
      <c r="BD534" s="69"/>
    </row>
    <row r="535" spans="2:56" ht="21" customHeight="1" x14ac:dyDescent="0.25">
      <c r="B535" s="2"/>
      <c r="C535" s="8">
        <f>SUM(C531:C534)</f>
        <v>4</v>
      </c>
      <c r="F535" s="74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74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</row>
    <row r="536" spans="2:56" x14ac:dyDescent="0.25"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</row>
    <row r="537" spans="2:56" ht="15.75" x14ac:dyDescent="0.25">
      <c r="F537" s="82" t="s">
        <v>17</v>
      </c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3" t="s">
        <v>16</v>
      </c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79"/>
      <c r="AQ537" s="79"/>
      <c r="AR537" s="79"/>
      <c r="AS537" s="79"/>
      <c r="AT537" s="79"/>
      <c r="AU537" s="41"/>
      <c r="AV537" s="41"/>
      <c r="AW537" s="41"/>
      <c r="AX537" s="41"/>
      <c r="AY537" s="41"/>
      <c r="AZ537" s="41"/>
      <c r="BA537" s="41"/>
    </row>
    <row r="538" spans="2:56" ht="32.25" thickBot="1" x14ac:dyDescent="0.3">
      <c r="F538" s="81" t="s">
        <v>9</v>
      </c>
      <c r="G538" s="81"/>
      <c r="H538" s="81"/>
      <c r="I538" s="81"/>
      <c r="J538" s="81" t="s">
        <v>10</v>
      </c>
      <c r="K538" s="81"/>
      <c r="L538" s="81"/>
      <c r="M538" s="81"/>
      <c r="N538" s="81" t="s">
        <v>49</v>
      </c>
      <c r="O538" s="81"/>
      <c r="P538" s="81" t="s">
        <v>11</v>
      </c>
      <c r="Q538" s="81"/>
      <c r="R538" s="81"/>
      <c r="S538" s="81"/>
      <c r="T538" s="81"/>
      <c r="U538" s="81"/>
      <c r="V538" s="81"/>
      <c r="W538" s="81"/>
      <c r="X538" s="81" t="s">
        <v>9</v>
      </c>
      <c r="Y538" s="81"/>
      <c r="Z538" s="81"/>
      <c r="AA538" s="81"/>
      <c r="AB538" s="81" t="s">
        <v>10</v>
      </c>
      <c r="AC538" s="81"/>
      <c r="AD538" s="81"/>
      <c r="AE538" s="81"/>
      <c r="AF538" s="81" t="s">
        <v>49</v>
      </c>
      <c r="AG538" s="81"/>
      <c r="AH538" s="81" t="s">
        <v>11</v>
      </c>
      <c r="AI538" s="81"/>
      <c r="AJ538" s="81"/>
      <c r="AK538" s="81"/>
      <c r="AL538" s="81"/>
      <c r="AM538" s="81"/>
      <c r="AN538" s="81"/>
      <c r="AO538" s="81"/>
      <c r="AP538" s="70" t="s">
        <v>50</v>
      </c>
      <c r="AQ538" s="70" t="s">
        <v>57</v>
      </c>
      <c r="AR538" s="70" t="s">
        <v>63</v>
      </c>
      <c r="AS538" s="70" t="s">
        <v>64</v>
      </c>
      <c r="AT538" s="70" t="s">
        <v>61</v>
      </c>
      <c r="AU538" s="70" t="s">
        <v>54</v>
      </c>
      <c r="AV538" s="70" t="s">
        <v>19</v>
      </c>
      <c r="AW538" s="70" t="s">
        <v>58</v>
      </c>
      <c r="AX538" s="70" t="s">
        <v>51</v>
      </c>
      <c r="AY538" s="70" t="s">
        <v>53</v>
      </c>
      <c r="AZ538" s="70" t="s">
        <v>52</v>
      </c>
      <c r="BA538" s="70" t="s">
        <v>55</v>
      </c>
      <c r="BB538" s="70" t="s">
        <v>56</v>
      </c>
      <c r="BC538" s="70" t="s">
        <v>59</v>
      </c>
      <c r="BD538" s="70" t="s">
        <v>60</v>
      </c>
    </row>
    <row r="539" spans="2:56" ht="16.5" thickBot="1" x14ac:dyDescent="0.3">
      <c r="B539" s="16">
        <v>0.61458333333333404</v>
      </c>
      <c r="C539" s="7" t="s">
        <v>5</v>
      </c>
      <c r="E539" s="11"/>
      <c r="F539" s="75" t="s">
        <v>15</v>
      </c>
      <c r="G539" s="58" t="s">
        <v>12</v>
      </c>
      <c r="H539" s="58" t="s">
        <v>14</v>
      </c>
      <c r="I539" s="58" t="s">
        <v>13</v>
      </c>
      <c r="J539" s="58" t="s">
        <v>42</v>
      </c>
      <c r="K539" s="58" t="s">
        <v>41</v>
      </c>
      <c r="L539" s="58" t="s">
        <v>43</v>
      </c>
      <c r="M539" s="58" t="s">
        <v>44</v>
      </c>
      <c r="N539" s="58" t="s">
        <v>15</v>
      </c>
      <c r="O539" s="58" t="s">
        <v>14</v>
      </c>
      <c r="P539" s="58" t="s">
        <v>45</v>
      </c>
      <c r="Q539" s="58" t="s">
        <v>46</v>
      </c>
      <c r="R539" s="58" t="s">
        <v>42</v>
      </c>
      <c r="S539" s="58" t="s">
        <v>41</v>
      </c>
      <c r="T539" s="58" t="s">
        <v>47</v>
      </c>
      <c r="U539" s="58" t="s">
        <v>48</v>
      </c>
      <c r="V539" s="58" t="s">
        <v>43</v>
      </c>
      <c r="W539" s="58" t="s">
        <v>44</v>
      </c>
      <c r="X539" s="75" t="s">
        <v>15</v>
      </c>
      <c r="Y539" s="58" t="s">
        <v>12</v>
      </c>
      <c r="Z539" s="58" t="s">
        <v>14</v>
      </c>
      <c r="AA539" s="58" t="s">
        <v>13</v>
      </c>
      <c r="AB539" s="58" t="s">
        <v>42</v>
      </c>
      <c r="AC539" s="58" t="s">
        <v>41</v>
      </c>
      <c r="AD539" s="58" t="s">
        <v>43</v>
      </c>
      <c r="AE539" s="58" t="s">
        <v>44</v>
      </c>
      <c r="AF539" s="58" t="s">
        <v>15</v>
      </c>
      <c r="AG539" s="58" t="s">
        <v>14</v>
      </c>
      <c r="AH539" s="58" t="s">
        <v>45</v>
      </c>
      <c r="AI539" s="58" t="s">
        <v>46</v>
      </c>
      <c r="AJ539" s="58" t="s">
        <v>42</v>
      </c>
      <c r="AK539" s="58" t="s">
        <v>41</v>
      </c>
      <c r="AL539" s="58" t="s">
        <v>47</v>
      </c>
      <c r="AM539" s="58" t="s">
        <v>48</v>
      </c>
      <c r="AN539" s="58" t="s">
        <v>43</v>
      </c>
      <c r="AO539" s="58" t="s">
        <v>44</v>
      </c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</row>
    <row r="540" spans="2:56" ht="16.5" customHeight="1" thickBot="1" x14ac:dyDescent="0.3">
      <c r="B540" s="1" t="s">
        <v>0</v>
      </c>
      <c r="C540" s="13">
        <f>SUM(F540:W540)</f>
        <v>0</v>
      </c>
      <c r="E540" s="10" t="s">
        <v>0</v>
      </c>
      <c r="F540" s="71"/>
      <c r="G540" s="60"/>
      <c r="H540" s="60"/>
      <c r="I540" s="61"/>
      <c r="J540" s="59"/>
      <c r="K540" s="60"/>
      <c r="L540" s="60"/>
      <c r="M540" s="60"/>
      <c r="N540" s="59"/>
      <c r="O540" s="61"/>
      <c r="P540" s="59"/>
      <c r="Q540" s="60"/>
      <c r="R540" s="60"/>
      <c r="S540" s="60"/>
      <c r="T540" s="60"/>
      <c r="U540" s="60"/>
      <c r="V540" s="60"/>
      <c r="W540" s="61"/>
      <c r="X540" s="71"/>
      <c r="Y540" s="60"/>
      <c r="Z540" s="60"/>
      <c r="AA540" s="60"/>
      <c r="AB540" s="59"/>
      <c r="AC540" s="60"/>
      <c r="AD540" s="60"/>
      <c r="AE540" s="61"/>
      <c r="AF540" s="60"/>
      <c r="AG540" s="61"/>
      <c r="AH540" s="60"/>
      <c r="AI540" s="60"/>
      <c r="AJ540" s="60"/>
      <c r="AK540" s="60"/>
      <c r="AL540" s="60"/>
      <c r="AM540" s="60"/>
      <c r="AN540" s="60"/>
      <c r="AO540" s="60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62"/>
      <c r="BB540" s="62"/>
      <c r="BC540" s="62"/>
      <c r="BD540" s="62"/>
    </row>
    <row r="541" spans="2:56" ht="16.5" customHeight="1" thickBot="1" x14ac:dyDescent="0.3">
      <c r="B541" s="1" t="s">
        <v>1</v>
      </c>
      <c r="C541" s="14">
        <f t="shared" ref="C541:C543" si="59">SUM(F541:W541)</f>
        <v>0</v>
      </c>
      <c r="E541" s="1" t="s">
        <v>1</v>
      </c>
      <c r="F541" s="72"/>
      <c r="G541" s="41"/>
      <c r="H541" s="41"/>
      <c r="I541" s="64"/>
      <c r="J541" s="63"/>
      <c r="K541" s="41"/>
      <c r="L541" s="41"/>
      <c r="M541" s="41"/>
      <c r="N541" s="63"/>
      <c r="O541" s="64"/>
      <c r="P541" s="63"/>
      <c r="Q541" s="41"/>
      <c r="R541" s="41"/>
      <c r="S541" s="41"/>
      <c r="T541" s="41"/>
      <c r="U541" s="41"/>
      <c r="V541" s="41"/>
      <c r="W541" s="64"/>
      <c r="X541" s="72"/>
      <c r="Y541" s="41"/>
      <c r="Z541" s="41"/>
      <c r="AA541" s="41"/>
      <c r="AB541" s="63"/>
      <c r="AC541" s="41"/>
      <c r="AD541" s="41"/>
      <c r="AE541" s="64"/>
      <c r="AF541" s="41"/>
      <c r="AG541" s="64"/>
      <c r="AH541" s="41"/>
      <c r="AI541" s="41"/>
      <c r="AJ541" s="41"/>
      <c r="AK541" s="41"/>
      <c r="AL541" s="41"/>
      <c r="AM541" s="41"/>
      <c r="AN541" s="41"/>
      <c r="AO541" s="41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5"/>
      <c r="BB541" s="65"/>
      <c r="BC541" s="65"/>
      <c r="BD541" s="65"/>
    </row>
    <row r="542" spans="2:56" ht="16.5" customHeight="1" thickBot="1" x14ac:dyDescent="0.3">
      <c r="B542" s="1" t="s">
        <v>2</v>
      </c>
      <c r="C542" s="14">
        <f t="shared" si="59"/>
        <v>0</v>
      </c>
      <c r="E542" s="1" t="s">
        <v>2</v>
      </c>
      <c r="F542" s="72"/>
      <c r="G542" s="41"/>
      <c r="H542" s="41"/>
      <c r="I542" s="64"/>
      <c r="J542" s="63"/>
      <c r="K542" s="41"/>
      <c r="L542" s="41"/>
      <c r="M542" s="41"/>
      <c r="N542" s="63"/>
      <c r="O542" s="64"/>
      <c r="P542" s="63"/>
      <c r="Q542" s="41"/>
      <c r="R542" s="41"/>
      <c r="S542" s="41"/>
      <c r="T542" s="41"/>
      <c r="U542" s="41"/>
      <c r="V542" s="41"/>
      <c r="W542" s="64"/>
      <c r="X542" s="72"/>
      <c r="Y542" s="41"/>
      <c r="Z542" s="41"/>
      <c r="AA542" s="41"/>
      <c r="AB542" s="63"/>
      <c r="AC542" s="41"/>
      <c r="AD542" s="41"/>
      <c r="AE542" s="64"/>
      <c r="AF542" s="41"/>
      <c r="AG542" s="64"/>
      <c r="AH542" s="41"/>
      <c r="AI542" s="41"/>
      <c r="AJ542" s="41"/>
      <c r="AK542" s="41"/>
      <c r="AL542" s="41"/>
      <c r="AM542" s="41"/>
      <c r="AN542" s="41"/>
      <c r="AO542" s="41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5"/>
      <c r="BB542" s="65"/>
      <c r="BC542" s="65"/>
      <c r="BD542" s="65"/>
    </row>
    <row r="543" spans="2:56" ht="16.5" customHeight="1" thickBot="1" x14ac:dyDescent="0.3">
      <c r="B543" s="1" t="s">
        <v>3</v>
      </c>
      <c r="C543" s="15">
        <f t="shared" si="59"/>
        <v>0</v>
      </c>
      <c r="E543" s="1" t="s">
        <v>3</v>
      </c>
      <c r="F543" s="73"/>
      <c r="G543" s="67"/>
      <c r="H543" s="67"/>
      <c r="I543" s="68"/>
      <c r="J543" s="66"/>
      <c r="K543" s="67"/>
      <c r="L543" s="67"/>
      <c r="M543" s="67"/>
      <c r="N543" s="66"/>
      <c r="O543" s="68"/>
      <c r="P543" s="66"/>
      <c r="Q543" s="67"/>
      <c r="R543" s="67"/>
      <c r="S543" s="67"/>
      <c r="T543" s="67"/>
      <c r="U543" s="67"/>
      <c r="V543" s="67"/>
      <c r="W543" s="68"/>
      <c r="X543" s="73"/>
      <c r="Y543" s="67"/>
      <c r="Z543" s="67"/>
      <c r="AA543" s="67"/>
      <c r="AB543" s="66"/>
      <c r="AC543" s="67"/>
      <c r="AD543" s="67"/>
      <c r="AE543" s="68"/>
      <c r="AF543" s="67"/>
      <c r="AG543" s="68"/>
      <c r="AH543" s="67"/>
      <c r="AI543" s="67"/>
      <c r="AJ543" s="67"/>
      <c r="AK543" s="67"/>
      <c r="AL543" s="67"/>
      <c r="AM543" s="67"/>
      <c r="AN543" s="67"/>
      <c r="AO543" s="67"/>
      <c r="AP543" s="66"/>
      <c r="AQ543" s="66"/>
      <c r="AR543" s="66"/>
      <c r="AS543" s="66"/>
      <c r="AT543" s="66"/>
      <c r="AU543" s="66"/>
      <c r="AV543" s="66"/>
      <c r="AW543" s="66"/>
      <c r="AX543" s="66"/>
      <c r="AY543" s="66"/>
      <c r="AZ543" s="66"/>
      <c r="BA543" s="69"/>
      <c r="BB543" s="69"/>
      <c r="BC543" s="69"/>
      <c r="BD543" s="69"/>
    </row>
    <row r="544" spans="2:56" ht="21" customHeight="1" x14ac:dyDescent="0.25">
      <c r="B544" s="2"/>
      <c r="C544" s="8">
        <f>SUM(C540:C543)</f>
        <v>0</v>
      </c>
      <c r="F544" s="74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74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</row>
    <row r="545" spans="2:57" x14ac:dyDescent="0.25"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</row>
    <row r="546" spans="2:57" ht="15.75" x14ac:dyDescent="0.25">
      <c r="F546" s="82" t="s">
        <v>17</v>
      </c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3" t="s">
        <v>16</v>
      </c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79"/>
      <c r="AQ546" s="79"/>
      <c r="AR546" s="79"/>
      <c r="AS546" s="79"/>
      <c r="AT546" s="79"/>
      <c r="AU546" s="41"/>
      <c r="AV546" s="41"/>
      <c r="AW546" s="41"/>
      <c r="AX546" s="41"/>
      <c r="AY546" s="41"/>
      <c r="AZ546" s="41"/>
      <c r="BA546" s="41"/>
    </row>
    <row r="547" spans="2:57" ht="32.25" thickBot="1" x14ac:dyDescent="0.3">
      <c r="F547" s="81" t="s">
        <v>9</v>
      </c>
      <c r="G547" s="81"/>
      <c r="H547" s="81"/>
      <c r="I547" s="81"/>
      <c r="J547" s="81" t="s">
        <v>10</v>
      </c>
      <c r="K547" s="81"/>
      <c r="L547" s="81"/>
      <c r="M547" s="81"/>
      <c r="N547" s="81" t="s">
        <v>49</v>
      </c>
      <c r="O547" s="81"/>
      <c r="P547" s="81" t="s">
        <v>11</v>
      </c>
      <c r="Q547" s="81"/>
      <c r="R547" s="81"/>
      <c r="S547" s="81"/>
      <c r="T547" s="81"/>
      <c r="U547" s="81"/>
      <c r="V547" s="81"/>
      <c r="W547" s="81"/>
      <c r="X547" s="81" t="s">
        <v>9</v>
      </c>
      <c r="Y547" s="81"/>
      <c r="Z547" s="81"/>
      <c r="AA547" s="81"/>
      <c r="AB547" s="81" t="s">
        <v>10</v>
      </c>
      <c r="AC547" s="81"/>
      <c r="AD547" s="81"/>
      <c r="AE547" s="81"/>
      <c r="AF547" s="81" t="s">
        <v>49</v>
      </c>
      <c r="AG547" s="81"/>
      <c r="AH547" s="81" t="s">
        <v>11</v>
      </c>
      <c r="AI547" s="81"/>
      <c r="AJ547" s="81"/>
      <c r="AK547" s="81"/>
      <c r="AL547" s="81"/>
      <c r="AM547" s="81"/>
      <c r="AN547" s="81"/>
      <c r="AO547" s="81"/>
      <c r="AP547" s="70" t="s">
        <v>50</v>
      </c>
      <c r="AQ547" s="70" t="s">
        <v>57</v>
      </c>
      <c r="AR547" s="70" t="s">
        <v>63</v>
      </c>
      <c r="AS547" s="70" t="s">
        <v>64</v>
      </c>
      <c r="AT547" s="70" t="s">
        <v>61</v>
      </c>
      <c r="AU547" s="70" t="s">
        <v>54</v>
      </c>
      <c r="AV547" s="70" t="s">
        <v>19</v>
      </c>
      <c r="AW547" s="70" t="s">
        <v>58</v>
      </c>
      <c r="AX547" s="70" t="s">
        <v>51</v>
      </c>
      <c r="AY547" s="70" t="s">
        <v>53</v>
      </c>
      <c r="AZ547" s="70" t="s">
        <v>52</v>
      </c>
      <c r="BA547" s="70" t="s">
        <v>55</v>
      </c>
      <c r="BB547" s="70" t="s">
        <v>56</v>
      </c>
      <c r="BC547" s="70" t="s">
        <v>59</v>
      </c>
      <c r="BD547" s="70" t="s">
        <v>60</v>
      </c>
    </row>
    <row r="548" spans="2:57" ht="16.5" thickBot="1" x14ac:dyDescent="0.3">
      <c r="B548" s="17">
        <v>0.625000000000001</v>
      </c>
      <c r="C548" s="7" t="s">
        <v>5</v>
      </c>
      <c r="E548" s="11"/>
      <c r="F548" s="75" t="s">
        <v>15</v>
      </c>
      <c r="G548" s="58" t="s">
        <v>12</v>
      </c>
      <c r="H548" s="58" t="s">
        <v>14</v>
      </c>
      <c r="I548" s="58" t="s">
        <v>13</v>
      </c>
      <c r="J548" s="58" t="s">
        <v>42</v>
      </c>
      <c r="K548" s="58" t="s">
        <v>41</v>
      </c>
      <c r="L548" s="58" t="s">
        <v>43</v>
      </c>
      <c r="M548" s="58" t="s">
        <v>44</v>
      </c>
      <c r="N548" s="58" t="s">
        <v>15</v>
      </c>
      <c r="O548" s="58" t="s">
        <v>14</v>
      </c>
      <c r="P548" s="58" t="s">
        <v>45</v>
      </c>
      <c r="Q548" s="58" t="s">
        <v>46</v>
      </c>
      <c r="R548" s="58" t="s">
        <v>42</v>
      </c>
      <c r="S548" s="58" t="s">
        <v>41</v>
      </c>
      <c r="T548" s="58" t="s">
        <v>47</v>
      </c>
      <c r="U548" s="58" t="s">
        <v>48</v>
      </c>
      <c r="V548" s="58" t="s">
        <v>43</v>
      </c>
      <c r="W548" s="58" t="s">
        <v>44</v>
      </c>
      <c r="X548" s="75" t="s">
        <v>15</v>
      </c>
      <c r="Y548" s="58" t="s">
        <v>12</v>
      </c>
      <c r="Z548" s="58" t="s">
        <v>14</v>
      </c>
      <c r="AA548" s="58" t="s">
        <v>13</v>
      </c>
      <c r="AB548" s="58" t="s">
        <v>42</v>
      </c>
      <c r="AC548" s="58" t="s">
        <v>41</v>
      </c>
      <c r="AD548" s="58" t="s">
        <v>43</v>
      </c>
      <c r="AE548" s="58" t="s">
        <v>44</v>
      </c>
      <c r="AF548" s="58" t="s">
        <v>15</v>
      </c>
      <c r="AG548" s="58" t="s">
        <v>14</v>
      </c>
      <c r="AH548" s="58" t="s">
        <v>45</v>
      </c>
      <c r="AI548" s="58" t="s">
        <v>46</v>
      </c>
      <c r="AJ548" s="58" t="s">
        <v>42</v>
      </c>
      <c r="AK548" s="58" t="s">
        <v>41</v>
      </c>
      <c r="AL548" s="58" t="s">
        <v>47</v>
      </c>
      <c r="AM548" s="58" t="s">
        <v>48</v>
      </c>
      <c r="AN548" s="58" t="s">
        <v>43</v>
      </c>
      <c r="AO548" s="58" t="s">
        <v>44</v>
      </c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</row>
    <row r="549" spans="2:57" ht="16.5" customHeight="1" thickBot="1" x14ac:dyDescent="0.3">
      <c r="B549" s="1" t="s">
        <v>0</v>
      </c>
      <c r="C549" s="13">
        <f>SUM(F549:W549)</f>
        <v>4</v>
      </c>
      <c r="E549" s="10" t="s">
        <v>0</v>
      </c>
      <c r="F549" s="71"/>
      <c r="G549" s="60"/>
      <c r="H549" s="60"/>
      <c r="I549" s="61"/>
      <c r="J549" s="59"/>
      <c r="K549" s="60"/>
      <c r="L549" s="60"/>
      <c r="M549" s="60">
        <v>1</v>
      </c>
      <c r="N549" s="59"/>
      <c r="O549" s="61"/>
      <c r="P549" s="59"/>
      <c r="Q549" s="60"/>
      <c r="R549" s="60">
        <v>2</v>
      </c>
      <c r="S549" s="60"/>
      <c r="T549" s="60">
        <v>1</v>
      </c>
      <c r="U549" s="60"/>
      <c r="V549" s="60"/>
      <c r="W549" s="61"/>
      <c r="X549" s="71"/>
      <c r="Y549" s="60"/>
      <c r="Z549" s="60"/>
      <c r="AA549" s="60"/>
      <c r="AB549" s="59">
        <v>1</v>
      </c>
      <c r="AC549" s="60"/>
      <c r="AD549" s="60"/>
      <c r="AE549" s="61"/>
      <c r="AF549" s="60"/>
      <c r="AG549" s="61"/>
      <c r="AH549" s="60"/>
      <c r="AI549" s="60"/>
      <c r="AJ549" s="60"/>
      <c r="AK549" s="60"/>
      <c r="AL549" s="60">
        <v>2</v>
      </c>
      <c r="AM549" s="60"/>
      <c r="AN549" s="60"/>
      <c r="AO549" s="60">
        <v>1</v>
      </c>
      <c r="AP549" s="59"/>
      <c r="AQ549" s="59"/>
      <c r="AR549" s="59"/>
      <c r="AS549" s="59"/>
      <c r="AT549" s="59"/>
      <c r="AU549" s="59"/>
      <c r="AV549" s="59">
        <v>1</v>
      </c>
      <c r="AW549" s="59"/>
      <c r="AX549" s="59"/>
      <c r="AY549" s="59"/>
      <c r="AZ549" s="59"/>
      <c r="BA549" s="62"/>
      <c r="BB549" s="62">
        <v>1</v>
      </c>
      <c r="BC549" s="62"/>
      <c r="BD549" s="62"/>
      <c r="BE549" t="s">
        <v>74</v>
      </c>
    </row>
    <row r="550" spans="2:57" ht="16.5" customHeight="1" thickBot="1" x14ac:dyDescent="0.3">
      <c r="B550" s="1" t="s">
        <v>1</v>
      </c>
      <c r="C550" s="14">
        <f t="shared" ref="C550:C552" si="60">SUM(F550:W550)</f>
        <v>0</v>
      </c>
      <c r="E550" s="1" t="s">
        <v>1</v>
      </c>
      <c r="F550" s="72"/>
      <c r="G550" s="41"/>
      <c r="H550" s="41"/>
      <c r="I550" s="64"/>
      <c r="J550" s="63"/>
      <c r="K550" s="41"/>
      <c r="L550" s="41"/>
      <c r="M550" s="41"/>
      <c r="N550" s="63"/>
      <c r="O550" s="64"/>
      <c r="P550" s="63"/>
      <c r="Q550" s="41"/>
      <c r="R550" s="41"/>
      <c r="S550" s="41"/>
      <c r="T550" s="41"/>
      <c r="U550" s="41"/>
      <c r="V550" s="41"/>
      <c r="W550" s="64"/>
      <c r="X550" s="72"/>
      <c r="Y550" s="41"/>
      <c r="Z550" s="41"/>
      <c r="AA550" s="41"/>
      <c r="AB550" s="63"/>
      <c r="AC550" s="41"/>
      <c r="AD550" s="41"/>
      <c r="AE550" s="64"/>
      <c r="AF550" s="41"/>
      <c r="AG550" s="64"/>
      <c r="AH550" s="41"/>
      <c r="AI550" s="41"/>
      <c r="AJ550" s="41"/>
      <c r="AK550" s="41"/>
      <c r="AL550" s="41"/>
      <c r="AM550" s="41"/>
      <c r="AN550" s="41"/>
      <c r="AO550" s="41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5"/>
      <c r="BB550" s="65"/>
      <c r="BC550" s="65"/>
      <c r="BD550" s="65"/>
    </row>
    <row r="551" spans="2:57" ht="16.5" customHeight="1" thickBot="1" x14ac:dyDescent="0.3">
      <c r="B551" s="1" t="s">
        <v>2</v>
      </c>
      <c r="C551" s="14">
        <f t="shared" si="60"/>
        <v>0</v>
      </c>
      <c r="E551" s="1" t="s">
        <v>2</v>
      </c>
      <c r="F551" s="72"/>
      <c r="G551" s="41"/>
      <c r="H551" s="41"/>
      <c r="I551" s="64"/>
      <c r="J551" s="63"/>
      <c r="K551" s="41"/>
      <c r="L551" s="41"/>
      <c r="M551" s="41"/>
      <c r="N551" s="63"/>
      <c r="O551" s="64"/>
      <c r="P551" s="63"/>
      <c r="Q551" s="41"/>
      <c r="R551" s="41"/>
      <c r="S551" s="41"/>
      <c r="T551" s="41"/>
      <c r="U551" s="41"/>
      <c r="V551" s="41"/>
      <c r="W551" s="64"/>
      <c r="X551" s="72"/>
      <c r="Y551" s="41"/>
      <c r="Z551" s="41"/>
      <c r="AA551" s="41"/>
      <c r="AB551" s="63"/>
      <c r="AC551" s="41"/>
      <c r="AD551" s="41"/>
      <c r="AE551" s="64"/>
      <c r="AF551" s="41"/>
      <c r="AG551" s="64"/>
      <c r="AH551" s="41"/>
      <c r="AI551" s="41"/>
      <c r="AJ551" s="41"/>
      <c r="AK551" s="41"/>
      <c r="AL551" s="41"/>
      <c r="AM551" s="41"/>
      <c r="AN551" s="41"/>
      <c r="AO551" s="41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5"/>
      <c r="BB551" s="65"/>
      <c r="BC551" s="65"/>
      <c r="BD551" s="65"/>
    </row>
    <row r="552" spans="2:57" ht="16.5" customHeight="1" thickBot="1" x14ac:dyDescent="0.3">
      <c r="B552" s="1" t="s">
        <v>3</v>
      </c>
      <c r="C552" s="15">
        <f t="shared" si="60"/>
        <v>0</v>
      </c>
      <c r="E552" s="1" t="s">
        <v>3</v>
      </c>
      <c r="F552" s="73"/>
      <c r="G552" s="67"/>
      <c r="H552" s="67"/>
      <c r="I552" s="68"/>
      <c r="J552" s="66"/>
      <c r="K552" s="67"/>
      <c r="L552" s="67"/>
      <c r="M552" s="67"/>
      <c r="N552" s="66"/>
      <c r="O552" s="68"/>
      <c r="P552" s="66"/>
      <c r="Q552" s="67"/>
      <c r="R552" s="67"/>
      <c r="S552" s="67"/>
      <c r="T552" s="67"/>
      <c r="U552" s="67"/>
      <c r="V552" s="67"/>
      <c r="W552" s="68"/>
      <c r="X552" s="73"/>
      <c r="Y552" s="67"/>
      <c r="Z552" s="67"/>
      <c r="AA552" s="67"/>
      <c r="AB552" s="66"/>
      <c r="AC552" s="67"/>
      <c r="AD552" s="67"/>
      <c r="AE552" s="68"/>
      <c r="AF552" s="67"/>
      <c r="AG552" s="68"/>
      <c r="AH552" s="67"/>
      <c r="AI552" s="67"/>
      <c r="AJ552" s="67"/>
      <c r="AK552" s="67"/>
      <c r="AL552" s="67"/>
      <c r="AM552" s="67"/>
      <c r="AN552" s="67"/>
      <c r="AO552" s="67"/>
      <c r="AP552" s="66"/>
      <c r="AQ552" s="66"/>
      <c r="AR552" s="66"/>
      <c r="AS552" s="66"/>
      <c r="AT552" s="66"/>
      <c r="AU552" s="66"/>
      <c r="AV552" s="66"/>
      <c r="AW552" s="66"/>
      <c r="AX552" s="66"/>
      <c r="AY552" s="66"/>
      <c r="AZ552" s="66"/>
      <c r="BA552" s="69"/>
      <c r="BB552" s="69"/>
      <c r="BC552" s="69"/>
      <c r="BD552" s="69"/>
    </row>
    <row r="553" spans="2:57" ht="21" customHeight="1" x14ac:dyDescent="0.25">
      <c r="B553" s="2"/>
      <c r="C553" s="8">
        <f>SUM(C549:C552)</f>
        <v>4</v>
      </c>
      <c r="F553" s="74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74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</row>
    <row r="554" spans="2:57" x14ac:dyDescent="0.25"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</row>
    <row r="555" spans="2:57" ht="15.75" x14ac:dyDescent="0.25">
      <c r="F555" s="82" t="s">
        <v>17</v>
      </c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3" t="s">
        <v>16</v>
      </c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79"/>
      <c r="AQ555" s="79"/>
      <c r="AR555" s="79"/>
      <c r="AS555" s="79"/>
      <c r="AT555" s="79"/>
      <c r="AU555" s="41"/>
      <c r="AV555" s="41"/>
      <c r="AW555" s="41"/>
      <c r="AX555" s="41"/>
      <c r="AY555" s="41"/>
      <c r="AZ555" s="41"/>
      <c r="BA555" s="41"/>
    </row>
    <row r="556" spans="2:57" ht="32.25" thickBot="1" x14ac:dyDescent="0.3">
      <c r="F556" s="81" t="s">
        <v>9</v>
      </c>
      <c r="G556" s="81"/>
      <c r="H556" s="81"/>
      <c r="I556" s="81"/>
      <c r="J556" s="81" t="s">
        <v>10</v>
      </c>
      <c r="K556" s="81"/>
      <c r="L556" s="81"/>
      <c r="M556" s="81"/>
      <c r="N556" s="81" t="s">
        <v>49</v>
      </c>
      <c r="O556" s="81"/>
      <c r="P556" s="81" t="s">
        <v>11</v>
      </c>
      <c r="Q556" s="81"/>
      <c r="R556" s="81"/>
      <c r="S556" s="81"/>
      <c r="T556" s="81"/>
      <c r="U556" s="81"/>
      <c r="V556" s="81"/>
      <c r="W556" s="81"/>
      <c r="X556" s="81" t="s">
        <v>9</v>
      </c>
      <c r="Y556" s="81"/>
      <c r="Z556" s="81"/>
      <c r="AA556" s="81"/>
      <c r="AB556" s="81" t="s">
        <v>10</v>
      </c>
      <c r="AC556" s="81"/>
      <c r="AD556" s="81"/>
      <c r="AE556" s="81"/>
      <c r="AF556" s="81" t="s">
        <v>49</v>
      </c>
      <c r="AG556" s="81"/>
      <c r="AH556" s="81" t="s">
        <v>11</v>
      </c>
      <c r="AI556" s="81"/>
      <c r="AJ556" s="81"/>
      <c r="AK556" s="81"/>
      <c r="AL556" s="81"/>
      <c r="AM556" s="81"/>
      <c r="AN556" s="81"/>
      <c r="AO556" s="81"/>
      <c r="AP556" s="70" t="s">
        <v>50</v>
      </c>
      <c r="AQ556" s="70" t="s">
        <v>57</v>
      </c>
      <c r="AR556" s="70" t="s">
        <v>63</v>
      </c>
      <c r="AS556" s="70" t="s">
        <v>64</v>
      </c>
      <c r="AT556" s="70" t="s">
        <v>61</v>
      </c>
      <c r="AU556" s="70" t="s">
        <v>54</v>
      </c>
      <c r="AV556" s="70" t="s">
        <v>19</v>
      </c>
      <c r="AW556" s="70" t="s">
        <v>58</v>
      </c>
      <c r="AX556" s="70" t="s">
        <v>51</v>
      </c>
      <c r="AY556" s="70" t="s">
        <v>53</v>
      </c>
      <c r="AZ556" s="70" t="s">
        <v>52</v>
      </c>
      <c r="BA556" s="70" t="s">
        <v>55</v>
      </c>
      <c r="BB556" s="70" t="s">
        <v>56</v>
      </c>
      <c r="BC556" s="70" t="s">
        <v>59</v>
      </c>
      <c r="BD556" s="70" t="s">
        <v>60</v>
      </c>
    </row>
    <row r="557" spans="2:57" ht="16.5" thickBot="1" x14ac:dyDescent="0.3">
      <c r="B557" s="17">
        <v>0.63541666666666696</v>
      </c>
      <c r="C557" s="7" t="s">
        <v>5</v>
      </c>
      <c r="E557" s="11"/>
      <c r="F557" s="75" t="s">
        <v>15</v>
      </c>
      <c r="G557" s="58" t="s">
        <v>12</v>
      </c>
      <c r="H557" s="58" t="s">
        <v>14</v>
      </c>
      <c r="I557" s="58" t="s">
        <v>13</v>
      </c>
      <c r="J557" s="58" t="s">
        <v>42</v>
      </c>
      <c r="K557" s="58" t="s">
        <v>41</v>
      </c>
      <c r="L557" s="58" t="s">
        <v>43</v>
      </c>
      <c r="M557" s="58" t="s">
        <v>44</v>
      </c>
      <c r="N557" s="58" t="s">
        <v>15</v>
      </c>
      <c r="O557" s="58" t="s">
        <v>14</v>
      </c>
      <c r="P557" s="58" t="s">
        <v>45</v>
      </c>
      <c r="Q557" s="58" t="s">
        <v>46</v>
      </c>
      <c r="R557" s="58" t="s">
        <v>42</v>
      </c>
      <c r="S557" s="58" t="s">
        <v>41</v>
      </c>
      <c r="T557" s="58" t="s">
        <v>47</v>
      </c>
      <c r="U557" s="58" t="s">
        <v>48</v>
      </c>
      <c r="V557" s="58" t="s">
        <v>43</v>
      </c>
      <c r="W557" s="58" t="s">
        <v>44</v>
      </c>
      <c r="X557" s="75" t="s">
        <v>15</v>
      </c>
      <c r="Y557" s="58" t="s">
        <v>12</v>
      </c>
      <c r="Z557" s="58" t="s">
        <v>14</v>
      </c>
      <c r="AA557" s="58" t="s">
        <v>13</v>
      </c>
      <c r="AB557" s="58" t="s">
        <v>42</v>
      </c>
      <c r="AC557" s="58" t="s">
        <v>41</v>
      </c>
      <c r="AD557" s="58" t="s">
        <v>43</v>
      </c>
      <c r="AE557" s="58" t="s">
        <v>44</v>
      </c>
      <c r="AF557" s="58" t="s">
        <v>15</v>
      </c>
      <c r="AG557" s="58" t="s">
        <v>14</v>
      </c>
      <c r="AH557" s="58" t="s">
        <v>45</v>
      </c>
      <c r="AI557" s="58" t="s">
        <v>46</v>
      </c>
      <c r="AJ557" s="58" t="s">
        <v>42</v>
      </c>
      <c r="AK557" s="58" t="s">
        <v>41</v>
      </c>
      <c r="AL557" s="58" t="s">
        <v>47</v>
      </c>
      <c r="AM557" s="58" t="s">
        <v>48</v>
      </c>
      <c r="AN557" s="58" t="s">
        <v>43</v>
      </c>
      <c r="AO557" s="58" t="s">
        <v>44</v>
      </c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</row>
    <row r="558" spans="2:57" ht="16.5" customHeight="1" thickBot="1" x14ac:dyDescent="0.3">
      <c r="B558" s="1" t="s">
        <v>0</v>
      </c>
      <c r="C558" s="13">
        <f>SUM(F558:W558)</f>
        <v>7</v>
      </c>
      <c r="E558" s="10" t="s">
        <v>0</v>
      </c>
      <c r="F558" s="71"/>
      <c r="G558" s="60"/>
      <c r="H558" s="60"/>
      <c r="I558" s="61"/>
      <c r="J558" s="59"/>
      <c r="K558" s="60"/>
      <c r="L558" s="60"/>
      <c r="M558" s="60"/>
      <c r="N558" s="59"/>
      <c r="O558" s="61"/>
      <c r="P558" s="59"/>
      <c r="Q558" s="60">
        <v>2</v>
      </c>
      <c r="R558" s="60">
        <v>1</v>
      </c>
      <c r="S558" s="60">
        <v>1</v>
      </c>
      <c r="T558" s="60">
        <v>3</v>
      </c>
      <c r="U558" s="60"/>
      <c r="V558" s="60"/>
      <c r="W558" s="61"/>
      <c r="X558" s="71"/>
      <c r="Y558" s="60"/>
      <c r="Z558" s="60"/>
      <c r="AA558" s="60"/>
      <c r="AB558" s="59"/>
      <c r="AC558" s="60"/>
      <c r="AD558" s="60"/>
      <c r="AE558" s="61"/>
      <c r="AF558" s="60"/>
      <c r="AG558" s="61"/>
      <c r="AH558" s="60"/>
      <c r="AI558" s="60"/>
      <c r="AJ558" s="60">
        <v>2</v>
      </c>
      <c r="AK558" s="60">
        <v>1</v>
      </c>
      <c r="AL558" s="60"/>
      <c r="AM558" s="60"/>
      <c r="AN558" s="60"/>
      <c r="AO558" s="60">
        <v>4</v>
      </c>
      <c r="AP558" s="59">
        <v>2</v>
      </c>
      <c r="AQ558" s="59">
        <v>1</v>
      </c>
      <c r="AR558" s="59"/>
      <c r="AS558" s="59"/>
      <c r="AT558" s="59"/>
      <c r="AU558" s="59"/>
      <c r="AV558" s="59"/>
      <c r="AW558" s="59"/>
      <c r="AX558" s="59"/>
      <c r="AY558" s="59">
        <v>1</v>
      </c>
      <c r="AZ558" s="59"/>
      <c r="BA558" s="62"/>
      <c r="BB558" s="62"/>
      <c r="BC558" s="62"/>
      <c r="BD558" s="62"/>
    </row>
    <row r="559" spans="2:57" ht="16.5" customHeight="1" thickBot="1" x14ac:dyDescent="0.3">
      <c r="B559" s="1" t="s">
        <v>1</v>
      </c>
      <c r="C559" s="14">
        <f t="shared" ref="C559:C561" si="61">SUM(F559:W559)</f>
        <v>3</v>
      </c>
      <c r="E559" s="1" t="s">
        <v>1</v>
      </c>
      <c r="F559" s="72"/>
      <c r="G559" s="41"/>
      <c r="H559" s="41"/>
      <c r="I559" s="64"/>
      <c r="J559" s="63"/>
      <c r="K559" s="41"/>
      <c r="L559" s="41"/>
      <c r="M559" s="41"/>
      <c r="N559" s="63"/>
      <c r="O559" s="64"/>
      <c r="P559" s="63"/>
      <c r="Q559" s="41"/>
      <c r="R559" s="41"/>
      <c r="S559" s="41">
        <v>3</v>
      </c>
      <c r="T559" s="41"/>
      <c r="U559" s="41"/>
      <c r="V559" s="41"/>
      <c r="W559" s="64"/>
      <c r="X559" s="72"/>
      <c r="Y559" s="41"/>
      <c r="Z559" s="41"/>
      <c r="AA559" s="41"/>
      <c r="AB559" s="63"/>
      <c r="AC559" s="41"/>
      <c r="AD559" s="41"/>
      <c r="AE559" s="64"/>
      <c r="AF559" s="41"/>
      <c r="AG559" s="64"/>
      <c r="AH559" s="41"/>
      <c r="AI559" s="41"/>
      <c r="AJ559" s="41"/>
      <c r="AK559" s="41"/>
      <c r="AL559" s="41"/>
      <c r="AM559" s="41"/>
      <c r="AN559" s="41"/>
      <c r="AO559" s="41">
        <v>3</v>
      </c>
      <c r="AP559" s="63">
        <v>1</v>
      </c>
      <c r="AQ559" s="63">
        <v>3</v>
      </c>
      <c r="AR559" s="63"/>
      <c r="AS559" s="63"/>
      <c r="AT559" s="63"/>
      <c r="AU559" s="63"/>
      <c r="AV559" s="63"/>
      <c r="AW559" s="63"/>
      <c r="AX559" s="63">
        <v>1</v>
      </c>
      <c r="AY559" s="63"/>
      <c r="AZ559" s="63"/>
      <c r="BA559" s="65"/>
      <c r="BB559" s="65"/>
      <c r="BC559" s="65"/>
      <c r="BD559" s="65"/>
    </row>
    <row r="560" spans="2:57" ht="16.5" customHeight="1" thickBot="1" x14ac:dyDescent="0.3">
      <c r="B560" s="1" t="s">
        <v>2</v>
      </c>
      <c r="C560" s="14">
        <f t="shared" si="61"/>
        <v>4</v>
      </c>
      <c r="E560" s="1" t="s">
        <v>2</v>
      </c>
      <c r="F560" s="72"/>
      <c r="G560" s="41"/>
      <c r="H560" s="41"/>
      <c r="I560" s="64"/>
      <c r="J560" s="63"/>
      <c r="K560" s="41"/>
      <c r="L560" s="41"/>
      <c r="M560" s="41"/>
      <c r="N560" s="63"/>
      <c r="O560" s="64">
        <v>1</v>
      </c>
      <c r="P560" s="63"/>
      <c r="Q560" s="41"/>
      <c r="R560" s="41">
        <v>1</v>
      </c>
      <c r="S560" s="41"/>
      <c r="T560" s="41">
        <v>1</v>
      </c>
      <c r="U560" s="41">
        <v>1</v>
      </c>
      <c r="V560" s="41"/>
      <c r="W560" s="64"/>
      <c r="X560" s="72"/>
      <c r="Y560" s="41"/>
      <c r="Z560" s="41"/>
      <c r="AA560" s="41"/>
      <c r="AB560" s="63"/>
      <c r="AC560" s="41"/>
      <c r="AD560" s="41"/>
      <c r="AE560" s="64"/>
      <c r="AF560" s="41"/>
      <c r="AG560" s="64"/>
      <c r="AH560" s="41"/>
      <c r="AI560" s="41"/>
      <c r="AJ560" s="41"/>
      <c r="AK560" s="41"/>
      <c r="AL560" s="41"/>
      <c r="AM560" s="41"/>
      <c r="AN560" s="41">
        <v>1</v>
      </c>
      <c r="AO560" s="41">
        <v>3</v>
      </c>
      <c r="AP560" s="63"/>
      <c r="AQ560" s="63">
        <v>2</v>
      </c>
      <c r="AR560" s="63"/>
      <c r="AS560" s="63"/>
      <c r="AT560" s="63"/>
      <c r="AU560" s="63"/>
      <c r="AV560" s="63"/>
      <c r="AW560" s="63"/>
      <c r="AX560" s="63"/>
      <c r="AY560" s="63"/>
      <c r="AZ560" s="63"/>
      <c r="BA560" s="65"/>
      <c r="BB560" s="65"/>
      <c r="BC560" s="65"/>
      <c r="BD560" s="65"/>
    </row>
    <row r="561" spans="2:57" ht="16.5" customHeight="1" thickBot="1" x14ac:dyDescent="0.3">
      <c r="B561" s="1" t="s">
        <v>3</v>
      </c>
      <c r="C561" s="15">
        <f t="shared" si="61"/>
        <v>0</v>
      </c>
      <c r="E561" s="1" t="s">
        <v>3</v>
      </c>
      <c r="F561" s="73"/>
      <c r="G561" s="67"/>
      <c r="H561" s="67"/>
      <c r="I561" s="68"/>
      <c r="J561" s="66"/>
      <c r="K561" s="67"/>
      <c r="L561" s="67"/>
      <c r="M561" s="67"/>
      <c r="N561" s="66"/>
      <c r="O561" s="68"/>
      <c r="P561" s="66"/>
      <c r="Q561" s="67"/>
      <c r="R561" s="67"/>
      <c r="S561" s="67"/>
      <c r="T561" s="67"/>
      <c r="U561" s="67"/>
      <c r="V561" s="67"/>
      <c r="W561" s="68"/>
      <c r="X561" s="73"/>
      <c r="Y561" s="67"/>
      <c r="Z561" s="67"/>
      <c r="AA561" s="67"/>
      <c r="AB561" s="66"/>
      <c r="AC561" s="67"/>
      <c r="AD561" s="67"/>
      <c r="AE561" s="68"/>
      <c r="AF561" s="67"/>
      <c r="AG561" s="68"/>
      <c r="AH561" s="67"/>
      <c r="AI561" s="67"/>
      <c r="AJ561" s="67"/>
      <c r="AK561" s="67"/>
      <c r="AL561" s="67"/>
      <c r="AM561" s="67"/>
      <c r="AN561" s="67"/>
      <c r="AO561" s="67"/>
      <c r="AP561" s="66"/>
      <c r="AQ561" s="66"/>
      <c r="AR561" s="66"/>
      <c r="AS561" s="66"/>
      <c r="AT561" s="66"/>
      <c r="AU561" s="66"/>
      <c r="AV561" s="66"/>
      <c r="AW561" s="66"/>
      <c r="AX561" s="66"/>
      <c r="AY561" s="66"/>
      <c r="AZ561" s="66"/>
      <c r="BA561" s="69"/>
      <c r="BB561" s="69"/>
      <c r="BC561" s="69"/>
      <c r="BD561" s="69"/>
    </row>
    <row r="562" spans="2:57" ht="21" customHeight="1" x14ac:dyDescent="0.25">
      <c r="B562" s="2"/>
      <c r="C562" s="8">
        <f>SUM(C558:C561)</f>
        <v>14</v>
      </c>
      <c r="F562" s="74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74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</row>
    <row r="563" spans="2:57" x14ac:dyDescent="0.25"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</row>
    <row r="564" spans="2:57" ht="15.75" x14ac:dyDescent="0.25">
      <c r="F564" s="82" t="s">
        <v>17</v>
      </c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3" t="s">
        <v>16</v>
      </c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79"/>
      <c r="AQ564" s="79"/>
      <c r="AR564" s="79"/>
      <c r="AS564" s="79"/>
      <c r="AT564" s="79"/>
      <c r="AU564" s="41"/>
      <c r="AV564" s="41"/>
      <c r="AW564" s="41"/>
      <c r="AX564" s="41"/>
      <c r="AY564" s="41"/>
      <c r="AZ564" s="41"/>
      <c r="BA564" s="41"/>
    </row>
    <row r="565" spans="2:57" ht="32.25" thickBot="1" x14ac:dyDescent="0.3">
      <c r="B565" s="80"/>
      <c r="F565" s="81" t="s">
        <v>9</v>
      </c>
      <c r="G565" s="81"/>
      <c r="H565" s="81"/>
      <c r="I565" s="81"/>
      <c r="J565" s="81" t="s">
        <v>10</v>
      </c>
      <c r="K565" s="81"/>
      <c r="L565" s="81"/>
      <c r="M565" s="81"/>
      <c r="N565" s="81" t="s">
        <v>49</v>
      </c>
      <c r="O565" s="81"/>
      <c r="P565" s="81" t="s">
        <v>11</v>
      </c>
      <c r="Q565" s="81"/>
      <c r="R565" s="81"/>
      <c r="S565" s="81"/>
      <c r="T565" s="81"/>
      <c r="U565" s="81"/>
      <c r="V565" s="81"/>
      <c r="W565" s="81"/>
      <c r="X565" s="81" t="s">
        <v>9</v>
      </c>
      <c r="Y565" s="81"/>
      <c r="Z565" s="81"/>
      <c r="AA565" s="81"/>
      <c r="AB565" s="81" t="s">
        <v>10</v>
      </c>
      <c r="AC565" s="81"/>
      <c r="AD565" s="81"/>
      <c r="AE565" s="81"/>
      <c r="AF565" s="81" t="s">
        <v>49</v>
      </c>
      <c r="AG565" s="81"/>
      <c r="AH565" s="81" t="s">
        <v>11</v>
      </c>
      <c r="AI565" s="81"/>
      <c r="AJ565" s="81"/>
      <c r="AK565" s="81"/>
      <c r="AL565" s="81"/>
      <c r="AM565" s="81"/>
      <c r="AN565" s="81"/>
      <c r="AO565" s="81"/>
      <c r="AP565" s="70" t="s">
        <v>50</v>
      </c>
      <c r="AQ565" s="70" t="s">
        <v>57</v>
      </c>
      <c r="AR565" s="70" t="s">
        <v>63</v>
      </c>
      <c r="AS565" s="70" t="s">
        <v>64</v>
      </c>
      <c r="AT565" s="70" t="s">
        <v>61</v>
      </c>
      <c r="AU565" s="70" t="s">
        <v>54</v>
      </c>
      <c r="AV565" s="70" t="s">
        <v>19</v>
      </c>
      <c r="AW565" s="70" t="s">
        <v>58</v>
      </c>
      <c r="AX565" s="70" t="s">
        <v>51</v>
      </c>
      <c r="AY565" s="70" t="s">
        <v>53</v>
      </c>
      <c r="AZ565" s="70" t="s">
        <v>52</v>
      </c>
      <c r="BA565" s="70" t="s">
        <v>55</v>
      </c>
      <c r="BB565" s="70" t="s">
        <v>56</v>
      </c>
      <c r="BC565" s="70" t="s">
        <v>59</v>
      </c>
      <c r="BD565" s="70" t="s">
        <v>60</v>
      </c>
    </row>
    <row r="566" spans="2:57" ht="16.5" thickBot="1" x14ac:dyDescent="0.3">
      <c r="B566" s="17">
        <v>0.64583333333333404</v>
      </c>
      <c r="C566" s="7" t="s">
        <v>5</v>
      </c>
      <c r="E566" s="11"/>
      <c r="F566" s="75" t="s">
        <v>15</v>
      </c>
      <c r="G566" s="58" t="s">
        <v>12</v>
      </c>
      <c r="H566" s="58" t="s">
        <v>14</v>
      </c>
      <c r="I566" s="58" t="s">
        <v>13</v>
      </c>
      <c r="J566" s="58" t="s">
        <v>42</v>
      </c>
      <c r="K566" s="58" t="s">
        <v>41</v>
      </c>
      <c r="L566" s="58" t="s">
        <v>43</v>
      </c>
      <c r="M566" s="58" t="s">
        <v>44</v>
      </c>
      <c r="N566" s="58" t="s">
        <v>15</v>
      </c>
      <c r="O566" s="58" t="s">
        <v>14</v>
      </c>
      <c r="P566" s="58" t="s">
        <v>45</v>
      </c>
      <c r="Q566" s="58" t="s">
        <v>46</v>
      </c>
      <c r="R566" s="58" t="s">
        <v>42</v>
      </c>
      <c r="S566" s="58" t="s">
        <v>41</v>
      </c>
      <c r="T566" s="58" t="s">
        <v>47</v>
      </c>
      <c r="U566" s="58" t="s">
        <v>48</v>
      </c>
      <c r="V566" s="58" t="s">
        <v>43</v>
      </c>
      <c r="W566" s="58" t="s">
        <v>44</v>
      </c>
      <c r="X566" s="75" t="s">
        <v>15</v>
      </c>
      <c r="Y566" s="58" t="s">
        <v>12</v>
      </c>
      <c r="Z566" s="58" t="s">
        <v>14</v>
      </c>
      <c r="AA566" s="58" t="s">
        <v>13</v>
      </c>
      <c r="AB566" s="58" t="s">
        <v>42</v>
      </c>
      <c r="AC566" s="58" t="s">
        <v>41</v>
      </c>
      <c r="AD566" s="58" t="s">
        <v>43</v>
      </c>
      <c r="AE566" s="58" t="s">
        <v>44</v>
      </c>
      <c r="AF566" s="58" t="s">
        <v>15</v>
      </c>
      <c r="AG566" s="58" t="s">
        <v>14</v>
      </c>
      <c r="AH566" s="58" t="s">
        <v>45</v>
      </c>
      <c r="AI566" s="58" t="s">
        <v>46</v>
      </c>
      <c r="AJ566" s="58" t="s">
        <v>42</v>
      </c>
      <c r="AK566" s="58" t="s">
        <v>41</v>
      </c>
      <c r="AL566" s="58" t="s">
        <v>47</v>
      </c>
      <c r="AM566" s="58" t="s">
        <v>48</v>
      </c>
      <c r="AN566" s="58" t="s">
        <v>43</v>
      </c>
      <c r="AO566" s="58" t="s">
        <v>44</v>
      </c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</row>
    <row r="567" spans="2:57" ht="16.5" customHeight="1" thickBot="1" x14ac:dyDescent="0.3">
      <c r="B567" s="1" t="s">
        <v>0</v>
      </c>
      <c r="C567" s="13">
        <f>SUM(F567:W567)</f>
        <v>83</v>
      </c>
      <c r="E567" s="10" t="s">
        <v>0</v>
      </c>
      <c r="F567" s="71"/>
      <c r="G567" s="60"/>
      <c r="H567" s="60"/>
      <c r="I567" s="61"/>
      <c r="J567" s="59"/>
      <c r="K567" s="60"/>
      <c r="L567" s="60"/>
      <c r="M567" s="60"/>
      <c r="N567" s="59">
        <v>1</v>
      </c>
      <c r="O567" s="61"/>
      <c r="P567" s="59"/>
      <c r="Q567" s="60"/>
      <c r="R567" s="60"/>
      <c r="S567" s="60"/>
      <c r="T567" s="60"/>
      <c r="U567" s="60"/>
      <c r="V567" s="60">
        <v>1</v>
      </c>
      <c r="W567" s="61">
        <v>81</v>
      </c>
      <c r="X567" s="71"/>
      <c r="Y567" s="60"/>
      <c r="Z567" s="60"/>
      <c r="AA567" s="60"/>
      <c r="AB567" s="59">
        <v>4</v>
      </c>
      <c r="AC567" s="60"/>
      <c r="AD567" s="60"/>
      <c r="AE567" s="61"/>
      <c r="AF567" s="60"/>
      <c r="AG567" s="61">
        <v>6</v>
      </c>
      <c r="AH567" s="60"/>
      <c r="AI567" s="60">
        <v>6</v>
      </c>
      <c r="AJ567" s="60">
        <v>31</v>
      </c>
      <c r="AK567" s="60">
        <v>21</v>
      </c>
      <c r="AL567" s="60">
        <v>14</v>
      </c>
      <c r="AM567" s="60">
        <v>1</v>
      </c>
      <c r="AN567" s="60"/>
      <c r="AO567" s="60"/>
      <c r="AP567" s="59">
        <v>1</v>
      </c>
      <c r="AQ567" s="59"/>
      <c r="AR567" s="59"/>
      <c r="AS567" s="59">
        <v>22</v>
      </c>
      <c r="AT567" s="59"/>
      <c r="AU567" s="59"/>
      <c r="AV567" s="59"/>
      <c r="AW567" s="59"/>
      <c r="AX567" s="59"/>
      <c r="AY567" s="59"/>
      <c r="AZ567" s="59"/>
      <c r="BA567" s="62"/>
      <c r="BB567" s="59">
        <v>80</v>
      </c>
      <c r="BC567" s="62"/>
      <c r="BD567" s="62"/>
      <c r="BE567" t="s">
        <v>75</v>
      </c>
    </row>
    <row r="568" spans="2:57" ht="16.5" customHeight="1" thickBot="1" x14ac:dyDescent="0.3">
      <c r="B568" s="1" t="s">
        <v>1</v>
      </c>
      <c r="C568" s="14">
        <f t="shared" ref="C568:C570" si="62">SUM(F568:W568)</f>
        <v>74</v>
      </c>
      <c r="E568" s="1" t="s">
        <v>1</v>
      </c>
      <c r="F568" s="72"/>
      <c r="G568" s="41"/>
      <c r="H568" s="41"/>
      <c r="I568" s="64"/>
      <c r="J568" s="63">
        <v>1</v>
      </c>
      <c r="K568" s="41"/>
      <c r="L568" s="41">
        <v>1</v>
      </c>
      <c r="M568" s="41"/>
      <c r="N568" s="63"/>
      <c r="O568" s="64">
        <v>1</v>
      </c>
      <c r="P568" s="63">
        <v>1</v>
      </c>
      <c r="Q568" s="41"/>
      <c r="R568" s="41"/>
      <c r="S568" s="41"/>
      <c r="T568" s="41"/>
      <c r="U568" s="41"/>
      <c r="V568" s="41">
        <v>1</v>
      </c>
      <c r="W568" s="64">
        <v>69</v>
      </c>
      <c r="X568" s="72"/>
      <c r="Y568" s="41"/>
      <c r="Z568" s="41"/>
      <c r="AA568" s="41"/>
      <c r="AB568" s="63">
        <v>4</v>
      </c>
      <c r="AC568" s="41">
        <v>4</v>
      </c>
      <c r="AD568" s="41"/>
      <c r="AE568" s="64"/>
      <c r="AF568" s="41">
        <v>4</v>
      </c>
      <c r="AG568" s="64">
        <v>22</v>
      </c>
      <c r="AH568" s="41"/>
      <c r="AI568" s="41">
        <v>1</v>
      </c>
      <c r="AJ568" s="41">
        <v>21</v>
      </c>
      <c r="AK568" s="41">
        <v>14</v>
      </c>
      <c r="AL568" s="41"/>
      <c r="AM568" s="41">
        <v>3</v>
      </c>
      <c r="AN568" s="41"/>
      <c r="AO568" s="41">
        <v>1</v>
      </c>
      <c r="AP568" s="63"/>
      <c r="AQ568" s="63">
        <v>1</v>
      </c>
      <c r="AR568" s="63"/>
      <c r="AS568" s="63">
        <v>2</v>
      </c>
      <c r="AT568" s="63"/>
      <c r="AU568" s="63"/>
      <c r="AV568" s="63"/>
      <c r="AW568" s="63"/>
      <c r="AX568" s="63">
        <v>1</v>
      </c>
      <c r="AY568" s="63"/>
      <c r="AZ568" s="63"/>
      <c r="BA568" s="65"/>
      <c r="BB568" s="63">
        <v>70</v>
      </c>
      <c r="BC568" s="65"/>
      <c r="BD568" s="65"/>
    </row>
    <row r="569" spans="2:57" ht="16.5" customHeight="1" thickBot="1" x14ac:dyDescent="0.3">
      <c r="B569" s="1" t="s">
        <v>2</v>
      </c>
      <c r="C569" s="14">
        <f t="shared" si="62"/>
        <v>60</v>
      </c>
      <c r="E569" s="1" t="s">
        <v>2</v>
      </c>
      <c r="F569" s="72"/>
      <c r="G569" s="41"/>
      <c r="H569" s="41"/>
      <c r="I569" s="64"/>
      <c r="J569" s="63"/>
      <c r="K569" s="41"/>
      <c r="L569" s="41"/>
      <c r="M569" s="41"/>
      <c r="N569" s="63"/>
      <c r="O569" s="64"/>
      <c r="P569" s="63"/>
      <c r="Q569" s="41"/>
      <c r="R569" s="41"/>
      <c r="S569" s="41"/>
      <c r="T569" s="41"/>
      <c r="U569" s="41"/>
      <c r="V569" s="41">
        <v>7</v>
      </c>
      <c r="W569" s="64">
        <v>53</v>
      </c>
      <c r="X569" s="72"/>
      <c r="Y569" s="41"/>
      <c r="Z569" s="41"/>
      <c r="AA569" s="41"/>
      <c r="AB569" s="63">
        <v>4</v>
      </c>
      <c r="AC569" s="41">
        <v>3</v>
      </c>
      <c r="AD569" s="41"/>
      <c r="AE569" s="64"/>
      <c r="AF569" s="41"/>
      <c r="AG569" s="64">
        <v>10</v>
      </c>
      <c r="AH569" s="41"/>
      <c r="AI569" s="41">
        <v>14</v>
      </c>
      <c r="AJ569" s="41">
        <v>14</v>
      </c>
      <c r="AK569" s="41">
        <v>6</v>
      </c>
      <c r="AL569" s="41">
        <v>2</v>
      </c>
      <c r="AM569" s="41">
        <v>7</v>
      </c>
      <c r="AN569" s="41"/>
      <c r="AO569" s="41"/>
      <c r="AP569" s="63"/>
      <c r="AQ569" s="63"/>
      <c r="AR569" s="63"/>
      <c r="AS569" s="63"/>
      <c r="AT569" s="63"/>
      <c r="AU569" s="63"/>
      <c r="AV569" s="63"/>
      <c r="AW569" s="63"/>
      <c r="AX569" s="63">
        <v>1</v>
      </c>
      <c r="AY569" s="63"/>
      <c r="AZ569" s="63"/>
      <c r="BA569" s="65"/>
      <c r="BB569" s="65">
        <v>60</v>
      </c>
      <c r="BC569" s="65"/>
      <c r="BD569" s="65"/>
    </row>
    <row r="570" spans="2:57" ht="16.5" customHeight="1" thickBot="1" x14ac:dyDescent="0.3">
      <c r="B570" s="1" t="s">
        <v>3</v>
      </c>
      <c r="C570" s="15">
        <f t="shared" si="62"/>
        <v>1</v>
      </c>
      <c r="E570" s="1" t="s">
        <v>3</v>
      </c>
      <c r="F570" s="73"/>
      <c r="G570" s="67"/>
      <c r="H570" s="67"/>
      <c r="I570" s="68"/>
      <c r="J570" s="66"/>
      <c r="K570" s="67"/>
      <c r="L570" s="67"/>
      <c r="M570" s="67"/>
      <c r="N570" s="66"/>
      <c r="O570" s="68"/>
      <c r="P570" s="66"/>
      <c r="Q570" s="67"/>
      <c r="R570" s="67"/>
      <c r="S570" s="67"/>
      <c r="T570" s="67"/>
      <c r="U570" s="67"/>
      <c r="V570" s="67"/>
      <c r="W570" s="68">
        <v>1</v>
      </c>
      <c r="X570" s="73"/>
      <c r="Y570" s="67"/>
      <c r="Z570" s="67"/>
      <c r="AA570" s="67"/>
      <c r="AB570" s="66"/>
      <c r="AC570" s="67"/>
      <c r="AD570" s="67"/>
      <c r="AE570" s="68"/>
      <c r="AF570" s="67"/>
      <c r="AG570" s="68"/>
      <c r="AH570" s="67"/>
      <c r="AI570" s="67"/>
      <c r="AJ570" s="67"/>
      <c r="AK570" s="67"/>
      <c r="AL570" s="67">
        <v>1</v>
      </c>
      <c r="AM570" s="67"/>
      <c r="AN570" s="67"/>
      <c r="AO570" s="67"/>
      <c r="AP570" s="66"/>
      <c r="AQ570" s="66"/>
      <c r="AR570" s="66"/>
      <c r="AS570" s="66"/>
      <c r="AT570" s="66"/>
      <c r="AU570" s="66"/>
      <c r="AV570" s="66"/>
      <c r="AW570" s="66"/>
      <c r="AX570" s="66"/>
      <c r="AY570" s="66"/>
      <c r="AZ570" s="66"/>
      <c r="BA570" s="69"/>
      <c r="BB570" s="69">
        <v>1</v>
      </c>
      <c r="BC570" s="69"/>
      <c r="BD570" s="69"/>
    </row>
    <row r="571" spans="2:57" ht="21" customHeight="1" x14ac:dyDescent="0.25">
      <c r="B571" s="2"/>
      <c r="C571" s="8">
        <f>SUM(C567:C570)</f>
        <v>218</v>
      </c>
      <c r="F571" s="74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74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</row>
    <row r="572" spans="2:57" x14ac:dyDescent="0.25"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</row>
    <row r="573" spans="2:57" ht="15.75" x14ac:dyDescent="0.25">
      <c r="F573" s="82" t="s">
        <v>17</v>
      </c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3" t="s">
        <v>16</v>
      </c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79"/>
      <c r="AQ573" s="79"/>
      <c r="AR573" s="79"/>
      <c r="AS573" s="79"/>
      <c r="AT573" s="79"/>
      <c r="AU573" s="41"/>
      <c r="AV573" s="41"/>
      <c r="AW573" s="41"/>
      <c r="AX573" s="41"/>
      <c r="AY573" s="41"/>
      <c r="AZ573" s="41"/>
      <c r="BA573" s="41"/>
    </row>
    <row r="574" spans="2:57" ht="32.25" thickBot="1" x14ac:dyDescent="0.3">
      <c r="F574" s="81" t="s">
        <v>9</v>
      </c>
      <c r="G574" s="81"/>
      <c r="H574" s="81"/>
      <c r="I574" s="81"/>
      <c r="J574" s="81" t="s">
        <v>10</v>
      </c>
      <c r="K574" s="81"/>
      <c r="L574" s="81"/>
      <c r="M574" s="81"/>
      <c r="N574" s="81" t="s">
        <v>49</v>
      </c>
      <c r="O574" s="81"/>
      <c r="P574" s="81" t="s">
        <v>11</v>
      </c>
      <c r="Q574" s="81"/>
      <c r="R574" s="81"/>
      <c r="S574" s="81"/>
      <c r="T574" s="81"/>
      <c r="U574" s="81"/>
      <c r="V574" s="81"/>
      <c r="W574" s="81"/>
      <c r="X574" s="81" t="s">
        <v>9</v>
      </c>
      <c r="Y574" s="81"/>
      <c r="Z574" s="81"/>
      <c r="AA574" s="81"/>
      <c r="AB574" s="81" t="s">
        <v>10</v>
      </c>
      <c r="AC574" s="81"/>
      <c r="AD574" s="81"/>
      <c r="AE574" s="81"/>
      <c r="AF574" s="81" t="s">
        <v>49</v>
      </c>
      <c r="AG574" s="81"/>
      <c r="AH574" s="81" t="s">
        <v>11</v>
      </c>
      <c r="AI574" s="81"/>
      <c r="AJ574" s="81"/>
      <c r="AK574" s="81"/>
      <c r="AL574" s="81"/>
      <c r="AM574" s="81"/>
      <c r="AN574" s="81"/>
      <c r="AO574" s="81"/>
      <c r="AP574" s="70" t="s">
        <v>50</v>
      </c>
      <c r="AQ574" s="70" t="s">
        <v>57</v>
      </c>
      <c r="AR574" s="70" t="s">
        <v>63</v>
      </c>
      <c r="AS574" s="70" t="s">
        <v>64</v>
      </c>
      <c r="AT574" s="70" t="s">
        <v>61</v>
      </c>
      <c r="AU574" s="70" t="s">
        <v>54</v>
      </c>
      <c r="AV574" s="70" t="s">
        <v>19</v>
      </c>
      <c r="AW574" s="70" t="s">
        <v>58</v>
      </c>
      <c r="AX574" s="70" t="s">
        <v>51</v>
      </c>
      <c r="AY574" s="70" t="s">
        <v>53</v>
      </c>
      <c r="AZ574" s="70" t="s">
        <v>52</v>
      </c>
      <c r="BA574" s="70" t="s">
        <v>55</v>
      </c>
      <c r="BB574" s="70" t="s">
        <v>56</v>
      </c>
      <c r="BC574" s="70" t="s">
        <v>59</v>
      </c>
      <c r="BD574" s="70" t="s">
        <v>60</v>
      </c>
    </row>
    <row r="575" spans="2:57" ht="16.5" thickBot="1" x14ac:dyDescent="0.3">
      <c r="B575" s="17">
        <v>0.656250000000001</v>
      </c>
      <c r="C575" s="7" t="s">
        <v>5</v>
      </c>
      <c r="E575" s="11"/>
      <c r="F575" s="75" t="s">
        <v>15</v>
      </c>
      <c r="G575" s="58" t="s">
        <v>12</v>
      </c>
      <c r="H575" s="58" t="s">
        <v>14</v>
      </c>
      <c r="I575" s="58" t="s">
        <v>13</v>
      </c>
      <c r="J575" s="58" t="s">
        <v>42</v>
      </c>
      <c r="K575" s="58" t="s">
        <v>41</v>
      </c>
      <c r="L575" s="58" t="s">
        <v>43</v>
      </c>
      <c r="M575" s="58" t="s">
        <v>44</v>
      </c>
      <c r="N575" s="58" t="s">
        <v>15</v>
      </c>
      <c r="O575" s="58" t="s">
        <v>14</v>
      </c>
      <c r="P575" s="58" t="s">
        <v>45</v>
      </c>
      <c r="Q575" s="58" t="s">
        <v>46</v>
      </c>
      <c r="R575" s="58" t="s">
        <v>42</v>
      </c>
      <c r="S575" s="58" t="s">
        <v>41</v>
      </c>
      <c r="T575" s="58" t="s">
        <v>47</v>
      </c>
      <c r="U575" s="58" t="s">
        <v>48</v>
      </c>
      <c r="V575" s="58" t="s">
        <v>43</v>
      </c>
      <c r="W575" s="58" t="s">
        <v>44</v>
      </c>
      <c r="X575" s="75" t="s">
        <v>15</v>
      </c>
      <c r="Y575" s="58" t="s">
        <v>12</v>
      </c>
      <c r="Z575" s="58" t="s">
        <v>14</v>
      </c>
      <c r="AA575" s="58" t="s">
        <v>13</v>
      </c>
      <c r="AB575" s="58" t="s">
        <v>42</v>
      </c>
      <c r="AC575" s="58" t="s">
        <v>41</v>
      </c>
      <c r="AD575" s="58" t="s">
        <v>43</v>
      </c>
      <c r="AE575" s="58" t="s">
        <v>44</v>
      </c>
      <c r="AF575" s="58" t="s">
        <v>15</v>
      </c>
      <c r="AG575" s="58" t="s">
        <v>14</v>
      </c>
      <c r="AH575" s="58" t="s">
        <v>45</v>
      </c>
      <c r="AI575" s="58" t="s">
        <v>46</v>
      </c>
      <c r="AJ575" s="58" t="s">
        <v>42</v>
      </c>
      <c r="AK575" s="58" t="s">
        <v>41</v>
      </c>
      <c r="AL575" s="58" t="s">
        <v>47</v>
      </c>
      <c r="AM575" s="58" t="s">
        <v>48</v>
      </c>
      <c r="AN575" s="58" t="s">
        <v>43</v>
      </c>
      <c r="AO575" s="58" t="s">
        <v>44</v>
      </c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</row>
    <row r="576" spans="2:57" ht="16.5" customHeight="1" thickBot="1" x14ac:dyDescent="0.3">
      <c r="B576" s="1" t="s">
        <v>0</v>
      </c>
      <c r="C576" s="13">
        <f>SUM(F576:W576)</f>
        <v>1</v>
      </c>
      <c r="E576" s="10" t="s">
        <v>0</v>
      </c>
      <c r="F576" s="71"/>
      <c r="G576" s="60"/>
      <c r="H576" s="60"/>
      <c r="I576" s="61"/>
      <c r="J576" s="59"/>
      <c r="K576" s="60"/>
      <c r="L576" s="60"/>
      <c r="M576" s="60"/>
      <c r="N576" s="59"/>
      <c r="O576" s="61"/>
      <c r="P576" s="59"/>
      <c r="Q576" s="60"/>
      <c r="R576" s="60"/>
      <c r="S576" s="60"/>
      <c r="T576" s="60"/>
      <c r="U576" s="60"/>
      <c r="V576" s="60"/>
      <c r="W576" s="61">
        <v>1</v>
      </c>
      <c r="X576" s="71"/>
      <c r="Y576" s="60"/>
      <c r="Z576" s="60"/>
      <c r="AA576" s="60"/>
      <c r="AB576" s="59"/>
      <c r="AC576" s="60"/>
      <c r="AD576" s="60"/>
      <c r="AE576" s="61"/>
      <c r="AF576" s="60"/>
      <c r="AG576" s="61"/>
      <c r="AH576" s="60"/>
      <c r="AI576" s="60"/>
      <c r="AJ576" s="60">
        <v>1</v>
      </c>
      <c r="AK576" s="60"/>
      <c r="AL576" s="60"/>
      <c r="AM576" s="60"/>
      <c r="AN576" s="60"/>
      <c r="AO576" s="60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62"/>
      <c r="BB576" s="62">
        <v>1</v>
      </c>
      <c r="BC576" s="62"/>
      <c r="BD576" s="62"/>
    </row>
    <row r="577" spans="2:56" ht="16.5" customHeight="1" thickBot="1" x14ac:dyDescent="0.3">
      <c r="B577" s="1" t="s">
        <v>1</v>
      </c>
      <c r="C577" s="14">
        <f t="shared" ref="C577:C579" si="63">SUM(F577:W577)</f>
        <v>1</v>
      </c>
      <c r="E577" s="1" t="s">
        <v>1</v>
      </c>
      <c r="F577" s="72"/>
      <c r="G577" s="41"/>
      <c r="H577" s="41"/>
      <c r="I577" s="64"/>
      <c r="J577" s="63"/>
      <c r="K577" s="41"/>
      <c r="L577" s="41">
        <v>1</v>
      </c>
      <c r="M577" s="41"/>
      <c r="N577" s="63"/>
      <c r="O577" s="64"/>
      <c r="P577" s="63"/>
      <c r="Q577" s="41"/>
      <c r="R577" s="41"/>
      <c r="S577" s="41"/>
      <c r="T577" s="41"/>
      <c r="U577" s="41"/>
      <c r="V577" s="41"/>
      <c r="W577" s="64"/>
      <c r="X577" s="72"/>
      <c r="Y577" s="41"/>
      <c r="Z577" s="41"/>
      <c r="AA577" s="41"/>
      <c r="AB577" s="63"/>
      <c r="AC577" s="41"/>
      <c r="AD577" s="41"/>
      <c r="AE577" s="64"/>
      <c r="AF577" s="41"/>
      <c r="AG577" s="64">
        <v>1</v>
      </c>
      <c r="AH577" s="41"/>
      <c r="AI577" s="41"/>
      <c r="AJ577" s="41"/>
      <c r="AK577" s="41"/>
      <c r="AL577" s="41"/>
      <c r="AM577" s="41"/>
      <c r="AN577" s="41"/>
      <c r="AO577" s="41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5"/>
      <c r="BB577" s="65"/>
      <c r="BC577" s="65"/>
      <c r="BD577" s="65"/>
    </row>
    <row r="578" spans="2:56" ht="16.5" customHeight="1" thickBot="1" x14ac:dyDescent="0.3">
      <c r="B578" s="1" t="s">
        <v>2</v>
      </c>
      <c r="C578" s="14">
        <f t="shared" si="63"/>
        <v>0</v>
      </c>
      <c r="E578" s="1" t="s">
        <v>2</v>
      </c>
      <c r="F578" s="72"/>
      <c r="G578" s="41"/>
      <c r="H578" s="41"/>
      <c r="I578" s="64"/>
      <c r="J578" s="63"/>
      <c r="K578" s="41"/>
      <c r="L578" s="41"/>
      <c r="M578" s="41"/>
      <c r="N578" s="63"/>
      <c r="O578" s="64"/>
      <c r="P578" s="63"/>
      <c r="Q578" s="41"/>
      <c r="R578" s="41"/>
      <c r="S578" s="41"/>
      <c r="T578" s="41"/>
      <c r="U578" s="41"/>
      <c r="V578" s="41"/>
      <c r="W578" s="64"/>
      <c r="X578" s="72"/>
      <c r="Y578" s="41"/>
      <c r="Z578" s="41"/>
      <c r="AA578" s="41"/>
      <c r="AB578" s="63"/>
      <c r="AC578" s="41"/>
      <c r="AD578" s="41"/>
      <c r="AE578" s="64"/>
      <c r="AF578" s="41"/>
      <c r="AG578" s="64"/>
      <c r="AH578" s="41"/>
      <c r="AI578" s="41"/>
      <c r="AJ578" s="41"/>
      <c r="AK578" s="41"/>
      <c r="AL578" s="41"/>
      <c r="AM578" s="41"/>
      <c r="AN578" s="41"/>
      <c r="AO578" s="41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5"/>
      <c r="BB578" s="65"/>
      <c r="BC578" s="65"/>
      <c r="BD578" s="65"/>
    </row>
    <row r="579" spans="2:56" ht="16.5" customHeight="1" thickBot="1" x14ac:dyDescent="0.3">
      <c r="B579" s="1" t="s">
        <v>76</v>
      </c>
      <c r="C579" s="15">
        <f t="shared" si="63"/>
        <v>0</v>
      </c>
      <c r="E579" s="1" t="s">
        <v>3</v>
      </c>
      <c r="F579" s="73"/>
      <c r="G579" s="67"/>
      <c r="H579" s="67"/>
      <c r="I579" s="68"/>
      <c r="J579" s="66"/>
      <c r="K579" s="67"/>
      <c r="L579" s="67"/>
      <c r="M579" s="67"/>
      <c r="N579" s="66"/>
      <c r="O579" s="68"/>
      <c r="P579" s="66"/>
      <c r="Q579" s="67"/>
      <c r="R579" s="67"/>
      <c r="S579" s="67"/>
      <c r="T579" s="67"/>
      <c r="U579" s="67"/>
      <c r="V579" s="67"/>
      <c r="W579" s="68"/>
      <c r="X579" s="73"/>
      <c r="Y579" s="67"/>
      <c r="Z579" s="67"/>
      <c r="AA579" s="67"/>
      <c r="AB579" s="66"/>
      <c r="AC579" s="67"/>
      <c r="AD579" s="67"/>
      <c r="AE579" s="68"/>
      <c r="AF579" s="67"/>
      <c r="AG579" s="68"/>
      <c r="AH579" s="67"/>
      <c r="AI579" s="67"/>
      <c r="AJ579" s="67"/>
      <c r="AK579" s="67"/>
      <c r="AL579" s="67"/>
      <c r="AM579" s="67"/>
      <c r="AN579" s="67"/>
      <c r="AO579" s="67"/>
      <c r="AP579" s="66"/>
      <c r="AQ579" s="66"/>
      <c r="AR579" s="66"/>
      <c r="AS579" s="66"/>
      <c r="AT579" s="66"/>
      <c r="AU579" s="66"/>
      <c r="AV579" s="66"/>
      <c r="AW579" s="66"/>
      <c r="AX579" s="66"/>
      <c r="AY579" s="66"/>
      <c r="AZ579" s="66"/>
      <c r="BA579" s="69"/>
      <c r="BB579" s="69"/>
      <c r="BC579" s="69"/>
      <c r="BD579" s="69"/>
    </row>
    <row r="580" spans="2:56" ht="21" customHeight="1" x14ac:dyDescent="0.25">
      <c r="B580" s="2"/>
      <c r="C580" s="8">
        <f>SUM(C576:C579)</f>
        <v>2</v>
      </c>
      <c r="F580" s="74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74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</row>
    <row r="581" spans="2:56" x14ac:dyDescent="0.25"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</row>
    <row r="582" spans="2:56" ht="15.75" x14ac:dyDescent="0.25">
      <c r="F582" s="82" t="s">
        <v>17</v>
      </c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3" t="s">
        <v>16</v>
      </c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79"/>
      <c r="AQ582" s="79"/>
      <c r="AR582" s="79"/>
      <c r="AS582" s="79"/>
      <c r="AT582" s="79"/>
      <c r="AU582" s="41"/>
      <c r="AV582" s="41"/>
      <c r="AW582" s="41"/>
      <c r="AX582" s="41"/>
      <c r="AY582" s="41"/>
      <c r="AZ582" s="41"/>
      <c r="BA582" s="41"/>
    </row>
    <row r="583" spans="2:56" ht="32.25" thickBot="1" x14ac:dyDescent="0.3">
      <c r="F583" s="81" t="s">
        <v>9</v>
      </c>
      <c r="G583" s="81"/>
      <c r="H583" s="81"/>
      <c r="I583" s="81"/>
      <c r="J583" s="81" t="s">
        <v>10</v>
      </c>
      <c r="K583" s="81"/>
      <c r="L583" s="81"/>
      <c r="M583" s="81"/>
      <c r="N583" s="81" t="s">
        <v>49</v>
      </c>
      <c r="O583" s="81"/>
      <c r="P583" s="81" t="s">
        <v>11</v>
      </c>
      <c r="Q583" s="81"/>
      <c r="R583" s="81"/>
      <c r="S583" s="81"/>
      <c r="T583" s="81"/>
      <c r="U583" s="81"/>
      <c r="V583" s="81"/>
      <c r="W583" s="81"/>
      <c r="X583" s="81" t="s">
        <v>9</v>
      </c>
      <c r="Y583" s="81"/>
      <c r="Z583" s="81"/>
      <c r="AA583" s="81"/>
      <c r="AB583" s="81" t="s">
        <v>10</v>
      </c>
      <c r="AC583" s="81"/>
      <c r="AD583" s="81"/>
      <c r="AE583" s="81"/>
      <c r="AF583" s="81" t="s">
        <v>49</v>
      </c>
      <c r="AG583" s="81"/>
      <c r="AH583" s="81" t="s">
        <v>11</v>
      </c>
      <c r="AI583" s="81"/>
      <c r="AJ583" s="81"/>
      <c r="AK583" s="81"/>
      <c r="AL583" s="81"/>
      <c r="AM583" s="81"/>
      <c r="AN583" s="81"/>
      <c r="AO583" s="81"/>
      <c r="AP583" s="70" t="s">
        <v>50</v>
      </c>
      <c r="AQ583" s="70" t="s">
        <v>57</v>
      </c>
      <c r="AR583" s="70" t="s">
        <v>63</v>
      </c>
      <c r="AS583" s="70" t="s">
        <v>64</v>
      </c>
      <c r="AT583" s="70" t="s">
        <v>61</v>
      </c>
      <c r="AU583" s="70" t="s">
        <v>54</v>
      </c>
      <c r="AV583" s="70" t="s">
        <v>19</v>
      </c>
      <c r="AW583" s="70" t="s">
        <v>58</v>
      </c>
      <c r="AX583" s="70" t="s">
        <v>51</v>
      </c>
      <c r="AY583" s="70" t="s">
        <v>53</v>
      </c>
      <c r="AZ583" s="70" t="s">
        <v>52</v>
      </c>
      <c r="BA583" s="70" t="s">
        <v>55</v>
      </c>
      <c r="BB583" s="70" t="s">
        <v>56</v>
      </c>
      <c r="BC583" s="70" t="s">
        <v>59</v>
      </c>
      <c r="BD583" s="70" t="s">
        <v>60</v>
      </c>
    </row>
    <row r="584" spans="2:56" ht="16.5" thickBot="1" x14ac:dyDescent="0.3">
      <c r="B584" s="16">
        <v>0.66666666666666796</v>
      </c>
      <c r="C584" s="7" t="s">
        <v>5</v>
      </c>
      <c r="E584" s="11"/>
      <c r="F584" s="75" t="s">
        <v>15</v>
      </c>
      <c r="G584" s="58" t="s">
        <v>12</v>
      </c>
      <c r="H584" s="58" t="s">
        <v>14</v>
      </c>
      <c r="I584" s="58" t="s">
        <v>13</v>
      </c>
      <c r="J584" s="58" t="s">
        <v>42</v>
      </c>
      <c r="K584" s="58" t="s">
        <v>41</v>
      </c>
      <c r="L584" s="58" t="s">
        <v>43</v>
      </c>
      <c r="M584" s="58" t="s">
        <v>44</v>
      </c>
      <c r="N584" s="58" t="s">
        <v>15</v>
      </c>
      <c r="O584" s="58" t="s">
        <v>14</v>
      </c>
      <c r="P584" s="58" t="s">
        <v>45</v>
      </c>
      <c r="Q584" s="58" t="s">
        <v>46</v>
      </c>
      <c r="R584" s="58" t="s">
        <v>42</v>
      </c>
      <c r="S584" s="58" t="s">
        <v>41</v>
      </c>
      <c r="T584" s="58" t="s">
        <v>47</v>
      </c>
      <c r="U584" s="58" t="s">
        <v>48</v>
      </c>
      <c r="V584" s="58" t="s">
        <v>43</v>
      </c>
      <c r="W584" s="58" t="s">
        <v>44</v>
      </c>
      <c r="X584" s="75" t="s">
        <v>15</v>
      </c>
      <c r="Y584" s="58" t="s">
        <v>12</v>
      </c>
      <c r="Z584" s="58" t="s">
        <v>14</v>
      </c>
      <c r="AA584" s="58" t="s">
        <v>13</v>
      </c>
      <c r="AB584" s="58" t="s">
        <v>42</v>
      </c>
      <c r="AC584" s="58" t="s">
        <v>41</v>
      </c>
      <c r="AD584" s="58" t="s">
        <v>43</v>
      </c>
      <c r="AE584" s="58" t="s">
        <v>44</v>
      </c>
      <c r="AF584" s="58" t="s">
        <v>15</v>
      </c>
      <c r="AG584" s="58" t="s">
        <v>14</v>
      </c>
      <c r="AH584" s="58" t="s">
        <v>45</v>
      </c>
      <c r="AI584" s="58" t="s">
        <v>46</v>
      </c>
      <c r="AJ584" s="58" t="s">
        <v>42</v>
      </c>
      <c r="AK584" s="58" t="s">
        <v>41</v>
      </c>
      <c r="AL584" s="58" t="s">
        <v>47</v>
      </c>
      <c r="AM584" s="58" t="s">
        <v>48</v>
      </c>
      <c r="AN584" s="58" t="s">
        <v>43</v>
      </c>
      <c r="AO584" s="58" t="s">
        <v>44</v>
      </c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</row>
    <row r="585" spans="2:56" ht="16.5" customHeight="1" thickBot="1" x14ac:dyDescent="0.3">
      <c r="B585" s="1" t="s">
        <v>0</v>
      </c>
      <c r="C585" s="13">
        <f>SUM(F585:W585)</f>
        <v>1</v>
      </c>
      <c r="E585" s="10" t="s">
        <v>0</v>
      </c>
      <c r="F585" s="71"/>
      <c r="G585" s="60"/>
      <c r="H585" s="60"/>
      <c r="I585" s="61"/>
      <c r="J585" s="59"/>
      <c r="K585" s="60"/>
      <c r="L585" s="60"/>
      <c r="M585" s="60"/>
      <c r="N585" s="59"/>
      <c r="O585" s="61"/>
      <c r="P585" s="59"/>
      <c r="Q585" s="60">
        <v>1</v>
      </c>
      <c r="R585" s="60"/>
      <c r="S585" s="60"/>
      <c r="T585" s="60"/>
      <c r="U585" s="60"/>
      <c r="V585" s="60"/>
      <c r="W585" s="61"/>
      <c r="X585" s="71"/>
      <c r="Y585" s="60"/>
      <c r="Z585" s="60"/>
      <c r="AA585" s="60"/>
      <c r="AB585" s="59"/>
      <c r="AC585" s="60"/>
      <c r="AD585" s="60"/>
      <c r="AE585" s="61"/>
      <c r="AF585" s="60"/>
      <c r="AG585" s="61"/>
      <c r="AH585" s="60">
        <v>1</v>
      </c>
      <c r="AI585" s="60"/>
      <c r="AJ585" s="60"/>
      <c r="AK585" s="60"/>
      <c r="AL585" s="60"/>
      <c r="AM585" s="60"/>
      <c r="AN585" s="60"/>
      <c r="AO585" s="60"/>
      <c r="AP585" s="59"/>
      <c r="AQ585" s="59">
        <v>1</v>
      </c>
      <c r="AR585" s="59"/>
      <c r="AS585" s="59"/>
      <c r="AT585" s="59"/>
      <c r="AU585" s="59"/>
      <c r="AV585" s="59"/>
      <c r="AW585" s="59"/>
      <c r="AX585" s="59"/>
      <c r="AY585" s="59"/>
      <c r="AZ585" s="59"/>
      <c r="BA585" s="62">
        <v>1</v>
      </c>
      <c r="BB585" s="62"/>
      <c r="BC585" s="62"/>
      <c r="BD585" s="62"/>
    </row>
    <row r="586" spans="2:56" ht="16.5" customHeight="1" thickBot="1" x14ac:dyDescent="0.3">
      <c r="B586" s="1" t="s">
        <v>1</v>
      </c>
      <c r="C586" s="14">
        <f t="shared" ref="C586:C588" si="64">SUM(F586:W586)</f>
        <v>0</v>
      </c>
      <c r="E586" s="1" t="s">
        <v>1</v>
      </c>
      <c r="F586" s="72"/>
      <c r="G586" s="41"/>
      <c r="H586" s="41"/>
      <c r="I586" s="64"/>
      <c r="J586" s="63"/>
      <c r="K586" s="41"/>
      <c r="L586" s="41"/>
      <c r="M586" s="41"/>
      <c r="N586" s="63"/>
      <c r="O586" s="64"/>
      <c r="P586" s="63"/>
      <c r="Q586" s="41"/>
      <c r="R586" s="41"/>
      <c r="S586" s="41"/>
      <c r="T586" s="41"/>
      <c r="U586" s="41"/>
      <c r="V586" s="41"/>
      <c r="W586" s="64"/>
      <c r="X586" s="72"/>
      <c r="Y586" s="41"/>
      <c r="Z586" s="41"/>
      <c r="AA586" s="41"/>
      <c r="AB586" s="63"/>
      <c r="AC586" s="41"/>
      <c r="AD586" s="41"/>
      <c r="AE586" s="64"/>
      <c r="AF586" s="41"/>
      <c r="AG586" s="64"/>
      <c r="AH586" s="41"/>
      <c r="AI586" s="41"/>
      <c r="AJ586" s="41"/>
      <c r="AK586" s="41"/>
      <c r="AL586" s="41"/>
      <c r="AM586" s="41"/>
      <c r="AN586" s="41"/>
      <c r="AO586" s="41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5"/>
      <c r="BB586" s="65"/>
      <c r="BC586" s="65"/>
      <c r="BD586" s="65"/>
    </row>
    <row r="587" spans="2:56" ht="16.5" customHeight="1" thickBot="1" x14ac:dyDescent="0.3">
      <c r="B587" s="1" t="s">
        <v>2</v>
      </c>
      <c r="C587" s="14">
        <f t="shared" si="64"/>
        <v>0</v>
      </c>
      <c r="E587" s="1" t="s">
        <v>2</v>
      </c>
      <c r="F587" s="72"/>
      <c r="G587" s="41"/>
      <c r="H587" s="41"/>
      <c r="I587" s="64"/>
      <c r="J587" s="63"/>
      <c r="K587" s="41"/>
      <c r="L587" s="41"/>
      <c r="M587" s="41"/>
      <c r="N587" s="63"/>
      <c r="O587" s="64"/>
      <c r="P587" s="63"/>
      <c r="Q587" s="41"/>
      <c r="R587" s="41"/>
      <c r="S587" s="41"/>
      <c r="T587" s="41"/>
      <c r="U587" s="41"/>
      <c r="V587" s="41"/>
      <c r="W587" s="64"/>
      <c r="X587" s="72"/>
      <c r="Y587" s="41"/>
      <c r="Z587" s="41"/>
      <c r="AA587" s="41"/>
      <c r="AB587" s="63"/>
      <c r="AC587" s="41"/>
      <c r="AD587" s="41"/>
      <c r="AE587" s="64"/>
      <c r="AF587" s="41"/>
      <c r="AG587" s="64"/>
      <c r="AH587" s="41"/>
      <c r="AI587" s="41"/>
      <c r="AJ587" s="41"/>
      <c r="AK587" s="41"/>
      <c r="AL587" s="41"/>
      <c r="AM587" s="41"/>
      <c r="AN587" s="41"/>
      <c r="AO587" s="41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5"/>
      <c r="BB587" s="65"/>
      <c r="BC587" s="65"/>
      <c r="BD587" s="65"/>
    </row>
    <row r="588" spans="2:56" ht="16.5" customHeight="1" thickBot="1" x14ac:dyDescent="0.3">
      <c r="B588" s="1" t="s">
        <v>3</v>
      </c>
      <c r="C588" s="15">
        <f t="shared" si="64"/>
        <v>0</v>
      </c>
      <c r="E588" s="1" t="s">
        <v>3</v>
      </c>
      <c r="F588" s="73"/>
      <c r="G588" s="67"/>
      <c r="H588" s="67"/>
      <c r="I588" s="68"/>
      <c r="J588" s="66"/>
      <c r="K588" s="67"/>
      <c r="L588" s="67"/>
      <c r="M588" s="67"/>
      <c r="N588" s="66"/>
      <c r="O588" s="68"/>
      <c r="P588" s="66"/>
      <c r="Q588" s="67"/>
      <c r="R588" s="67"/>
      <c r="S588" s="67"/>
      <c r="T588" s="67"/>
      <c r="U588" s="67"/>
      <c r="V588" s="67"/>
      <c r="W588" s="68"/>
      <c r="X588" s="73"/>
      <c r="Y588" s="67"/>
      <c r="Z588" s="67"/>
      <c r="AA588" s="67"/>
      <c r="AB588" s="66"/>
      <c r="AC588" s="67"/>
      <c r="AD588" s="67"/>
      <c r="AE588" s="68"/>
      <c r="AF588" s="67"/>
      <c r="AG588" s="68"/>
      <c r="AH588" s="67"/>
      <c r="AI588" s="67"/>
      <c r="AJ588" s="67"/>
      <c r="AK588" s="67"/>
      <c r="AL588" s="67"/>
      <c r="AM588" s="67"/>
      <c r="AN588" s="67"/>
      <c r="AO588" s="67"/>
      <c r="AP588" s="66"/>
      <c r="AQ588" s="66"/>
      <c r="AR588" s="66"/>
      <c r="AS588" s="66"/>
      <c r="AT588" s="66"/>
      <c r="AU588" s="66"/>
      <c r="AV588" s="66"/>
      <c r="AW588" s="66"/>
      <c r="AX588" s="66"/>
      <c r="AY588" s="66"/>
      <c r="AZ588" s="66"/>
      <c r="BA588" s="69"/>
      <c r="BB588" s="69"/>
      <c r="BC588" s="69"/>
      <c r="BD588" s="69"/>
    </row>
    <row r="589" spans="2:56" ht="21" customHeight="1" x14ac:dyDescent="0.25">
      <c r="B589" s="2"/>
      <c r="C589" s="8">
        <f>SUM(C585:C588)</f>
        <v>1</v>
      </c>
      <c r="F589" s="74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74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</row>
    <row r="590" spans="2:56" x14ac:dyDescent="0.25"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</row>
    <row r="591" spans="2:56" ht="15.75" x14ac:dyDescent="0.25">
      <c r="F591" s="82" t="s">
        <v>17</v>
      </c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3" t="s">
        <v>16</v>
      </c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79"/>
      <c r="AQ591" s="79"/>
      <c r="AR591" s="79"/>
      <c r="AS591" s="79"/>
      <c r="AT591" s="79"/>
      <c r="AU591" s="41"/>
      <c r="AV591" s="41"/>
      <c r="AW591" s="41"/>
      <c r="AX591" s="41"/>
      <c r="AY591" s="41"/>
      <c r="AZ591" s="41"/>
      <c r="BA591" s="41"/>
    </row>
    <row r="592" spans="2:56" ht="32.25" thickBot="1" x14ac:dyDescent="0.3">
      <c r="F592" s="81" t="s">
        <v>9</v>
      </c>
      <c r="G592" s="81"/>
      <c r="H592" s="81"/>
      <c r="I592" s="81"/>
      <c r="J592" s="81" t="s">
        <v>10</v>
      </c>
      <c r="K592" s="81"/>
      <c r="L592" s="81"/>
      <c r="M592" s="81"/>
      <c r="N592" s="81" t="s">
        <v>49</v>
      </c>
      <c r="O592" s="81"/>
      <c r="P592" s="81" t="s">
        <v>11</v>
      </c>
      <c r="Q592" s="81"/>
      <c r="R592" s="81"/>
      <c r="S592" s="81"/>
      <c r="T592" s="81"/>
      <c r="U592" s="81"/>
      <c r="V592" s="81"/>
      <c r="W592" s="81"/>
      <c r="X592" s="81" t="s">
        <v>9</v>
      </c>
      <c r="Y592" s="81"/>
      <c r="Z592" s="81"/>
      <c r="AA592" s="81"/>
      <c r="AB592" s="81" t="s">
        <v>10</v>
      </c>
      <c r="AC592" s="81"/>
      <c r="AD592" s="81"/>
      <c r="AE592" s="81"/>
      <c r="AF592" s="81" t="s">
        <v>49</v>
      </c>
      <c r="AG592" s="81"/>
      <c r="AH592" s="81" t="s">
        <v>11</v>
      </c>
      <c r="AI592" s="81"/>
      <c r="AJ592" s="81"/>
      <c r="AK592" s="81"/>
      <c r="AL592" s="81"/>
      <c r="AM592" s="81"/>
      <c r="AN592" s="81"/>
      <c r="AO592" s="81"/>
      <c r="AP592" s="70" t="s">
        <v>50</v>
      </c>
      <c r="AQ592" s="70" t="s">
        <v>57</v>
      </c>
      <c r="AR592" s="70" t="s">
        <v>63</v>
      </c>
      <c r="AS592" s="70" t="s">
        <v>64</v>
      </c>
      <c r="AT592" s="70" t="s">
        <v>61</v>
      </c>
      <c r="AU592" s="70" t="s">
        <v>54</v>
      </c>
      <c r="AV592" s="70" t="s">
        <v>19</v>
      </c>
      <c r="AW592" s="70" t="s">
        <v>58</v>
      </c>
      <c r="AX592" s="70" t="s">
        <v>51</v>
      </c>
      <c r="AY592" s="70" t="s">
        <v>53</v>
      </c>
      <c r="AZ592" s="70" t="s">
        <v>52</v>
      </c>
      <c r="BA592" s="70" t="s">
        <v>55</v>
      </c>
      <c r="BB592" s="70" t="s">
        <v>56</v>
      </c>
      <c r="BC592" s="70" t="s">
        <v>59</v>
      </c>
      <c r="BD592" s="70" t="s">
        <v>60</v>
      </c>
    </row>
    <row r="593" spans="2:56" ht="16.5" thickBot="1" x14ac:dyDescent="0.3">
      <c r="B593" s="16">
        <v>0.67708333333333504</v>
      </c>
      <c r="C593" s="7" t="s">
        <v>5</v>
      </c>
      <c r="E593" s="11"/>
      <c r="F593" s="75" t="s">
        <v>15</v>
      </c>
      <c r="G593" s="58" t="s">
        <v>12</v>
      </c>
      <c r="H593" s="58" t="s">
        <v>14</v>
      </c>
      <c r="I593" s="58" t="s">
        <v>13</v>
      </c>
      <c r="J593" s="58" t="s">
        <v>42</v>
      </c>
      <c r="K593" s="58" t="s">
        <v>41</v>
      </c>
      <c r="L593" s="58" t="s">
        <v>43</v>
      </c>
      <c r="M593" s="58" t="s">
        <v>44</v>
      </c>
      <c r="N593" s="58" t="s">
        <v>15</v>
      </c>
      <c r="O593" s="58" t="s">
        <v>14</v>
      </c>
      <c r="P593" s="58" t="s">
        <v>45</v>
      </c>
      <c r="Q593" s="58" t="s">
        <v>46</v>
      </c>
      <c r="R593" s="58" t="s">
        <v>42</v>
      </c>
      <c r="S593" s="58" t="s">
        <v>41</v>
      </c>
      <c r="T593" s="58" t="s">
        <v>47</v>
      </c>
      <c r="U593" s="58" t="s">
        <v>48</v>
      </c>
      <c r="V593" s="58" t="s">
        <v>43</v>
      </c>
      <c r="W593" s="58" t="s">
        <v>44</v>
      </c>
      <c r="X593" s="75" t="s">
        <v>15</v>
      </c>
      <c r="Y593" s="58" t="s">
        <v>12</v>
      </c>
      <c r="Z593" s="58" t="s">
        <v>14</v>
      </c>
      <c r="AA593" s="58" t="s">
        <v>13</v>
      </c>
      <c r="AB593" s="58" t="s">
        <v>42</v>
      </c>
      <c r="AC593" s="58" t="s">
        <v>41</v>
      </c>
      <c r="AD593" s="58" t="s">
        <v>43</v>
      </c>
      <c r="AE593" s="58" t="s">
        <v>44</v>
      </c>
      <c r="AF593" s="58" t="s">
        <v>15</v>
      </c>
      <c r="AG593" s="58" t="s">
        <v>14</v>
      </c>
      <c r="AH593" s="58" t="s">
        <v>45</v>
      </c>
      <c r="AI593" s="58" t="s">
        <v>46</v>
      </c>
      <c r="AJ593" s="58" t="s">
        <v>42</v>
      </c>
      <c r="AK593" s="58" t="s">
        <v>41</v>
      </c>
      <c r="AL593" s="58" t="s">
        <v>47</v>
      </c>
      <c r="AM593" s="58" t="s">
        <v>48</v>
      </c>
      <c r="AN593" s="58" t="s">
        <v>43</v>
      </c>
      <c r="AO593" s="58" t="s">
        <v>44</v>
      </c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</row>
    <row r="594" spans="2:56" ht="16.5" customHeight="1" thickBot="1" x14ac:dyDescent="0.3">
      <c r="B594" s="1" t="s">
        <v>0</v>
      </c>
      <c r="C594" s="13">
        <f>SUM(F594:W594)</f>
        <v>1</v>
      </c>
      <c r="E594" s="10" t="s">
        <v>0</v>
      </c>
      <c r="F594" s="71"/>
      <c r="G594" s="60"/>
      <c r="H594" s="60"/>
      <c r="I594" s="61"/>
      <c r="J594" s="59"/>
      <c r="K594" s="60"/>
      <c r="L594" s="60"/>
      <c r="M594" s="60"/>
      <c r="N594" s="59"/>
      <c r="O594" s="61"/>
      <c r="P594" s="59"/>
      <c r="Q594" s="60"/>
      <c r="R594" s="60"/>
      <c r="S594" s="60"/>
      <c r="T594" s="60">
        <v>1</v>
      </c>
      <c r="U594" s="60"/>
      <c r="V594" s="60"/>
      <c r="W594" s="61"/>
      <c r="X594" s="71"/>
      <c r="Y594" s="60"/>
      <c r="Z594" s="60"/>
      <c r="AA594" s="60"/>
      <c r="AB594" s="59"/>
      <c r="AC594" s="60"/>
      <c r="AD594" s="60"/>
      <c r="AE594" s="61"/>
      <c r="AF594" s="60"/>
      <c r="AG594" s="61"/>
      <c r="AH594" s="60"/>
      <c r="AI594" s="60">
        <v>1</v>
      </c>
      <c r="AJ594" s="60"/>
      <c r="AK594" s="60"/>
      <c r="AL594" s="60"/>
      <c r="AM594" s="60"/>
      <c r="AN594" s="60"/>
      <c r="AO594" s="60"/>
      <c r="AP594" s="59"/>
      <c r="AQ594" s="59">
        <v>1</v>
      </c>
      <c r="AR594" s="59"/>
      <c r="AS594" s="59"/>
      <c r="AT594" s="59"/>
      <c r="AU594" s="59"/>
      <c r="AV594" s="59"/>
      <c r="AW594" s="59"/>
      <c r="AX594" s="59"/>
      <c r="AY594" s="59"/>
      <c r="AZ594" s="59">
        <v>1</v>
      </c>
      <c r="BA594" s="62"/>
      <c r="BB594" s="62"/>
      <c r="BC594" s="62"/>
      <c r="BD594" s="62"/>
    </row>
    <row r="595" spans="2:56" ht="16.5" customHeight="1" thickBot="1" x14ac:dyDescent="0.3">
      <c r="B595" s="1" t="s">
        <v>1</v>
      </c>
      <c r="C595" s="14">
        <f t="shared" ref="C595:C597" si="65">SUM(F595:W595)</f>
        <v>0</v>
      </c>
      <c r="E595" s="1" t="s">
        <v>1</v>
      </c>
      <c r="F595" s="72"/>
      <c r="G595" s="41"/>
      <c r="H595" s="41"/>
      <c r="I595" s="64"/>
      <c r="J595" s="63"/>
      <c r="K595" s="41"/>
      <c r="L595" s="41"/>
      <c r="M595" s="41"/>
      <c r="N595" s="63"/>
      <c r="O595" s="64"/>
      <c r="P595" s="63"/>
      <c r="Q595" s="41"/>
      <c r="R595" s="41"/>
      <c r="S595" s="41"/>
      <c r="T595" s="41"/>
      <c r="U595" s="41"/>
      <c r="V595" s="41"/>
      <c r="W595" s="64"/>
      <c r="X595" s="72"/>
      <c r="Y595" s="41"/>
      <c r="Z595" s="41"/>
      <c r="AA595" s="41"/>
      <c r="AB595" s="63"/>
      <c r="AC595" s="41"/>
      <c r="AD595" s="41"/>
      <c r="AE595" s="64"/>
      <c r="AF595" s="41"/>
      <c r="AG595" s="64"/>
      <c r="AH595" s="41"/>
      <c r="AI595" s="41"/>
      <c r="AJ595" s="41"/>
      <c r="AK595" s="41"/>
      <c r="AL595" s="41"/>
      <c r="AM595" s="41"/>
      <c r="AN595" s="41"/>
      <c r="AO595" s="41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5"/>
      <c r="BB595" s="65"/>
      <c r="BC595" s="65"/>
      <c r="BD595" s="65"/>
    </row>
    <row r="596" spans="2:56" ht="16.5" customHeight="1" thickBot="1" x14ac:dyDescent="0.3">
      <c r="B596" s="1" t="s">
        <v>2</v>
      </c>
      <c r="C596" s="14">
        <f t="shared" si="65"/>
        <v>0</v>
      </c>
      <c r="E596" s="1" t="s">
        <v>2</v>
      </c>
      <c r="F596" s="72"/>
      <c r="G596" s="41"/>
      <c r="H596" s="41"/>
      <c r="I596" s="64"/>
      <c r="J596" s="63"/>
      <c r="K596" s="41"/>
      <c r="L596" s="41"/>
      <c r="M596" s="41"/>
      <c r="N596" s="63"/>
      <c r="O596" s="64"/>
      <c r="P596" s="63"/>
      <c r="Q596" s="41"/>
      <c r="R596" s="41"/>
      <c r="S596" s="41"/>
      <c r="T596" s="41"/>
      <c r="U596" s="41"/>
      <c r="V596" s="41"/>
      <c r="W596" s="64"/>
      <c r="X596" s="72"/>
      <c r="Y596" s="41"/>
      <c r="Z596" s="41"/>
      <c r="AA596" s="41"/>
      <c r="AB596" s="63"/>
      <c r="AC596" s="41"/>
      <c r="AD596" s="41"/>
      <c r="AE596" s="64"/>
      <c r="AF596" s="41"/>
      <c r="AG596" s="64"/>
      <c r="AH596" s="41"/>
      <c r="AI596" s="41"/>
      <c r="AJ596" s="41"/>
      <c r="AK596" s="41"/>
      <c r="AL596" s="41"/>
      <c r="AM596" s="41"/>
      <c r="AN596" s="41"/>
      <c r="AO596" s="41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5"/>
      <c r="BB596" s="65"/>
      <c r="BC596" s="65"/>
      <c r="BD596" s="65"/>
    </row>
    <row r="597" spans="2:56" ht="16.5" customHeight="1" thickBot="1" x14ac:dyDescent="0.3">
      <c r="B597" s="1" t="s">
        <v>3</v>
      </c>
      <c r="C597" s="15">
        <f t="shared" si="65"/>
        <v>0</v>
      </c>
      <c r="E597" s="1" t="s">
        <v>3</v>
      </c>
      <c r="F597" s="73"/>
      <c r="G597" s="67"/>
      <c r="H597" s="67"/>
      <c r="I597" s="68"/>
      <c r="J597" s="66"/>
      <c r="K597" s="67"/>
      <c r="L597" s="67"/>
      <c r="M597" s="67"/>
      <c r="N597" s="66"/>
      <c r="O597" s="68"/>
      <c r="P597" s="66"/>
      <c r="Q597" s="67"/>
      <c r="R597" s="67"/>
      <c r="S597" s="67"/>
      <c r="T597" s="67"/>
      <c r="U597" s="67"/>
      <c r="V597" s="67"/>
      <c r="W597" s="68"/>
      <c r="X597" s="73"/>
      <c r="Y597" s="67"/>
      <c r="Z597" s="67"/>
      <c r="AA597" s="67"/>
      <c r="AB597" s="66"/>
      <c r="AC597" s="67"/>
      <c r="AD597" s="67"/>
      <c r="AE597" s="68"/>
      <c r="AF597" s="67"/>
      <c r="AG597" s="68"/>
      <c r="AH597" s="67"/>
      <c r="AI597" s="67"/>
      <c r="AJ597" s="67"/>
      <c r="AK597" s="67"/>
      <c r="AL597" s="67"/>
      <c r="AM597" s="67"/>
      <c r="AN597" s="67"/>
      <c r="AO597" s="67"/>
      <c r="AP597" s="66"/>
      <c r="AQ597" s="66"/>
      <c r="AR597" s="66"/>
      <c r="AS597" s="66"/>
      <c r="AT597" s="66"/>
      <c r="AU597" s="66"/>
      <c r="AV597" s="66"/>
      <c r="AW597" s="66"/>
      <c r="AX597" s="66"/>
      <c r="AY597" s="66"/>
      <c r="AZ597" s="66"/>
      <c r="BA597" s="69"/>
      <c r="BB597" s="69"/>
      <c r="BC597" s="69"/>
      <c r="BD597" s="69"/>
    </row>
    <row r="598" spans="2:56" ht="21" customHeight="1" x14ac:dyDescent="0.25">
      <c r="B598" s="2"/>
      <c r="C598" s="8">
        <f>SUM(C594:C597)</f>
        <v>1</v>
      </c>
      <c r="F598" s="74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74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</row>
    <row r="599" spans="2:56" x14ac:dyDescent="0.25"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</row>
    <row r="600" spans="2:56" ht="15.75" x14ac:dyDescent="0.25">
      <c r="F600" s="82" t="s">
        <v>17</v>
      </c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3" t="s">
        <v>16</v>
      </c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79"/>
      <c r="AQ600" s="79"/>
      <c r="AR600" s="79"/>
      <c r="AS600" s="79"/>
      <c r="AT600" s="79"/>
      <c r="AU600" s="41"/>
      <c r="AV600" s="41"/>
      <c r="AW600" s="41"/>
      <c r="AX600" s="41"/>
      <c r="AY600" s="41"/>
      <c r="AZ600" s="41"/>
      <c r="BA600" s="41"/>
    </row>
    <row r="601" spans="2:56" ht="32.25" thickBot="1" x14ac:dyDescent="0.3">
      <c r="F601" s="81" t="s">
        <v>9</v>
      </c>
      <c r="G601" s="81"/>
      <c r="H601" s="81"/>
      <c r="I601" s="81"/>
      <c r="J601" s="81" t="s">
        <v>10</v>
      </c>
      <c r="K601" s="81"/>
      <c r="L601" s="81"/>
      <c r="M601" s="81"/>
      <c r="N601" s="81" t="s">
        <v>49</v>
      </c>
      <c r="O601" s="81"/>
      <c r="P601" s="81" t="s">
        <v>11</v>
      </c>
      <c r="Q601" s="81"/>
      <c r="R601" s="81"/>
      <c r="S601" s="81"/>
      <c r="T601" s="81"/>
      <c r="U601" s="81"/>
      <c r="V601" s="81"/>
      <c r="W601" s="81"/>
      <c r="X601" s="81" t="s">
        <v>9</v>
      </c>
      <c r="Y601" s="81"/>
      <c r="Z601" s="81"/>
      <c r="AA601" s="81"/>
      <c r="AB601" s="81" t="s">
        <v>10</v>
      </c>
      <c r="AC601" s="81"/>
      <c r="AD601" s="81"/>
      <c r="AE601" s="81"/>
      <c r="AF601" s="81" t="s">
        <v>49</v>
      </c>
      <c r="AG601" s="81"/>
      <c r="AH601" s="81" t="s">
        <v>11</v>
      </c>
      <c r="AI601" s="81"/>
      <c r="AJ601" s="81"/>
      <c r="AK601" s="81"/>
      <c r="AL601" s="81"/>
      <c r="AM601" s="81"/>
      <c r="AN601" s="81"/>
      <c r="AO601" s="81"/>
      <c r="AP601" s="70" t="s">
        <v>50</v>
      </c>
      <c r="AQ601" s="70" t="s">
        <v>57</v>
      </c>
      <c r="AR601" s="70" t="s">
        <v>63</v>
      </c>
      <c r="AS601" s="70" t="s">
        <v>64</v>
      </c>
      <c r="AT601" s="70" t="s">
        <v>61</v>
      </c>
      <c r="AU601" s="70" t="s">
        <v>54</v>
      </c>
      <c r="AV601" s="70" t="s">
        <v>19</v>
      </c>
      <c r="AW601" s="70" t="s">
        <v>58</v>
      </c>
      <c r="AX601" s="70" t="s">
        <v>51</v>
      </c>
      <c r="AY601" s="70" t="s">
        <v>53</v>
      </c>
      <c r="AZ601" s="70" t="s">
        <v>52</v>
      </c>
      <c r="BA601" s="70" t="s">
        <v>55</v>
      </c>
      <c r="BB601" s="70" t="s">
        <v>56</v>
      </c>
      <c r="BC601" s="70" t="s">
        <v>59</v>
      </c>
      <c r="BD601" s="70" t="s">
        <v>60</v>
      </c>
    </row>
    <row r="602" spans="2:56" ht="16.5" thickBot="1" x14ac:dyDescent="0.3">
      <c r="B602" s="16">
        <v>0.687500000000001</v>
      </c>
      <c r="C602" s="7" t="s">
        <v>5</v>
      </c>
      <c r="E602" s="11"/>
      <c r="F602" s="75" t="s">
        <v>15</v>
      </c>
      <c r="G602" s="58" t="s">
        <v>12</v>
      </c>
      <c r="H602" s="58" t="s">
        <v>14</v>
      </c>
      <c r="I602" s="58" t="s">
        <v>13</v>
      </c>
      <c r="J602" s="58" t="s">
        <v>42</v>
      </c>
      <c r="K602" s="58" t="s">
        <v>41</v>
      </c>
      <c r="L602" s="58" t="s">
        <v>43</v>
      </c>
      <c r="M602" s="58" t="s">
        <v>44</v>
      </c>
      <c r="N602" s="58" t="s">
        <v>15</v>
      </c>
      <c r="O602" s="58" t="s">
        <v>14</v>
      </c>
      <c r="P602" s="58" t="s">
        <v>45</v>
      </c>
      <c r="Q602" s="58" t="s">
        <v>46</v>
      </c>
      <c r="R602" s="58" t="s">
        <v>42</v>
      </c>
      <c r="S602" s="58" t="s">
        <v>41</v>
      </c>
      <c r="T602" s="58" t="s">
        <v>47</v>
      </c>
      <c r="U602" s="58" t="s">
        <v>48</v>
      </c>
      <c r="V602" s="58" t="s">
        <v>43</v>
      </c>
      <c r="W602" s="58" t="s">
        <v>44</v>
      </c>
      <c r="X602" s="75" t="s">
        <v>15</v>
      </c>
      <c r="Y602" s="58" t="s">
        <v>12</v>
      </c>
      <c r="Z602" s="58" t="s">
        <v>14</v>
      </c>
      <c r="AA602" s="58" t="s">
        <v>13</v>
      </c>
      <c r="AB602" s="58" t="s">
        <v>42</v>
      </c>
      <c r="AC602" s="58" t="s">
        <v>41</v>
      </c>
      <c r="AD602" s="58" t="s">
        <v>43</v>
      </c>
      <c r="AE602" s="58" t="s">
        <v>44</v>
      </c>
      <c r="AF602" s="58" t="s">
        <v>15</v>
      </c>
      <c r="AG602" s="58" t="s">
        <v>14</v>
      </c>
      <c r="AH602" s="58" t="s">
        <v>45</v>
      </c>
      <c r="AI602" s="58" t="s">
        <v>46</v>
      </c>
      <c r="AJ602" s="58" t="s">
        <v>42</v>
      </c>
      <c r="AK602" s="58" t="s">
        <v>41</v>
      </c>
      <c r="AL602" s="58" t="s">
        <v>47</v>
      </c>
      <c r="AM602" s="58" t="s">
        <v>48</v>
      </c>
      <c r="AN602" s="58" t="s">
        <v>43</v>
      </c>
      <c r="AO602" s="58" t="s">
        <v>44</v>
      </c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</row>
    <row r="603" spans="2:56" ht="16.5" customHeight="1" thickBot="1" x14ac:dyDescent="0.3">
      <c r="B603" s="1" t="s">
        <v>0</v>
      </c>
      <c r="C603" s="13">
        <f>SUM(F603:W603)</f>
        <v>2</v>
      </c>
      <c r="E603" s="10" t="s">
        <v>0</v>
      </c>
      <c r="F603" s="71"/>
      <c r="G603" s="60"/>
      <c r="H603" s="60"/>
      <c r="I603" s="61"/>
      <c r="J603" s="59"/>
      <c r="K603" s="60"/>
      <c r="L603" s="60"/>
      <c r="M603" s="60"/>
      <c r="N603" s="59"/>
      <c r="O603" s="61"/>
      <c r="P603" s="59"/>
      <c r="Q603" s="60"/>
      <c r="R603" s="60"/>
      <c r="S603" s="60"/>
      <c r="T603" s="60"/>
      <c r="U603" s="60"/>
      <c r="V603" s="60">
        <v>2</v>
      </c>
      <c r="W603" s="61"/>
      <c r="X603" s="71"/>
      <c r="Y603" s="60"/>
      <c r="Z603" s="60"/>
      <c r="AA603" s="60"/>
      <c r="AB603" s="59"/>
      <c r="AC603" s="60"/>
      <c r="AD603" s="60"/>
      <c r="AE603" s="61"/>
      <c r="AF603" s="60"/>
      <c r="AG603" s="61"/>
      <c r="AH603" s="60"/>
      <c r="AI603" s="60"/>
      <c r="AJ603" s="60"/>
      <c r="AK603" s="60"/>
      <c r="AL603" s="60"/>
      <c r="AM603" s="60">
        <v>2</v>
      </c>
      <c r="AN603" s="60"/>
      <c r="AO603" s="60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62">
        <v>1</v>
      </c>
      <c r="BB603" s="62"/>
      <c r="BC603" s="62"/>
      <c r="BD603" s="62"/>
    </row>
    <row r="604" spans="2:56" ht="16.5" customHeight="1" thickBot="1" x14ac:dyDescent="0.3">
      <c r="B604" s="1" t="s">
        <v>1</v>
      </c>
      <c r="C604" s="14">
        <f t="shared" ref="C604:C606" si="66">SUM(F604:W604)</f>
        <v>1</v>
      </c>
      <c r="E604" s="1" t="s">
        <v>1</v>
      </c>
      <c r="F604" s="72">
        <v>1</v>
      </c>
      <c r="G604" s="41"/>
      <c r="H604" s="41"/>
      <c r="I604" s="64"/>
      <c r="J604" s="63"/>
      <c r="K604" s="41"/>
      <c r="L604" s="41"/>
      <c r="M604" s="41"/>
      <c r="N604" s="63"/>
      <c r="O604" s="64"/>
      <c r="P604" s="63"/>
      <c r="Q604" s="41"/>
      <c r="R604" s="41"/>
      <c r="S604" s="41"/>
      <c r="T604" s="41"/>
      <c r="U604" s="41"/>
      <c r="V604" s="41"/>
      <c r="W604" s="64"/>
      <c r="X604" s="72"/>
      <c r="Y604" s="41"/>
      <c r="Z604" s="41">
        <v>1</v>
      </c>
      <c r="AA604" s="41"/>
      <c r="AB604" s="63"/>
      <c r="AC604" s="41"/>
      <c r="AD604" s="41"/>
      <c r="AE604" s="64"/>
      <c r="AF604" s="41"/>
      <c r="AG604" s="64"/>
      <c r="AH604" s="41"/>
      <c r="AI604" s="41"/>
      <c r="AJ604" s="41"/>
      <c r="AK604" s="41"/>
      <c r="AL604" s="41"/>
      <c r="AM604" s="41"/>
      <c r="AN604" s="41"/>
      <c r="AO604" s="41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5"/>
      <c r="BB604" s="65"/>
      <c r="BC604" s="65"/>
      <c r="BD604" s="65"/>
    </row>
    <row r="605" spans="2:56" ht="16.5" customHeight="1" thickBot="1" x14ac:dyDescent="0.3">
      <c r="B605" s="1" t="s">
        <v>2</v>
      </c>
      <c r="C605" s="14">
        <f t="shared" si="66"/>
        <v>1</v>
      </c>
      <c r="E605" s="1" t="s">
        <v>2</v>
      </c>
      <c r="F605" s="72"/>
      <c r="G605" s="41"/>
      <c r="H605" s="41"/>
      <c r="I605" s="64"/>
      <c r="J605" s="63"/>
      <c r="K605" s="41"/>
      <c r="L605" s="41"/>
      <c r="M605" s="41"/>
      <c r="N605" s="63"/>
      <c r="O605" s="64"/>
      <c r="P605" s="63"/>
      <c r="Q605" s="41"/>
      <c r="R605" s="41"/>
      <c r="S605" s="41"/>
      <c r="T605" s="41"/>
      <c r="U605" s="41"/>
      <c r="V605" s="41">
        <v>1</v>
      </c>
      <c r="W605" s="64"/>
      <c r="X605" s="72"/>
      <c r="Y605" s="41"/>
      <c r="Z605" s="41"/>
      <c r="AA605" s="41"/>
      <c r="AB605" s="63"/>
      <c r="AC605" s="41"/>
      <c r="AD605" s="41"/>
      <c r="AE605" s="64"/>
      <c r="AF605" s="41"/>
      <c r="AG605" s="64"/>
      <c r="AH605" s="41"/>
      <c r="AI605" s="41"/>
      <c r="AJ605" s="41"/>
      <c r="AK605" s="41">
        <v>1</v>
      </c>
      <c r="AL605" s="41"/>
      <c r="AM605" s="41"/>
      <c r="AN605" s="41"/>
      <c r="AO605" s="41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5"/>
      <c r="BB605" s="65"/>
      <c r="BC605" s="65"/>
      <c r="BD605" s="65"/>
    </row>
    <row r="606" spans="2:56" ht="16.5" customHeight="1" thickBot="1" x14ac:dyDescent="0.3">
      <c r="B606" s="1" t="s">
        <v>3</v>
      </c>
      <c r="C606" s="15">
        <f t="shared" si="66"/>
        <v>0</v>
      </c>
      <c r="E606" s="1" t="s">
        <v>3</v>
      </c>
      <c r="F606" s="73"/>
      <c r="G606" s="67"/>
      <c r="H606" s="67"/>
      <c r="I606" s="68"/>
      <c r="J606" s="66"/>
      <c r="K606" s="67"/>
      <c r="L606" s="67"/>
      <c r="M606" s="67"/>
      <c r="N606" s="66"/>
      <c r="O606" s="68"/>
      <c r="P606" s="66"/>
      <c r="Q606" s="67"/>
      <c r="R606" s="67"/>
      <c r="S606" s="67"/>
      <c r="T606" s="67"/>
      <c r="U606" s="67"/>
      <c r="V606" s="67"/>
      <c r="W606" s="68"/>
      <c r="X606" s="73"/>
      <c r="Y606" s="67"/>
      <c r="Z606" s="67"/>
      <c r="AA606" s="67"/>
      <c r="AB606" s="66"/>
      <c r="AC606" s="67"/>
      <c r="AD606" s="67"/>
      <c r="AE606" s="68"/>
      <c r="AF606" s="67"/>
      <c r="AG606" s="68"/>
      <c r="AH606" s="67"/>
      <c r="AI606" s="67"/>
      <c r="AJ606" s="67"/>
      <c r="AK606" s="67"/>
      <c r="AL606" s="67"/>
      <c r="AM606" s="67"/>
      <c r="AN606" s="67"/>
      <c r="AO606" s="67"/>
      <c r="AP606" s="66"/>
      <c r="AQ606" s="66"/>
      <c r="AR606" s="66"/>
      <c r="AS606" s="66"/>
      <c r="AT606" s="66"/>
      <c r="AU606" s="66"/>
      <c r="AV606" s="66"/>
      <c r="AW606" s="66"/>
      <c r="AX606" s="66"/>
      <c r="AY606" s="66"/>
      <c r="AZ606" s="66"/>
      <c r="BA606" s="69"/>
      <c r="BB606" s="69"/>
      <c r="BC606" s="69"/>
      <c r="BD606" s="69"/>
    </row>
    <row r="607" spans="2:56" ht="21" customHeight="1" x14ac:dyDescent="0.25">
      <c r="B607" s="2"/>
      <c r="C607" s="8">
        <f>SUM(C603:C606)</f>
        <v>4</v>
      </c>
      <c r="F607" s="74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74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</row>
    <row r="608" spans="2:56" x14ac:dyDescent="0.25"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</row>
    <row r="609" spans="2:56" ht="15.75" x14ac:dyDescent="0.25">
      <c r="F609" s="82" t="s">
        <v>17</v>
      </c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3" t="s">
        <v>16</v>
      </c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79"/>
      <c r="AQ609" s="79"/>
      <c r="AR609" s="79"/>
      <c r="AS609" s="79"/>
      <c r="AT609" s="79"/>
      <c r="AU609" s="41"/>
      <c r="AV609" s="41"/>
      <c r="AW609" s="41"/>
      <c r="AX609" s="41"/>
      <c r="AY609" s="41"/>
      <c r="AZ609" s="41"/>
      <c r="BA609" s="41"/>
    </row>
    <row r="610" spans="2:56" ht="32.25" thickBot="1" x14ac:dyDescent="0.3">
      <c r="F610" s="81" t="s">
        <v>9</v>
      </c>
      <c r="G610" s="81"/>
      <c r="H610" s="81"/>
      <c r="I610" s="81"/>
      <c r="J610" s="81" t="s">
        <v>10</v>
      </c>
      <c r="K610" s="81"/>
      <c r="L610" s="81"/>
      <c r="M610" s="81"/>
      <c r="N610" s="81" t="s">
        <v>49</v>
      </c>
      <c r="O610" s="81"/>
      <c r="P610" s="81" t="s">
        <v>11</v>
      </c>
      <c r="Q610" s="81"/>
      <c r="R610" s="81"/>
      <c r="S610" s="81"/>
      <c r="T610" s="81"/>
      <c r="U610" s="81"/>
      <c r="V610" s="81"/>
      <c r="W610" s="81"/>
      <c r="X610" s="81" t="s">
        <v>9</v>
      </c>
      <c r="Y610" s="81"/>
      <c r="Z610" s="81"/>
      <c r="AA610" s="81"/>
      <c r="AB610" s="81" t="s">
        <v>10</v>
      </c>
      <c r="AC610" s="81"/>
      <c r="AD610" s="81"/>
      <c r="AE610" s="81"/>
      <c r="AF610" s="81" t="s">
        <v>49</v>
      </c>
      <c r="AG610" s="81"/>
      <c r="AH610" s="81" t="s">
        <v>11</v>
      </c>
      <c r="AI610" s="81"/>
      <c r="AJ610" s="81"/>
      <c r="AK610" s="81"/>
      <c r="AL610" s="81"/>
      <c r="AM610" s="81"/>
      <c r="AN610" s="81"/>
      <c r="AO610" s="81"/>
      <c r="AP610" s="70" t="s">
        <v>50</v>
      </c>
      <c r="AQ610" s="70" t="s">
        <v>57</v>
      </c>
      <c r="AR610" s="70" t="s">
        <v>63</v>
      </c>
      <c r="AS610" s="70" t="s">
        <v>64</v>
      </c>
      <c r="AT610" s="70" t="s">
        <v>61</v>
      </c>
      <c r="AU610" s="70" t="s">
        <v>54</v>
      </c>
      <c r="AV610" s="70" t="s">
        <v>19</v>
      </c>
      <c r="AW610" s="70" t="s">
        <v>58</v>
      </c>
      <c r="AX610" s="70" t="s">
        <v>51</v>
      </c>
      <c r="AY610" s="70" t="s">
        <v>53</v>
      </c>
      <c r="AZ610" s="70" t="s">
        <v>52</v>
      </c>
      <c r="BA610" s="70" t="s">
        <v>55</v>
      </c>
      <c r="BB610" s="70" t="s">
        <v>56</v>
      </c>
      <c r="BC610" s="70" t="s">
        <v>59</v>
      </c>
      <c r="BD610" s="70" t="s">
        <v>60</v>
      </c>
    </row>
    <row r="611" spans="2:56" ht="16.5" thickBot="1" x14ac:dyDescent="0.3">
      <c r="B611" s="16">
        <v>0.69791666666666796</v>
      </c>
      <c r="C611" s="7" t="s">
        <v>5</v>
      </c>
      <c r="E611" s="11"/>
      <c r="F611" s="75" t="s">
        <v>15</v>
      </c>
      <c r="G611" s="58" t="s">
        <v>12</v>
      </c>
      <c r="H611" s="58" t="s">
        <v>14</v>
      </c>
      <c r="I611" s="58" t="s">
        <v>13</v>
      </c>
      <c r="J611" s="58" t="s">
        <v>42</v>
      </c>
      <c r="K611" s="58" t="s">
        <v>41</v>
      </c>
      <c r="L611" s="58" t="s">
        <v>43</v>
      </c>
      <c r="M611" s="58" t="s">
        <v>44</v>
      </c>
      <c r="N611" s="58" t="s">
        <v>15</v>
      </c>
      <c r="O611" s="58" t="s">
        <v>14</v>
      </c>
      <c r="P611" s="58" t="s">
        <v>45</v>
      </c>
      <c r="Q611" s="58" t="s">
        <v>46</v>
      </c>
      <c r="R611" s="58" t="s">
        <v>42</v>
      </c>
      <c r="S611" s="58" t="s">
        <v>41</v>
      </c>
      <c r="T611" s="58" t="s">
        <v>47</v>
      </c>
      <c r="U611" s="58" t="s">
        <v>48</v>
      </c>
      <c r="V611" s="58" t="s">
        <v>43</v>
      </c>
      <c r="W611" s="58" t="s">
        <v>44</v>
      </c>
      <c r="X611" s="75" t="s">
        <v>15</v>
      </c>
      <c r="Y611" s="58" t="s">
        <v>12</v>
      </c>
      <c r="Z611" s="58" t="s">
        <v>14</v>
      </c>
      <c r="AA611" s="58" t="s">
        <v>13</v>
      </c>
      <c r="AB611" s="58" t="s">
        <v>42</v>
      </c>
      <c r="AC611" s="58" t="s">
        <v>41</v>
      </c>
      <c r="AD611" s="58" t="s">
        <v>43</v>
      </c>
      <c r="AE611" s="58" t="s">
        <v>44</v>
      </c>
      <c r="AF611" s="58" t="s">
        <v>15</v>
      </c>
      <c r="AG611" s="58" t="s">
        <v>14</v>
      </c>
      <c r="AH611" s="58" t="s">
        <v>45</v>
      </c>
      <c r="AI611" s="58" t="s">
        <v>46</v>
      </c>
      <c r="AJ611" s="58" t="s">
        <v>42</v>
      </c>
      <c r="AK611" s="58" t="s">
        <v>41</v>
      </c>
      <c r="AL611" s="58" t="s">
        <v>47</v>
      </c>
      <c r="AM611" s="58" t="s">
        <v>48</v>
      </c>
      <c r="AN611" s="58" t="s">
        <v>43</v>
      </c>
      <c r="AO611" s="58" t="s">
        <v>44</v>
      </c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</row>
    <row r="612" spans="2:56" ht="16.5" customHeight="1" thickBot="1" x14ac:dyDescent="0.3">
      <c r="B612" s="1" t="s">
        <v>0</v>
      </c>
      <c r="C612" s="13">
        <f>SUM(F612:W612)</f>
        <v>11</v>
      </c>
      <c r="E612" s="10" t="s">
        <v>0</v>
      </c>
      <c r="F612" s="71"/>
      <c r="G612" s="60"/>
      <c r="H612" s="60"/>
      <c r="I612" s="61"/>
      <c r="J612" s="59"/>
      <c r="K612" s="60"/>
      <c r="L612" s="60"/>
      <c r="M612" s="60"/>
      <c r="N612" s="59">
        <v>2</v>
      </c>
      <c r="O612" s="61"/>
      <c r="P612" s="59">
        <v>1</v>
      </c>
      <c r="Q612" s="60">
        <v>4</v>
      </c>
      <c r="R612" s="60"/>
      <c r="S612" s="60"/>
      <c r="T612" s="60"/>
      <c r="U612" s="60">
        <v>3</v>
      </c>
      <c r="V612" s="60">
        <v>1</v>
      </c>
      <c r="W612" s="61"/>
      <c r="X612" s="71"/>
      <c r="Y612" s="60"/>
      <c r="Z612" s="60"/>
      <c r="AA612" s="60"/>
      <c r="AB612" s="59"/>
      <c r="AC612" s="60"/>
      <c r="AD612" s="60"/>
      <c r="AE612" s="61"/>
      <c r="AF612" s="60"/>
      <c r="AG612" s="61">
        <v>2</v>
      </c>
      <c r="AH612" s="60">
        <v>4</v>
      </c>
      <c r="AI612" s="60"/>
      <c r="AJ612" s="60">
        <v>1</v>
      </c>
      <c r="AK612" s="60">
        <v>1</v>
      </c>
      <c r="AL612" s="60">
        <v>1</v>
      </c>
      <c r="AM612" s="60">
        <v>2</v>
      </c>
      <c r="AN612" s="60"/>
      <c r="AO612" s="60"/>
      <c r="AP612" s="59">
        <v>4</v>
      </c>
      <c r="AQ612" s="59">
        <v>4</v>
      </c>
      <c r="AR612" s="59"/>
      <c r="AS612" s="59"/>
      <c r="AT612" s="59"/>
      <c r="AU612" s="59"/>
      <c r="AV612" s="59"/>
      <c r="AW612" s="59"/>
      <c r="AX612" s="59"/>
      <c r="AY612" s="59">
        <v>1</v>
      </c>
      <c r="AZ612" s="59">
        <v>1</v>
      </c>
      <c r="BA612" s="62">
        <v>2</v>
      </c>
      <c r="BB612" s="62"/>
      <c r="BC612" s="62"/>
      <c r="BD612" s="62"/>
    </row>
    <row r="613" spans="2:56" ht="16.5" customHeight="1" thickBot="1" x14ac:dyDescent="0.3">
      <c r="B613" s="1" t="s">
        <v>1</v>
      </c>
      <c r="C613" s="14">
        <f t="shared" ref="C613:C615" si="67">SUM(F613:W613)</f>
        <v>1</v>
      </c>
      <c r="E613" s="1" t="s">
        <v>1</v>
      </c>
      <c r="F613" s="72">
        <v>1</v>
      </c>
      <c r="G613" s="41"/>
      <c r="H613" s="41"/>
      <c r="I613" s="64"/>
      <c r="J613" s="63"/>
      <c r="K613" s="41"/>
      <c r="L613" s="41"/>
      <c r="M613" s="41"/>
      <c r="N613" s="63"/>
      <c r="O613" s="64"/>
      <c r="P613" s="63"/>
      <c r="Q613" s="41"/>
      <c r="R613" s="41"/>
      <c r="S613" s="41"/>
      <c r="T613" s="41"/>
      <c r="U613" s="41"/>
      <c r="V613" s="41"/>
      <c r="W613" s="64"/>
      <c r="X613" s="72"/>
      <c r="Y613" s="41"/>
      <c r="Z613" s="41">
        <v>1</v>
      </c>
      <c r="AA613" s="41"/>
      <c r="AB613" s="63"/>
      <c r="AC613" s="41"/>
      <c r="AD613" s="41"/>
      <c r="AE613" s="64"/>
      <c r="AF613" s="41"/>
      <c r="AG613" s="64"/>
      <c r="AH613" s="41"/>
      <c r="AI613" s="41"/>
      <c r="AJ613" s="41"/>
      <c r="AK613" s="41"/>
      <c r="AL613" s="41"/>
      <c r="AM613" s="41"/>
      <c r="AN613" s="41"/>
      <c r="AO613" s="41"/>
      <c r="AP613" s="63"/>
      <c r="AQ613" s="63">
        <v>1</v>
      </c>
      <c r="AR613" s="63"/>
      <c r="AS613" s="63"/>
      <c r="AT613" s="63">
        <v>1</v>
      </c>
      <c r="AU613" s="63"/>
      <c r="AV613" s="63"/>
      <c r="AW613" s="63"/>
      <c r="AX613" s="63"/>
      <c r="AY613" s="63"/>
      <c r="AZ613" s="63"/>
      <c r="BA613" s="65"/>
      <c r="BB613" s="65"/>
      <c r="BC613" s="65"/>
      <c r="BD613" s="65"/>
    </row>
    <row r="614" spans="2:56" ht="16.5" customHeight="1" thickBot="1" x14ac:dyDescent="0.3">
      <c r="B614" s="1" t="s">
        <v>2</v>
      </c>
      <c r="C614" s="14">
        <f t="shared" si="67"/>
        <v>0</v>
      </c>
      <c r="E614" s="1" t="s">
        <v>2</v>
      </c>
      <c r="F614" s="72"/>
      <c r="G614" s="41"/>
      <c r="H614" s="41"/>
      <c r="I614" s="64"/>
      <c r="J614" s="63"/>
      <c r="K614" s="41"/>
      <c r="L614" s="41"/>
      <c r="M614" s="41"/>
      <c r="N614" s="63"/>
      <c r="O614" s="64"/>
      <c r="P614" s="63"/>
      <c r="Q614" s="41"/>
      <c r="R614" s="41"/>
      <c r="S614" s="41"/>
      <c r="T614" s="41"/>
      <c r="U614" s="41"/>
      <c r="V614" s="41"/>
      <c r="W614" s="64"/>
      <c r="X614" s="72"/>
      <c r="Y614" s="41"/>
      <c r="Z614" s="41"/>
      <c r="AA614" s="41"/>
      <c r="AB614" s="63"/>
      <c r="AC614" s="41"/>
      <c r="AD614" s="41"/>
      <c r="AE614" s="64"/>
      <c r="AF614" s="41"/>
      <c r="AG614" s="64"/>
      <c r="AH614" s="41"/>
      <c r="AI614" s="41"/>
      <c r="AJ614" s="41"/>
      <c r="AK614" s="41"/>
      <c r="AL614" s="41"/>
      <c r="AM614" s="41"/>
      <c r="AN614" s="41"/>
      <c r="AO614" s="41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5"/>
      <c r="BB614" s="65"/>
      <c r="BC614" s="65"/>
      <c r="BD614" s="65"/>
    </row>
    <row r="615" spans="2:56" ht="16.5" customHeight="1" thickBot="1" x14ac:dyDescent="0.3">
      <c r="B615" s="1" t="s">
        <v>3</v>
      </c>
      <c r="C615" s="15">
        <f t="shared" si="67"/>
        <v>0</v>
      </c>
      <c r="E615" s="1" t="s">
        <v>3</v>
      </c>
      <c r="F615" s="73"/>
      <c r="G615" s="67"/>
      <c r="H615" s="67"/>
      <c r="I615" s="68"/>
      <c r="J615" s="66"/>
      <c r="K615" s="67"/>
      <c r="L615" s="67"/>
      <c r="M615" s="67"/>
      <c r="N615" s="66"/>
      <c r="O615" s="68"/>
      <c r="P615" s="66"/>
      <c r="Q615" s="67"/>
      <c r="R615" s="67"/>
      <c r="S615" s="67"/>
      <c r="T615" s="67"/>
      <c r="U615" s="67"/>
      <c r="V615" s="67"/>
      <c r="W615" s="68"/>
      <c r="X615" s="73"/>
      <c r="Y615" s="67"/>
      <c r="Z615" s="67"/>
      <c r="AA615" s="67"/>
      <c r="AB615" s="66"/>
      <c r="AC615" s="67"/>
      <c r="AD615" s="67"/>
      <c r="AE615" s="68"/>
      <c r="AF615" s="67"/>
      <c r="AG615" s="68"/>
      <c r="AH615" s="67"/>
      <c r="AI615" s="67"/>
      <c r="AJ615" s="67"/>
      <c r="AK615" s="67"/>
      <c r="AL615" s="67"/>
      <c r="AM615" s="67"/>
      <c r="AN615" s="67"/>
      <c r="AO615" s="67"/>
      <c r="AP615" s="66"/>
      <c r="AQ615" s="66"/>
      <c r="AR615" s="66"/>
      <c r="AS615" s="66"/>
      <c r="AT615" s="66"/>
      <c r="AU615" s="66"/>
      <c r="AV615" s="66"/>
      <c r="AW615" s="66"/>
      <c r="AX615" s="66"/>
      <c r="AY615" s="66"/>
      <c r="AZ615" s="66"/>
      <c r="BA615" s="69"/>
      <c r="BB615" s="69"/>
      <c r="BC615" s="69"/>
      <c r="BD615" s="69"/>
    </row>
    <row r="616" spans="2:56" ht="21" customHeight="1" x14ac:dyDescent="0.25">
      <c r="B616" s="2"/>
      <c r="C616" s="8">
        <f>SUM(C612:C615)</f>
        <v>12</v>
      </c>
      <c r="F616" s="74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74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</row>
    <row r="617" spans="2:56" x14ac:dyDescent="0.25"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</row>
    <row r="618" spans="2:56" ht="15.75" x14ac:dyDescent="0.25">
      <c r="F618" s="82" t="s">
        <v>17</v>
      </c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3" t="s">
        <v>16</v>
      </c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79"/>
      <c r="AQ618" s="79"/>
      <c r="AR618" s="79"/>
      <c r="AS618" s="79"/>
      <c r="AT618" s="79"/>
      <c r="AU618" s="41"/>
      <c r="AV618" s="41"/>
      <c r="AW618" s="41"/>
      <c r="AX618" s="41"/>
      <c r="AY618" s="41"/>
      <c r="AZ618" s="41"/>
      <c r="BA618" s="41"/>
    </row>
    <row r="619" spans="2:56" ht="32.25" thickBot="1" x14ac:dyDescent="0.3">
      <c r="F619" s="81" t="s">
        <v>9</v>
      </c>
      <c r="G619" s="81"/>
      <c r="H619" s="81"/>
      <c r="I619" s="81"/>
      <c r="J619" s="81" t="s">
        <v>10</v>
      </c>
      <c r="K619" s="81"/>
      <c r="L619" s="81"/>
      <c r="M619" s="81"/>
      <c r="N619" s="81" t="s">
        <v>49</v>
      </c>
      <c r="O619" s="81"/>
      <c r="P619" s="81" t="s">
        <v>11</v>
      </c>
      <c r="Q619" s="81"/>
      <c r="R619" s="81"/>
      <c r="S619" s="81"/>
      <c r="T619" s="81"/>
      <c r="U619" s="81"/>
      <c r="V619" s="81"/>
      <c r="W619" s="81"/>
      <c r="X619" s="81" t="s">
        <v>9</v>
      </c>
      <c r="Y619" s="81"/>
      <c r="Z619" s="81"/>
      <c r="AA619" s="81"/>
      <c r="AB619" s="81" t="s">
        <v>10</v>
      </c>
      <c r="AC619" s="81"/>
      <c r="AD619" s="81"/>
      <c r="AE619" s="81"/>
      <c r="AF619" s="81" t="s">
        <v>49</v>
      </c>
      <c r="AG619" s="81"/>
      <c r="AH619" s="81" t="s">
        <v>11</v>
      </c>
      <c r="AI619" s="81"/>
      <c r="AJ619" s="81"/>
      <c r="AK619" s="81"/>
      <c r="AL619" s="81"/>
      <c r="AM619" s="81"/>
      <c r="AN619" s="81"/>
      <c r="AO619" s="81"/>
      <c r="AP619" s="70" t="s">
        <v>50</v>
      </c>
      <c r="AQ619" s="70" t="s">
        <v>57</v>
      </c>
      <c r="AR619" s="70" t="s">
        <v>63</v>
      </c>
      <c r="AS619" s="70" t="s">
        <v>64</v>
      </c>
      <c r="AT619" s="70" t="s">
        <v>61</v>
      </c>
      <c r="AU619" s="70" t="s">
        <v>54</v>
      </c>
      <c r="AV619" s="70" t="s">
        <v>19</v>
      </c>
      <c r="AW619" s="70" t="s">
        <v>58</v>
      </c>
      <c r="AX619" s="70" t="s">
        <v>51</v>
      </c>
      <c r="AY619" s="70" t="s">
        <v>53</v>
      </c>
      <c r="AZ619" s="70" t="s">
        <v>52</v>
      </c>
      <c r="BA619" s="70" t="s">
        <v>55</v>
      </c>
      <c r="BB619" s="70" t="s">
        <v>56</v>
      </c>
      <c r="BC619" s="70" t="s">
        <v>59</v>
      </c>
      <c r="BD619" s="70" t="s">
        <v>60</v>
      </c>
    </row>
    <row r="620" spans="2:56" ht="16.5" thickBot="1" x14ac:dyDescent="0.3">
      <c r="B620" s="17">
        <v>0.70833333333333504</v>
      </c>
      <c r="C620" s="7" t="s">
        <v>5</v>
      </c>
      <c r="E620" s="11"/>
      <c r="F620" s="75" t="s">
        <v>15</v>
      </c>
      <c r="G620" s="58" t="s">
        <v>12</v>
      </c>
      <c r="H620" s="58" t="s">
        <v>14</v>
      </c>
      <c r="I620" s="58" t="s">
        <v>13</v>
      </c>
      <c r="J620" s="58" t="s">
        <v>42</v>
      </c>
      <c r="K620" s="58" t="s">
        <v>41</v>
      </c>
      <c r="L620" s="58" t="s">
        <v>43</v>
      </c>
      <c r="M620" s="58" t="s">
        <v>44</v>
      </c>
      <c r="N620" s="58" t="s">
        <v>15</v>
      </c>
      <c r="O620" s="58" t="s">
        <v>14</v>
      </c>
      <c r="P620" s="58" t="s">
        <v>45</v>
      </c>
      <c r="Q620" s="58" t="s">
        <v>46</v>
      </c>
      <c r="R620" s="58" t="s">
        <v>42</v>
      </c>
      <c r="S620" s="58" t="s">
        <v>41</v>
      </c>
      <c r="T620" s="58" t="s">
        <v>47</v>
      </c>
      <c r="U620" s="58" t="s">
        <v>48</v>
      </c>
      <c r="V620" s="58" t="s">
        <v>43</v>
      </c>
      <c r="W620" s="58" t="s">
        <v>44</v>
      </c>
      <c r="X620" s="75" t="s">
        <v>15</v>
      </c>
      <c r="Y620" s="58" t="s">
        <v>12</v>
      </c>
      <c r="Z620" s="58" t="s">
        <v>14</v>
      </c>
      <c r="AA620" s="58" t="s">
        <v>13</v>
      </c>
      <c r="AB620" s="58" t="s">
        <v>42</v>
      </c>
      <c r="AC620" s="58" t="s">
        <v>41</v>
      </c>
      <c r="AD620" s="58" t="s">
        <v>43</v>
      </c>
      <c r="AE620" s="58" t="s">
        <v>44</v>
      </c>
      <c r="AF620" s="58" t="s">
        <v>15</v>
      </c>
      <c r="AG620" s="58" t="s">
        <v>14</v>
      </c>
      <c r="AH620" s="58" t="s">
        <v>45</v>
      </c>
      <c r="AI620" s="58" t="s">
        <v>46</v>
      </c>
      <c r="AJ620" s="58" t="s">
        <v>42</v>
      </c>
      <c r="AK620" s="58" t="s">
        <v>41</v>
      </c>
      <c r="AL620" s="58" t="s">
        <v>47</v>
      </c>
      <c r="AM620" s="58" t="s">
        <v>48</v>
      </c>
      <c r="AN620" s="58" t="s">
        <v>43</v>
      </c>
      <c r="AO620" s="58" t="s">
        <v>44</v>
      </c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</row>
    <row r="621" spans="2:56" ht="16.5" customHeight="1" thickBot="1" x14ac:dyDescent="0.3">
      <c r="B621" s="1" t="s">
        <v>0</v>
      </c>
      <c r="C621" s="13">
        <f>SUM(F621:W621)</f>
        <v>3</v>
      </c>
      <c r="E621" s="10" t="s">
        <v>0</v>
      </c>
      <c r="F621" s="71"/>
      <c r="G621" s="60"/>
      <c r="H621" s="60"/>
      <c r="I621" s="61"/>
      <c r="J621" s="59"/>
      <c r="K621" s="60"/>
      <c r="L621" s="60"/>
      <c r="M621" s="60"/>
      <c r="N621" s="59"/>
      <c r="O621" s="61"/>
      <c r="P621" s="59"/>
      <c r="Q621" s="60">
        <v>2</v>
      </c>
      <c r="R621" s="60"/>
      <c r="S621" s="60"/>
      <c r="T621" s="60"/>
      <c r="U621" s="60"/>
      <c r="V621" s="60">
        <v>1</v>
      </c>
      <c r="W621" s="61"/>
      <c r="X621" s="71"/>
      <c r="Y621" s="60"/>
      <c r="Z621" s="60"/>
      <c r="AA621" s="60"/>
      <c r="AB621" s="59"/>
      <c r="AC621" s="60"/>
      <c r="AD621" s="60"/>
      <c r="AE621" s="61"/>
      <c r="AF621" s="60"/>
      <c r="AG621" s="61"/>
      <c r="AH621" s="60"/>
      <c r="AI621" s="60">
        <v>1</v>
      </c>
      <c r="AJ621" s="60"/>
      <c r="AK621" s="60"/>
      <c r="AL621" s="60">
        <v>2</v>
      </c>
      <c r="AM621" s="60"/>
      <c r="AN621" s="60"/>
      <c r="AO621" s="60"/>
      <c r="AP621" s="59">
        <v>1</v>
      </c>
      <c r="AQ621" s="59">
        <v>2</v>
      </c>
      <c r="AR621" s="59"/>
      <c r="AS621" s="59"/>
      <c r="AT621" s="59"/>
      <c r="AU621" s="59"/>
      <c r="AV621" s="59"/>
      <c r="AW621" s="59"/>
      <c r="AX621" s="59"/>
      <c r="AY621" s="59">
        <v>1</v>
      </c>
      <c r="AZ621" s="59"/>
      <c r="BA621" s="62">
        <v>1</v>
      </c>
      <c r="BB621" s="62"/>
      <c r="BC621" s="62"/>
      <c r="BD621" s="62"/>
    </row>
    <row r="622" spans="2:56" ht="16.5" customHeight="1" thickBot="1" x14ac:dyDescent="0.3">
      <c r="B622" s="1" t="s">
        <v>1</v>
      </c>
      <c r="C622" s="14">
        <f t="shared" ref="C622:C624" si="68">SUM(F622:W622)</f>
        <v>2</v>
      </c>
      <c r="E622" s="1" t="s">
        <v>1</v>
      </c>
      <c r="F622" s="72"/>
      <c r="G622" s="41"/>
      <c r="H622" s="41"/>
      <c r="I622" s="64"/>
      <c r="J622" s="63"/>
      <c r="K622" s="41"/>
      <c r="L622" s="41"/>
      <c r="M622" s="41"/>
      <c r="N622" s="63"/>
      <c r="O622" s="64">
        <v>2</v>
      </c>
      <c r="P622" s="63"/>
      <c r="Q622" s="41"/>
      <c r="R622" s="41"/>
      <c r="S622" s="41"/>
      <c r="T622" s="41"/>
      <c r="U622" s="41"/>
      <c r="V622" s="41"/>
      <c r="W622" s="64"/>
      <c r="X622" s="72"/>
      <c r="Y622" s="41"/>
      <c r="Z622" s="41"/>
      <c r="AA622" s="41"/>
      <c r="AB622" s="63"/>
      <c r="AC622" s="41"/>
      <c r="AD622" s="41"/>
      <c r="AE622" s="64"/>
      <c r="AF622" s="41">
        <v>2</v>
      </c>
      <c r="AG622" s="64"/>
      <c r="AH622" s="41"/>
      <c r="AI622" s="41"/>
      <c r="AJ622" s="41"/>
      <c r="AK622" s="41"/>
      <c r="AL622" s="41"/>
      <c r="AM622" s="41"/>
      <c r="AN622" s="41"/>
      <c r="AO622" s="41"/>
      <c r="AP622" s="63"/>
      <c r="AQ622" s="63">
        <v>1</v>
      </c>
      <c r="AR622" s="63"/>
      <c r="AS622" s="63"/>
      <c r="AT622" s="63"/>
      <c r="AU622" s="63"/>
      <c r="AV622" s="63"/>
      <c r="AW622" s="63"/>
      <c r="AX622" s="63"/>
      <c r="AY622" s="63"/>
      <c r="AZ622" s="63"/>
      <c r="BA622" s="65"/>
      <c r="BB622" s="65"/>
      <c r="BC622" s="65"/>
      <c r="BD622" s="65"/>
    </row>
    <row r="623" spans="2:56" ht="16.5" customHeight="1" thickBot="1" x14ac:dyDescent="0.3">
      <c r="B623" s="1" t="s">
        <v>2</v>
      </c>
      <c r="C623" s="14">
        <f t="shared" si="68"/>
        <v>0</v>
      </c>
      <c r="E623" s="1" t="s">
        <v>2</v>
      </c>
      <c r="F623" s="72"/>
      <c r="G623" s="41"/>
      <c r="H623" s="41"/>
      <c r="I623" s="64"/>
      <c r="J623" s="63"/>
      <c r="K623" s="41"/>
      <c r="L623" s="41"/>
      <c r="M623" s="41"/>
      <c r="N623" s="63"/>
      <c r="O623" s="64"/>
      <c r="P623" s="63"/>
      <c r="Q623" s="41"/>
      <c r="R623" s="41"/>
      <c r="S623" s="41"/>
      <c r="T623" s="41"/>
      <c r="U623" s="41"/>
      <c r="V623" s="41"/>
      <c r="W623" s="64"/>
      <c r="X623" s="72"/>
      <c r="Y623" s="41"/>
      <c r="Z623" s="41"/>
      <c r="AA623" s="41"/>
      <c r="AB623" s="63"/>
      <c r="AC623" s="41"/>
      <c r="AD623" s="41"/>
      <c r="AE623" s="64"/>
      <c r="AF623" s="41"/>
      <c r="AG623" s="64"/>
      <c r="AH623" s="41"/>
      <c r="AI623" s="41"/>
      <c r="AJ623" s="41"/>
      <c r="AK623" s="41"/>
      <c r="AL623" s="41"/>
      <c r="AM623" s="41"/>
      <c r="AN623" s="41"/>
      <c r="AO623" s="41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5"/>
      <c r="BB623" s="65"/>
      <c r="BC623" s="65"/>
      <c r="BD623" s="65"/>
    </row>
    <row r="624" spans="2:56" ht="16.5" customHeight="1" thickBot="1" x14ac:dyDescent="0.3">
      <c r="B624" s="1" t="s">
        <v>3</v>
      </c>
      <c r="C624" s="15">
        <f t="shared" si="68"/>
        <v>0</v>
      </c>
      <c r="E624" s="1" t="s">
        <v>3</v>
      </c>
      <c r="F624" s="73"/>
      <c r="G624" s="67"/>
      <c r="H624" s="67"/>
      <c r="I624" s="68"/>
      <c r="J624" s="66"/>
      <c r="K624" s="67"/>
      <c r="L624" s="67"/>
      <c r="M624" s="67"/>
      <c r="N624" s="66"/>
      <c r="O624" s="68"/>
      <c r="P624" s="66"/>
      <c r="Q624" s="67"/>
      <c r="R624" s="67"/>
      <c r="S624" s="67"/>
      <c r="T624" s="67"/>
      <c r="U624" s="67"/>
      <c r="V624" s="67"/>
      <c r="W624" s="68"/>
      <c r="X624" s="73"/>
      <c r="Y624" s="67"/>
      <c r="Z624" s="67"/>
      <c r="AA624" s="67"/>
      <c r="AB624" s="66"/>
      <c r="AC624" s="67"/>
      <c r="AD624" s="67"/>
      <c r="AE624" s="68"/>
      <c r="AF624" s="67"/>
      <c r="AG624" s="68"/>
      <c r="AH624" s="67"/>
      <c r="AI624" s="67"/>
      <c r="AJ624" s="67"/>
      <c r="AK624" s="67"/>
      <c r="AL624" s="67"/>
      <c r="AM624" s="67"/>
      <c r="AN624" s="67"/>
      <c r="AO624" s="67"/>
      <c r="AP624" s="66"/>
      <c r="AQ624" s="66"/>
      <c r="AR624" s="66"/>
      <c r="AS624" s="66"/>
      <c r="AT624" s="66"/>
      <c r="AU624" s="66"/>
      <c r="AV624" s="66"/>
      <c r="AW624" s="66"/>
      <c r="AX624" s="66"/>
      <c r="AY624" s="66"/>
      <c r="AZ624" s="66"/>
      <c r="BA624" s="69"/>
      <c r="BB624" s="69"/>
      <c r="BC624" s="69"/>
      <c r="BD624" s="69"/>
    </row>
    <row r="625" spans="2:56" ht="21" customHeight="1" x14ac:dyDescent="0.25">
      <c r="B625" s="2"/>
      <c r="C625" s="8">
        <f>SUM(C621:C624)</f>
        <v>5</v>
      </c>
      <c r="F625" s="74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74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</row>
    <row r="626" spans="2:56" x14ac:dyDescent="0.25"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</row>
    <row r="627" spans="2:56" ht="15.75" x14ac:dyDescent="0.25">
      <c r="F627" s="82" t="s">
        <v>17</v>
      </c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3" t="s">
        <v>16</v>
      </c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79"/>
      <c r="AQ627" s="79"/>
      <c r="AR627" s="79"/>
      <c r="AS627" s="79"/>
      <c r="AT627" s="79"/>
      <c r="AU627" s="41"/>
      <c r="AV627" s="41"/>
      <c r="AW627" s="41"/>
      <c r="AX627" s="41"/>
      <c r="AY627" s="41"/>
      <c r="AZ627" s="41"/>
      <c r="BA627" s="41"/>
    </row>
    <row r="628" spans="2:56" ht="32.25" thickBot="1" x14ac:dyDescent="0.3">
      <c r="F628" s="81" t="s">
        <v>9</v>
      </c>
      <c r="G628" s="81"/>
      <c r="H628" s="81"/>
      <c r="I628" s="81"/>
      <c r="J628" s="81" t="s">
        <v>10</v>
      </c>
      <c r="K628" s="81"/>
      <c r="L628" s="81"/>
      <c r="M628" s="81"/>
      <c r="N628" s="81" t="s">
        <v>49</v>
      </c>
      <c r="O628" s="81"/>
      <c r="P628" s="81" t="s">
        <v>11</v>
      </c>
      <c r="Q628" s="81"/>
      <c r="R628" s="81"/>
      <c r="S628" s="81"/>
      <c r="T628" s="81"/>
      <c r="U628" s="81"/>
      <c r="V628" s="81"/>
      <c r="W628" s="81"/>
      <c r="X628" s="81" t="s">
        <v>9</v>
      </c>
      <c r="Y628" s="81"/>
      <c r="Z628" s="81"/>
      <c r="AA628" s="81"/>
      <c r="AB628" s="81" t="s">
        <v>10</v>
      </c>
      <c r="AC628" s="81"/>
      <c r="AD628" s="81"/>
      <c r="AE628" s="81"/>
      <c r="AF628" s="81" t="s">
        <v>49</v>
      </c>
      <c r="AG628" s="81"/>
      <c r="AH628" s="81" t="s">
        <v>11</v>
      </c>
      <c r="AI628" s="81"/>
      <c r="AJ628" s="81"/>
      <c r="AK628" s="81"/>
      <c r="AL628" s="81"/>
      <c r="AM628" s="81"/>
      <c r="AN628" s="81"/>
      <c r="AO628" s="81"/>
      <c r="AP628" s="70" t="s">
        <v>50</v>
      </c>
      <c r="AQ628" s="70" t="s">
        <v>57</v>
      </c>
      <c r="AR628" s="70" t="s">
        <v>63</v>
      </c>
      <c r="AS628" s="70" t="s">
        <v>64</v>
      </c>
      <c r="AT628" s="70" t="s">
        <v>61</v>
      </c>
      <c r="AU628" s="70" t="s">
        <v>54</v>
      </c>
      <c r="AV628" s="70" t="s">
        <v>19</v>
      </c>
      <c r="AW628" s="70" t="s">
        <v>58</v>
      </c>
      <c r="AX628" s="70" t="s">
        <v>51</v>
      </c>
      <c r="AY628" s="70" t="s">
        <v>53</v>
      </c>
      <c r="AZ628" s="70" t="s">
        <v>52</v>
      </c>
      <c r="BA628" s="70" t="s">
        <v>55</v>
      </c>
      <c r="BB628" s="70" t="s">
        <v>56</v>
      </c>
      <c r="BC628" s="70" t="s">
        <v>59</v>
      </c>
      <c r="BD628" s="70" t="s">
        <v>60</v>
      </c>
    </row>
    <row r="629" spans="2:56" ht="16.5" thickBot="1" x14ac:dyDescent="0.3">
      <c r="B629" s="17">
        <v>0.718750000000002</v>
      </c>
      <c r="C629" s="7" t="s">
        <v>5</v>
      </c>
      <c r="E629" s="11"/>
      <c r="F629" s="75" t="s">
        <v>15</v>
      </c>
      <c r="G629" s="58" t="s">
        <v>12</v>
      </c>
      <c r="H629" s="58" t="s">
        <v>14</v>
      </c>
      <c r="I629" s="58" t="s">
        <v>13</v>
      </c>
      <c r="J629" s="58" t="s">
        <v>42</v>
      </c>
      <c r="K629" s="58" t="s">
        <v>41</v>
      </c>
      <c r="L629" s="58" t="s">
        <v>43</v>
      </c>
      <c r="M629" s="58" t="s">
        <v>44</v>
      </c>
      <c r="N629" s="58" t="s">
        <v>15</v>
      </c>
      <c r="O629" s="58" t="s">
        <v>14</v>
      </c>
      <c r="P629" s="58" t="s">
        <v>45</v>
      </c>
      <c r="Q629" s="58" t="s">
        <v>46</v>
      </c>
      <c r="R629" s="58" t="s">
        <v>42</v>
      </c>
      <c r="S629" s="58" t="s">
        <v>41</v>
      </c>
      <c r="T629" s="58" t="s">
        <v>47</v>
      </c>
      <c r="U629" s="58" t="s">
        <v>48</v>
      </c>
      <c r="V629" s="58" t="s">
        <v>43</v>
      </c>
      <c r="W629" s="58" t="s">
        <v>44</v>
      </c>
      <c r="X629" s="75" t="s">
        <v>15</v>
      </c>
      <c r="Y629" s="58" t="s">
        <v>12</v>
      </c>
      <c r="Z629" s="58" t="s">
        <v>14</v>
      </c>
      <c r="AA629" s="58" t="s">
        <v>13</v>
      </c>
      <c r="AB629" s="58" t="s">
        <v>42</v>
      </c>
      <c r="AC629" s="58" t="s">
        <v>41</v>
      </c>
      <c r="AD629" s="58" t="s">
        <v>43</v>
      </c>
      <c r="AE629" s="58" t="s">
        <v>44</v>
      </c>
      <c r="AF629" s="58" t="s">
        <v>15</v>
      </c>
      <c r="AG629" s="58" t="s">
        <v>14</v>
      </c>
      <c r="AH629" s="58" t="s">
        <v>45</v>
      </c>
      <c r="AI629" s="58" t="s">
        <v>46</v>
      </c>
      <c r="AJ629" s="58" t="s">
        <v>42</v>
      </c>
      <c r="AK629" s="58" t="s">
        <v>41</v>
      </c>
      <c r="AL629" s="58" t="s">
        <v>47</v>
      </c>
      <c r="AM629" s="58" t="s">
        <v>48</v>
      </c>
      <c r="AN629" s="58" t="s">
        <v>43</v>
      </c>
      <c r="AO629" s="58" t="s">
        <v>44</v>
      </c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</row>
    <row r="630" spans="2:56" ht="16.5" customHeight="1" thickBot="1" x14ac:dyDescent="0.3">
      <c r="B630" s="1" t="s">
        <v>0</v>
      </c>
      <c r="C630" s="13">
        <f>SUM(F630:W630)</f>
        <v>4</v>
      </c>
      <c r="E630" s="10" t="s">
        <v>0</v>
      </c>
      <c r="F630" s="71"/>
      <c r="G630" s="60"/>
      <c r="H630" s="60"/>
      <c r="I630" s="61"/>
      <c r="J630" s="59"/>
      <c r="K630" s="60"/>
      <c r="L630" s="60"/>
      <c r="M630" s="60"/>
      <c r="N630" s="59">
        <v>1</v>
      </c>
      <c r="O630" s="61"/>
      <c r="P630" s="59"/>
      <c r="Q630" s="60"/>
      <c r="R630" s="60">
        <v>3</v>
      </c>
      <c r="S630" s="60"/>
      <c r="T630" s="60"/>
      <c r="U630" s="60"/>
      <c r="V630" s="60"/>
      <c r="W630" s="61"/>
      <c r="X630" s="71"/>
      <c r="Y630" s="60"/>
      <c r="Z630" s="60"/>
      <c r="AA630" s="60"/>
      <c r="AB630" s="59"/>
      <c r="AC630" s="60"/>
      <c r="AD630" s="60"/>
      <c r="AE630" s="61"/>
      <c r="AF630" s="60"/>
      <c r="AG630" s="61">
        <v>1</v>
      </c>
      <c r="AH630" s="60"/>
      <c r="AI630" s="60">
        <v>3</v>
      </c>
      <c r="AJ630" s="60"/>
      <c r="AK630" s="60"/>
      <c r="AL630" s="60"/>
      <c r="AM630" s="60"/>
      <c r="AN630" s="60"/>
      <c r="AO630" s="60"/>
      <c r="AP630" s="59"/>
      <c r="AQ630" s="59">
        <v>2</v>
      </c>
      <c r="AR630" s="59"/>
      <c r="AS630" s="59"/>
      <c r="AT630" s="59"/>
      <c r="AU630" s="59"/>
      <c r="AV630" s="59"/>
      <c r="AW630" s="59"/>
      <c r="AX630" s="59"/>
      <c r="AY630" s="59"/>
      <c r="AZ630" s="59">
        <v>1</v>
      </c>
      <c r="BA630" s="62">
        <v>1</v>
      </c>
      <c r="BB630" s="62"/>
      <c r="BC630" s="62"/>
      <c r="BD630" s="62"/>
    </row>
    <row r="631" spans="2:56" ht="16.5" customHeight="1" thickBot="1" x14ac:dyDescent="0.3">
      <c r="B631" s="1" t="s">
        <v>1</v>
      </c>
      <c r="C631" s="14">
        <f t="shared" ref="C631:C633" si="69">SUM(F631:W631)</f>
        <v>2</v>
      </c>
      <c r="E631" s="1" t="s">
        <v>1</v>
      </c>
      <c r="F631" s="72"/>
      <c r="G631" s="41"/>
      <c r="H631" s="41"/>
      <c r="I631" s="64"/>
      <c r="J631" s="63">
        <v>2</v>
      </c>
      <c r="K631" s="41"/>
      <c r="L631" s="41"/>
      <c r="M631" s="41"/>
      <c r="N631" s="63"/>
      <c r="O631" s="64"/>
      <c r="P631" s="63"/>
      <c r="Q631" s="41"/>
      <c r="R631" s="41"/>
      <c r="S631" s="41"/>
      <c r="T631" s="41"/>
      <c r="U631" s="41"/>
      <c r="V631" s="41"/>
      <c r="W631" s="64"/>
      <c r="X631" s="72"/>
      <c r="Y631" s="41"/>
      <c r="Z631" s="41"/>
      <c r="AA631" s="41"/>
      <c r="AB631" s="63"/>
      <c r="AC631" s="41"/>
      <c r="AD631" s="41"/>
      <c r="AE631" s="64">
        <v>2</v>
      </c>
      <c r="AF631" s="41"/>
      <c r="AG631" s="64"/>
      <c r="AH631" s="41"/>
      <c r="AI631" s="41"/>
      <c r="AJ631" s="41"/>
      <c r="AK631" s="41"/>
      <c r="AL631" s="41"/>
      <c r="AM631" s="41"/>
      <c r="AN631" s="41"/>
      <c r="AO631" s="41"/>
      <c r="AP631" s="63"/>
      <c r="AQ631" s="63"/>
      <c r="AR631" s="63"/>
      <c r="AS631" s="63"/>
      <c r="AT631" s="63"/>
      <c r="AU631" s="63"/>
      <c r="AV631" s="63"/>
      <c r="AW631" s="63"/>
      <c r="AX631" s="63">
        <v>1</v>
      </c>
      <c r="AY631" s="63"/>
      <c r="AZ631" s="63"/>
      <c r="BA631" s="65"/>
      <c r="BB631" s="65"/>
      <c r="BC631" s="65"/>
      <c r="BD631" s="65"/>
    </row>
    <row r="632" spans="2:56" ht="16.5" customHeight="1" thickBot="1" x14ac:dyDescent="0.3">
      <c r="B632" s="1" t="s">
        <v>2</v>
      </c>
      <c r="C632" s="14">
        <f t="shared" si="69"/>
        <v>0</v>
      </c>
      <c r="E632" s="1" t="s">
        <v>2</v>
      </c>
      <c r="F632" s="72"/>
      <c r="G632" s="41"/>
      <c r="H632" s="41"/>
      <c r="I632" s="64"/>
      <c r="J632" s="63"/>
      <c r="K632" s="41"/>
      <c r="L632" s="41"/>
      <c r="M632" s="41"/>
      <c r="N632" s="63"/>
      <c r="O632" s="64"/>
      <c r="P632" s="63"/>
      <c r="Q632" s="41"/>
      <c r="R632" s="41"/>
      <c r="S632" s="41"/>
      <c r="T632" s="41"/>
      <c r="U632" s="41"/>
      <c r="V632" s="41"/>
      <c r="W632" s="64"/>
      <c r="X632" s="72"/>
      <c r="Y632" s="41"/>
      <c r="Z632" s="41"/>
      <c r="AA632" s="41"/>
      <c r="AB632" s="63"/>
      <c r="AC632" s="41"/>
      <c r="AD632" s="41"/>
      <c r="AE632" s="64"/>
      <c r="AF632" s="41"/>
      <c r="AG632" s="64"/>
      <c r="AH632" s="41"/>
      <c r="AI632" s="41"/>
      <c r="AJ632" s="41"/>
      <c r="AK632" s="41"/>
      <c r="AL632" s="41"/>
      <c r="AM632" s="41"/>
      <c r="AN632" s="41"/>
      <c r="AO632" s="41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5"/>
      <c r="BB632" s="65"/>
      <c r="BC632" s="65"/>
      <c r="BD632" s="65"/>
    </row>
    <row r="633" spans="2:56" ht="16.5" customHeight="1" thickBot="1" x14ac:dyDescent="0.3">
      <c r="B633" s="1" t="s">
        <v>69</v>
      </c>
      <c r="C633" s="15">
        <f t="shared" si="69"/>
        <v>0</v>
      </c>
      <c r="E633" s="1" t="s">
        <v>3</v>
      </c>
      <c r="F633" s="73"/>
      <c r="G633" s="67"/>
      <c r="H633" s="67"/>
      <c r="I633" s="68"/>
      <c r="J633" s="66"/>
      <c r="K633" s="67"/>
      <c r="L633" s="67"/>
      <c r="M633" s="67"/>
      <c r="N633" s="66"/>
      <c r="O633" s="68"/>
      <c r="P633" s="66"/>
      <c r="Q633" s="67"/>
      <c r="R633" s="67"/>
      <c r="S633" s="67"/>
      <c r="T633" s="67"/>
      <c r="U633" s="67"/>
      <c r="V633" s="67"/>
      <c r="W633" s="68"/>
      <c r="X633" s="73"/>
      <c r="Y633" s="67"/>
      <c r="Z633" s="67"/>
      <c r="AA633" s="67"/>
      <c r="AB633" s="66"/>
      <c r="AC633" s="67"/>
      <c r="AD633" s="67"/>
      <c r="AE633" s="68"/>
      <c r="AF633" s="67"/>
      <c r="AG633" s="68"/>
      <c r="AH633" s="67"/>
      <c r="AI633" s="67"/>
      <c r="AJ633" s="67"/>
      <c r="AK633" s="67"/>
      <c r="AL633" s="67"/>
      <c r="AM633" s="67"/>
      <c r="AN633" s="67"/>
      <c r="AO633" s="67"/>
      <c r="AP633" s="66"/>
      <c r="AQ633" s="66"/>
      <c r="AR633" s="66"/>
      <c r="AS633" s="66"/>
      <c r="AT633" s="66"/>
      <c r="AU633" s="66"/>
      <c r="AV633" s="66"/>
      <c r="AW633" s="66"/>
      <c r="AX633" s="66"/>
      <c r="AY633" s="66"/>
      <c r="AZ633" s="66"/>
      <c r="BA633" s="69"/>
      <c r="BB633" s="69"/>
      <c r="BC633" s="69"/>
      <c r="BD633" s="69"/>
    </row>
    <row r="634" spans="2:56" ht="21" customHeight="1" x14ac:dyDescent="0.25">
      <c r="B634" s="2"/>
      <c r="C634" s="8">
        <f>SUM(C630:C633)</f>
        <v>6</v>
      </c>
      <c r="F634" s="74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74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</row>
    <row r="635" spans="2:56" x14ac:dyDescent="0.25"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</row>
    <row r="636" spans="2:56" ht="15.75" x14ac:dyDescent="0.25">
      <c r="F636" s="82" t="s">
        <v>17</v>
      </c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3" t="s">
        <v>16</v>
      </c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79"/>
      <c r="AQ636" s="79"/>
      <c r="AR636" s="79"/>
      <c r="AS636" s="79"/>
      <c r="AT636" s="79"/>
      <c r="AU636" s="41"/>
      <c r="AV636" s="41"/>
      <c r="AW636" s="41"/>
      <c r="AX636" s="41"/>
      <c r="AY636" s="41"/>
      <c r="AZ636" s="41"/>
      <c r="BA636" s="41"/>
    </row>
    <row r="637" spans="2:56" ht="32.25" thickBot="1" x14ac:dyDescent="0.3">
      <c r="F637" s="81" t="s">
        <v>9</v>
      </c>
      <c r="G637" s="81"/>
      <c r="H637" s="81"/>
      <c r="I637" s="81"/>
      <c r="J637" s="81" t="s">
        <v>10</v>
      </c>
      <c r="K637" s="81"/>
      <c r="L637" s="81"/>
      <c r="M637" s="81"/>
      <c r="N637" s="81" t="s">
        <v>49</v>
      </c>
      <c r="O637" s="81"/>
      <c r="P637" s="81" t="s">
        <v>11</v>
      </c>
      <c r="Q637" s="81"/>
      <c r="R637" s="81"/>
      <c r="S637" s="81"/>
      <c r="T637" s="81"/>
      <c r="U637" s="81"/>
      <c r="V637" s="81"/>
      <c r="W637" s="81"/>
      <c r="X637" s="81" t="s">
        <v>9</v>
      </c>
      <c r="Y637" s="81"/>
      <c r="Z637" s="81"/>
      <c r="AA637" s="81"/>
      <c r="AB637" s="81" t="s">
        <v>10</v>
      </c>
      <c r="AC637" s="81"/>
      <c r="AD637" s="81"/>
      <c r="AE637" s="81"/>
      <c r="AF637" s="81" t="s">
        <v>49</v>
      </c>
      <c r="AG637" s="81"/>
      <c r="AH637" s="81" t="s">
        <v>11</v>
      </c>
      <c r="AI637" s="81"/>
      <c r="AJ637" s="81"/>
      <c r="AK637" s="81"/>
      <c r="AL637" s="81"/>
      <c r="AM637" s="81"/>
      <c r="AN637" s="81"/>
      <c r="AO637" s="81"/>
      <c r="AP637" s="70" t="s">
        <v>50</v>
      </c>
      <c r="AQ637" s="70" t="s">
        <v>57</v>
      </c>
      <c r="AR637" s="70" t="s">
        <v>63</v>
      </c>
      <c r="AS637" s="70" t="s">
        <v>64</v>
      </c>
      <c r="AT637" s="70" t="s">
        <v>61</v>
      </c>
      <c r="AU637" s="70" t="s">
        <v>54</v>
      </c>
      <c r="AV637" s="70" t="s">
        <v>19</v>
      </c>
      <c r="AW637" s="70" t="s">
        <v>58</v>
      </c>
      <c r="AX637" s="70" t="s">
        <v>51</v>
      </c>
      <c r="AY637" s="70" t="s">
        <v>53</v>
      </c>
      <c r="AZ637" s="70" t="s">
        <v>52</v>
      </c>
      <c r="BA637" s="70" t="s">
        <v>55</v>
      </c>
      <c r="BB637" s="70" t="s">
        <v>56</v>
      </c>
      <c r="BC637" s="70" t="s">
        <v>59</v>
      </c>
      <c r="BD637" s="70" t="s">
        <v>60</v>
      </c>
    </row>
    <row r="638" spans="2:56" ht="16.5" thickBot="1" x14ac:dyDescent="0.3">
      <c r="B638" s="17">
        <v>0.72916666666666796</v>
      </c>
      <c r="C638" s="7" t="s">
        <v>5</v>
      </c>
      <c r="E638" s="11"/>
      <c r="F638" s="75" t="s">
        <v>15</v>
      </c>
      <c r="G638" s="58" t="s">
        <v>12</v>
      </c>
      <c r="H638" s="58" t="s">
        <v>14</v>
      </c>
      <c r="I638" s="58" t="s">
        <v>13</v>
      </c>
      <c r="J638" s="58" t="s">
        <v>42</v>
      </c>
      <c r="K638" s="58" t="s">
        <v>41</v>
      </c>
      <c r="L638" s="58" t="s">
        <v>43</v>
      </c>
      <c r="M638" s="58" t="s">
        <v>44</v>
      </c>
      <c r="N638" s="58" t="s">
        <v>15</v>
      </c>
      <c r="O638" s="58" t="s">
        <v>14</v>
      </c>
      <c r="P638" s="58" t="s">
        <v>45</v>
      </c>
      <c r="Q638" s="58" t="s">
        <v>46</v>
      </c>
      <c r="R638" s="58" t="s">
        <v>42</v>
      </c>
      <c r="S638" s="58" t="s">
        <v>41</v>
      </c>
      <c r="T638" s="58" t="s">
        <v>47</v>
      </c>
      <c r="U638" s="58" t="s">
        <v>48</v>
      </c>
      <c r="V638" s="58" t="s">
        <v>43</v>
      </c>
      <c r="W638" s="58" t="s">
        <v>44</v>
      </c>
      <c r="X638" s="75" t="s">
        <v>15</v>
      </c>
      <c r="Y638" s="58" t="s">
        <v>12</v>
      </c>
      <c r="Z638" s="58" t="s">
        <v>14</v>
      </c>
      <c r="AA638" s="58" t="s">
        <v>13</v>
      </c>
      <c r="AB638" s="58" t="s">
        <v>42</v>
      </c>
      <c r="AC638" s="58" t="s">
        <v>41</v>
      </c>
      <c r="AD638" s="58" t="s">
        <v>43</v>
      </c>
      <c r="AE638" s="58" t="s">
        <v>44</v>
      </c>
      <c r="AF638" s="58" t="s">
        <v>15</v>
      </c>
      <c r="AG638" s="58" t="s">
        <v>14</v>
      </c>
      <c r="AH638" s="58" t="s">
        <v>45</v>
      </c>
      <c r="AI638" s="58" t="s">
        <v>46</v>
      </c>
      <c r="AJ638" s="58" t="s">
        <v>42</v>
      </c>
      <c r="AK638" s="58" t="s">
        <v>41</v>
      </c>
      <c r="AL638" s="58" t="s">
        <v>47</v>
      </c>
      <c r="AM638" s="58" t="s">
        <v>48</v>
      </c>
      <c r="AN638" s="58" t="s">
        <v>43</v>
      </c>
      <c r="AO638" s="58" t="s">
        <v>44</v>
      </c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</row>
    <row r="639" spans="2:56" ht="16.5" customHeight="1" thickBot="1" x14ac:dyDescent="0.3">
      <c r="B639" s="1" t="s">
        <v>0</v>
      </c>
      <c r="C639" s="13">
        <f>SUM(F639:W639)</f>
        <v>4</v>
      </c>
      <c r="E639" s="10" t="s">
        <v>0</v>
      </c>
      <c r="F639" s="71"/>
      <c r="G639" s="60"/>
      <c r="H639" s="60"/>
      <c r="I639" s="61"/>
      <c r="J639" s="59"/>
      <c r="K639" s="60"/>
      <c r="L639" s="60"/>
      <c r="M639" s="60"/>
      <c r="N639" s="59"/>
      <c r="O639" s="61"/>
      <c r="P639" s="59"/>
      <c r="Q639" s="60"/>
      <c r="R639" s="60">
        <v>2</v>
      </c>
      <c r="S639" s="60"/>
      <c r="T639" s="60"/>
      <c r="U639" s="60">
        <v>2</v>
      </c>
      <c r="V639" s="60"/>
      <c r="W639" s="61"/>
      <c r="X639" s="71"/>
      <c r="Y639" s="60"/>
      <c r="Z639" s="60"/>
      <c r="AA639" s="60"/>
      <c r="AB639" s="59"/>
      <c r="AC639" s="60"/>
      <c r="AD639" s="60"/>
      <c r="AE639" s="61"/>
      <c r="AF639" s="60"/>
      <c r="AG639" s="61"/>
      <c r="AH639" s="60"/>
      <c r="AI639" s="60">
        <v>2</v>
      </c>
      <c r="AJ639" s="60"/>
      <c r="AK639" s="60">
        <v>2</v>
      </c>
      <c r="AL639" s="60"/>
      <c r="AM639" s="60"/>
      <c r="AN639" s="60"/>
      <c r="AO639" s="60"/>
      <c r="AP639" s="59">
        <v>1</v>
      </c>
      <c r="AQ639" s="59"/>
      <c r="AR639" s="59"/>
      <c r="AS639" s="59"/>
      <c r="AT639" s="59"/>
      <c r="AU639" s="59"/>
      <c r="AV639" s="59"/>
      <c r="AW639" s="59"/>
      <c r="AX639" s="59"/>
      <c r="AY639" s="59">
        <v>1</v>
      </c>
      <c r="AZ639" s="59"/>
      <c r="BA639" s="62">
        <v>1</v>
      </c>
      <c r="BB639" s="62"/>
      <c r="BC639" s="62"/>
      <c r="BD639" s="62"/>
    </row>
    <row r="640" spans="2:56" ht="16.5" customHeight="1" thickBot="1" x14ac:dyDescent="0.3">
      <c r="B640" s="1" t="s">
        <v>1</v>
      </c>
      <c r="C640" s="14">
        <f t="shared" ref="C640:C642" si="70">SUM(F640:W640)</f>
        <v>0</v>
      </c>
      <c r="E640" s="1" t="s">
        <v>1</v>
      </c>
      <c r="F640" s="72"/>
      <c r="G640" s="41"/>
      <c r="H640" s="41"/>
      <c r="I640" s="64"/>
      <c r="J640" s="63"/>
      <c r="K640" s="41"/>
      <c r="L640" s="41"/>
      <c r="M640" s="41"/>
      <c r="N640" s="63"/>
      <c r="O640" s="64"/>
      <c r="P640" s="63"/>
      <c r="Q640" s="41"/>
      <c r="R640" s="41"/>
      <c r="S640" s="41"/>
      <c r="T640" s="41"/>
      <c r="U640" s="41"/>
      <c r="V640" s="41"/>
      <c r="W640" s="64"/>
      <c r="X640" s="72"/>
      <c r="Y640" s="41"/>
      <c r="Z640" s="41"/>
      <c r="AA640" s="41"/>
      <c r="AB640" s="63"/>
      <c r="AC640" s="41"/>
      <c r="AD640" s="41"/>
      <c r="AE640" s="64"/>
      <c r="AF640" s="41"/>
      <c r="AG640" s="64"/>
      <c r="AH640" s="41"/>
      <c r="AI640" s="41"/>
      <c r="AJ640" s="41"/>
      <c r="AK640" s="41"/>
      <c r="AL640" s="41"/>
      <c r="AM640" s="41"/>
      <c r="AN640" s="41"/>
      <c r="AO640" s="41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5"/>
      <c r="BB640" s="65"/>
      <c r="BC640" s="65"/>
      <c r="BD640" s="65"/>
    </row>
    <row r="641" spans="2:56" ht="16.5" customHeight="1" thickBot="1" x14ac:dyDescent="0.3">
      <c r="B641" s="1" t="s">
        <v>2</v>
      </c>
      <c r="C641" s="14">
        <f t="shared" si="70"/>
        <v>0</v>
      </c>
      <c r="E641" s="1" t="s">
        <v>2</v>
      </c>
      <c r="F641" s="72"/>
      <c r="G641" s="41"/>
      <c r="H641" s="41"/>
      <c r="I641" s="64"/>
      <c r="J641" s="63"/>
      <c r="K641" s="41"/>
      <c r="L641" s="41"/>
      <c r="M641" s="41"/>
      <c r="N641" s="63"/>
      <c r="O641" s="64"/>
      <c r="P641" s="63"/>
      <c r="Q641" s="41"/>
      <c r="R641" s="41"/>
      <c r="S641" s="41"/>
      <c r="T641" s="41"/>
      <c r="U641" s="41"/>
      <c r="V641" s="41"/>
      <c r="W641" s="64"/>
      <c r="X641" s="72"/>
      <c r="Y641" s="41"/>
      <c r="Z641" s="41"/>
      <c r="AA641" s="41"/>
      <c r="AB641" s="63"/>
      <c r="AC641" s="41"/>
      <c r="AD641" s="41"/>
      <c r="AE641" s="64"/>
      <c r="AF641" s="41"/>
      <c r="AG641" s="64"/>
      <c r="AH641" s="41"/>
      <c r="AI641" s="41"/>
      <c r="AJ641" s="41"/>
      <c r="AK641" s="41"/>
      <c r="AL641" s="41"/>
      <c r="AM641" s="41"/>
      <c r="AN641" s="41"/>
      <c r="AO641" s="41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5"/>
      <c r="BB641" s="65"/>
      <c r="BC641" s="65"/>
      <c r="BD641" s="65"/>
    </row>
    <row r="642" spans="2:56" ht="16.5" customHeight="1" thickBot="1" x14ac:dyDescent="0.3">
      <c r="B642" s="1" t="s">
        <v>3</v>
      </c>
      <c r="C642" s="15">
        <f t="shared" si="70"/>
        <v>0</v>
      </c>
      <c r="E642" s="1" t="s">
        <v>3</v>
      </c>
      <c r="F642" s="73"/>
      <c r="G642" s="67"/>
      <c r="H642" s="67"/>
      <c r="I642" s="68"/>
      <c r="J642" s="66"/>
      <c r="K642" s="67"/>
      <c r="L642" s="67"/>
      <c r="M642" s="67"/>
      <c r="N642" s="66"/>
      <c r="O642" s="68"/>
      <c r="P642" s="66"/>
      <c r="Q642" s="67"/>
      <c r="R642" s="67"/>
      <c r="S642" s="67"/>
      <c r="T642" s="67"/>
      <c r="U642" s="67"/>
      <c r="V642" s="67"/>
      <c r="W642" s="68"/>
      <c r="X642" s="73"/>
      <c r="Y642" s="67"/>
      <c r="Z642" s="67"/>
      <c r="AA642" s="67"/>
      <c r="AB642" s="66"/>
      <c r="AC642" s="67"/>
      <c r="AD642" s="67"/>
      <c r="AE642" s="68"/>
      <c r="AF642" s="67"/>
      <c r="AG642" s="68"/>
      <c r="AH642" s="67"/>
      <c r="AI642" s="67"/>
      <c r="AJ642" s="67"/>
      <c r="AK642" s="67"/>
      <c r="AL642" s="67"/>
      <c r="AM642" s="67"/>
      <c r="AN642" s="67"/>
      <c r="AO642" s="67"/>
      <c r="AP642" s="66"/>
      <c r="AQ642" s="66"/>
      <c r="AR642" s="66"/>
      <c r="AS642" s="66"/>
      <c r="AT642" s="66"/>
      <c r="AU642" s="66"/>
      <c r="AV642" s="66"/>
      <c r="AW642" s="66"/>
      <c r="AX642" s="66"/>
      <c r="AY642" s="66"/>
      <c r="AZ642" s="66"/>
      <c r="BA642" s="69"/>
      <c r="BB642" s="69"/>
      <c r="BC642" s="69"/>
      <c r="BD642" s="69"/>
    </row>
    <row r="643" spans="2:56" ht="21" customHeight="1" x14ac:dyDescent="0.25">
      <c r="B643" s="2"/>
      <c r="C643" s="8">
        <f>SUM(C639:C642)</f>
        <v>4</v>
      </c>
      <c r="F643" s="74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74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</row>
    <row r="644" spans="2:56" x14ac:dyDescent="0.25"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</row>
    <row r="645" spans="2:56" ht="15.75" x14ac:dyDescent="0.25">
      <c r="F645" s="82" t="s">
        <v>17</v>
      </c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3" t="s">
        <v>16</v>
      </c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79"/>
      <c r="AQ645" s="79"/>
      <c r="AR645" s="79"/>
      <c r="AS645" s="79"/>
      <c r="AT645" s="79"/>
      <c r="AU645" s="41"/>
      <c r="AV645" s="41"/>
      <c r="AW645" s="41"/>
      <c r="AX645" s="41"/>
      <c r="AY645" s="41"/>
      <c r="AZ645" s="41"/>
      <c r="BA645" s="41"/>
    </row>
    <row r="646" spans="2:56" ht="32.25" thickBot="1" x14ac:dyDescent="0.3">
      <c r="F646" s="81" t="s">
        <v>9</v>
      </c>
      <c r="G646" s="81"/>
      <c r="H646" s="81"/>
      <c r="I646" s="81"/>
      <c r="J646" s="81" t="s">
        <v>10</v>
      </c>
      <c r="K646" s="81"/>
      <c r="L646" s="81"/>
      <c r="M646" s="81"/>
      <c r="N646" s="81" t="s">
        <v>49</v>
      </c>
      <c r="O646" s="81"/>
      <c r="P646" s="81" t="s">
        <v>11</v>
      </c>
      <c r="Q646" s="81"/>
      <c r="R646" s="81"/>
      <c r="S646" s="81"/>
      <c r="T646" s="81"/>
      <c r="U646" s="81"/>
      <c r="V646" s="81"/>
      <c r="W646" s="81"/>
      <c r="X646" s="81" t="s">
        <v>9</v>
      </c>
      <c r="Y646" s="81"/>
      <c r="Z646" s="81"/>
      <c r="AA646" s="81"/>
      <c r="AB646" s="81" t="s">
        <v>10</v>
      </c>
      <c r="AC646" s="81"/>
      <c r="AD646" s="81"/>
      <c r="AE646" s="81"/>
      <c r="AF646" s="81" t="s">
        <v>49</v>
      </c>
      <c r="AG646" s="81"/>
      <c r="AH646" s="81" t="s">
        <v>11</v>
      </c>
      <c r="AI646" s="81"/>
      <c r="AJ646" s="81"/>
      <c r="AK646" s="81"/>
      <c r="AL646" s="81"/>
      <c r="AM646" s="81"/>
      <c r="AN646" s="81"/>
      <c r="AO646" s="81"/>
      <c r="AP646" s="70" t="s">
        <v>50</v>
      </c>
      <c r="AQ646" s="70" t="s">
        <v>57</v>
      </c>
      <c r="AR646" s="70" t="s">
        <v>63</v>
      </c>
      <c r="AS646" s="70" t="s">
        <v>64</v>
      </c>
      <c r="AT646" s="70" t="s">
        <v>61</v>
      </c>
      <c r="AU646" s="70" t="s">
        <v>54</v>
      </c>
      <c r="AV646" s="70" t="s">
        <v>19</v>
      </c>
      <c r="AW646" s="70" t="s">
        <v>58</v>
      </c>
      <c r="AX646" s="70" t="s">
        <v>51</v>
      </c>
      <c r="AY646" s="70" t="s">
        <v>53</v>
      </c>
      <c r="AZ646" s="70" t="s">
        <v>52</v>
      </c>
      <c r="BA646" s="70" t="s">
        <v>55</v>
      </c>
      <c r="BB646" s="70" t="s">
        <v>56</v>
      </c>
      <c r="BC646" s="70" t="s">
        <v>59</v>
      </c>
      <c r="BD646" s="70" t="s">
        <v>60</v>
      </c>
    </row>
    <row r="647" spans="2:56" ht="16.5" thickBot="1" x14ac:dyDescent="0.3">
      <c r="B647" s="17">
        <v>0.73958333333333504</v>
      </c>
      <c r="C647" s="7" t="s">
        <v>5</v>
      </c>
      <c r="E647" s="11"/>
      <c r="F647" s="75" t="s">
        <v>15</v>
      </c>
      <c r="G647" s="58" t="s">
        <v>12</v>
      </c>
      <c r="H647" s="58" t="s">
        <v>14</v>
      </c>
      <c r="I647" s="58" t="s">
        <v>13</v>
      </c>
      <c r="J647" s="58" t="s">
        <v>42</v>
      </c>
      <c r="K647" s="58" t="s">
        <v>41</v>
      </c>
      <c r="L647" s="58" t="s">
        <v>43</v>
      </c>
      <c r="M647" s="58" t="s">
        <v>44</v>
      </c>
      <c r="N647" s="58" t="s">
        <v>15</v>
      </c>
      <c r="O647" s="58" t="s">
        <v>14</v>
      </c>
      <c r="P647" s="58" t="s">
        <v>45</v>
      </c>
      <c r="Q647" s="58" t="s">
        <v>46</v>
      </c>
      <c r="R647" s="58" t="s">
        <v>42</v>
      </c>
      <c r="S647" s="58" t="s">
        <v>41</v>
      </c>
      <c r="T647" s="58" t="s">
        <v>47</v>
      </c>
      <c r="U647" s="58" t="s">
        <v>48</v>
      </c>
      <c r="V647" s="58" t="s">
        <v>43</v>
      </c>
      <c r="W647" s="58" t="s">
        <v>44</v>
      </c>
      <c r="X647" s="75" t="s">
        <v>15</v>
      </c>
      <c r="Y647" s="58" t="s">
        <v>12</v>
      </c>
      <c r="Z647" s="58" t="s">
        <v>14</v>
      </c>
      <c r="AA647" s="58" t="s">
        <v>13</v>
      </c>
      <c r="AB647" s="58" t="s">
        <v>42</v>
      </c>
      <c r="AC647" s="58" t="s">
        <v>41</v>
      </c>
      <c r="AD647" s="58" t="s">
        <v>43</v>
      </c>
      <c r="AE647" s="58" t="s">
        <v>44</v>
      </c>
      <c r="AF647" s="58" t="s">
        <v>15</v>
      </c>
      <c r="AG647" s="58" t="s">
        <v>14</v>
      </c>
      <c r="AH647" s="58" t="s">
        <v>45</v>
      </c>
      <c r="AI647" s="58" t="s">
        <v>46</v>
      </c>
      <c r="AJ647" s="58" t="s">
        <v>42</v>
      </c>
      <c r="AK647" s="58" t="s">
        <v>41</v>
      </c>
      <c r="AL647" s="58" t="s">
        <v>47</v>
      </c>
      <c r="AM647" s="58" t="s">
        <v>48</v>
      </c>
      <c r="AN647" s="58" t="s">
        <v>43</v>
      </c>
      <c r="AO647" s="58" t="s">
        <v>44</v>
      </c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</row>
    <row r="648" spans="2:56" ht="16.5" customHeight="1" thickBot="1" x14ac:dyDescent="0.3">
      <c r="B648" s="1" t="s">
        <v>0</v>
      </c>
      <c r="C648" s="13">
        <f>SUM(F648:W648)</f>
        <v>3</v>
      </c>
      <c r="E648" s="10" t="s">
        <v>0</v>
      </c>
      <c r="F648" s="71"/>
      <c r="G648" s="60"/>
      <c r="H648" s="60"/>
      <c r="I648" s="61"/>
      <c r="J648" s="59"/>
      <c r="K648" s="60"/>
      <c r="L648" s="60"/>
      <c r="M648" s="60"/>
      <c r="N648" s="59"/>
      <c r="O648" s="61">
        <v>2</v>
      </c>
      <c r="P648" s="59"/>
      <c r="Q648" s="60">
        <v>1</v>
      </c>
      <c r="R648" s="60"/>
      <c r="S648" s="60"/>
      <c r="T648" s="60"/>
      <c r="U648" s="60"/>
      <c r="V648" s="60"/>
      <c r="W648" s="61"/>
      <c r="X648" s="71"/>
      <c r="Y648" s="60"/>
      <c r="Z648" s="60"/>
      <c r="AA648" s="60"/>
      <c r="AB648" s="59"/>
      <c r="AC648" s="60"/>
      <c r="AD648" s="60"/>
      <c r="AE648" s="61"/>
      <c r="AF648" s="60">
        <v>2</v>
      </c>
      <c r="AG648" s="61"/>
      <c r="AH648" s="60"/>
      <c r="AI648" s="60"/>
      <c r="AJ648" s="60">
        <v>1</v>
      </c>
      <c r="AK648" s="60"/>
      <c r="AL648" s="60"/>
      <c r="AM648" s="60"/>
      <c r="AN648" s="60"/>
      <c r="AO648" s="60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62">
        <v>1</v>
      </c>
      <c r="BB648" s="62"/>
      <c r="BC648" s="62"/>
      <c r="BD648" s="62"/>
    </row>
    <row r="649" spans="2:56" ht="16.5" customHeight="1" thickBot="1" x14ac:dyDescent="0.3">
      <c r="B649" s="1" t="s">
        <v>1</v>
      </c>
      <c r="C649" s="14">
        <f t="shared" ref="C649:C651" si="71">SUM(F649:W649)</f>
        <v>1</v>
      </c>
      <c r="E649" s="1" t="s">
        <v>1</v>
      </c>
      <c r="F649" s="72"/>
      <c r="G649" s="41"/>
      <c r="H649" s="41"/>
      <c r="I649" s="64"/>
      <c r="J649" s="63"/>
      <c r="K649" s="41"/>
      <c r="L649" s="41"/>
      <c r="M649" s="41"/>
      <c r="N649" s="63"/>
      <c r="O649" s="64"/>
      <c r="P649" s="63"/>
      <c r="Q649" s="41">
        <v>1</v>
      </c>
      <c r="R649" s="41"/>
      <c r="S649" s="41"/>
      <c r="T649" s="41"/>
      <c r="U649" s="41"/>
      <c r="V649" s="41"/>
      <c r="W649" s="64"/>
      <c r="X649" s="72"/>
      <c r="Y649" s="41"/>
      <c r="Z649" s="41"/>
      <c r="AA649" s="41"/>
      <c r="AB649" s="63"/>
      <c r="AC649" s="41"/>
      <c r="AD649" s="41"/>
      <c r="AE649" s="64"/>
      <c r="AF649" s="41"/>
      <c r="AG649" s="64"/>
      <c r="AH649" s="41"/>
      <c r="AI649" s="41"/>
      <c r="AJ649" s="41"/>
      <c r="AK649" s="41">
        <v>1</v>
      </c>
      <c r="AL649" s="41"/>
      <c r="AM649" s="41"/>
      <c r="AN649" s="41"/>
      <c r="AO649" s="41"/>
      <c r="AP649" s="63"/>
      <c r="AQ649" s="63">
        <v>1</v>
      </c>
      <c r="AR649" s="63"/>
      <c r="AS649" s="63"/>
      <c r="AT649" s="63"/>
      <c r="AU649" s="63"/>
      <c r="AV649" s="63"/>
      <c r="AW649" s="63"/>
      <c r="AX649" s="63"/>
      <c r="AY649" s="63"/>
      <c r="AZ649" s="63"/>
      <c r="BA649" s="65"/>
      <c r="BB649" s="65"/>
      <c r="BC649" s="65"/>
      <c r="BD649" s="65"/>
    </row>
    <row r="650" spans="2:56" ht="16.5" customHeight="1" thickBot="1" x14ac:dyDescent="0.3">
      <c r="B650" s="1" t="s">
        <v>2</v>
      </c>
      <c r="C650" s="14">
        <f t="shared" si="71"/>
        <v>0</v>
      </c>
      <c r="E650" s="1" t="s">
        <v>2</v>
      </c>
      <c r="F650" s="72"/>
      <c r="G650" s="41"/>
      <c r="H650" s="41"/>
      <c r="I650" s="64"/>
      <c r="J650" s="63"/>
      <c r="K650" s="41"/>
      <c r="L650" s="41"/>
      <c r="M650" s="41"/>
      <c r="N650" s="63"/>
      <c r="O650" s="64"/>
      <c r="P650" s="63"/>
      <c r="Q650" s="41"/>
      <c r="R650" s="41"/>
      <c r="S650" s="41"/>
      <c r="T650" s="41"/>
      <c r="U650" s="41"/>
      <c r="V650" s="41"/>
      <c r="W650" s="64"/>
      <c r="X650" s="72"/>
      <c r="Y650" s="41"/>
      <c r="Z650" s="41"/>
      <c r="AA650" s="41"/>
      <c r="AB650" s="63"/>
      <c r="AC650" s="41"/>
      <c r="AD650" s="41"/>
      <c r="AE650" s="64"/>
      <c r="AF650" s="41"/>
      <c r="AG650" s="64"/>
      <c r="AH650" s="41"/>
      <c r="AI650" s="41"/>
      <c r="AJ650" s="41"/>
      <c r="AK650" s="41"/>
      <c r="AL650" s="41"/>
      <c r="AM650" s="41"/>
      <c r="AN650" s="41"/>
      <c r="AO650" s="41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5"/>
      <c r="BB650" s="65"/>
      <c r="BC650" s="65"/>
      <c r="BD650" s="65"/>
    </row>
    <row r="651" spans="2:56" ht="16.5" customHeight="1" thickBot="1" x14ac:dyDescent="0.3">
      <c r="B651" s="1" t="s">
        <v>3</v>
      </c>
      <c r="C651" s="15">
        <f t="shared" si="71"/>
        <v>0</v>
      </c>
      <c r="E651" s="1" t="s">
        <v>3</v>
      </c>
      <c r="F651" s="73"/>
      <c r="G651" s="67"/>
      <c r="H651" s="67"/>
      <c r="I651" s="68"/>
      <c r="J651" s="66"/>
      <c r="K651" s="67"/>
      <c r="L651" s="67"/>
      <c r="M651" s="67"/>
      <c r="N651" s="66"/>
      <c r="O651" s="68"/>
      <c r="P651" s="66"/>
      <c r="Q651" s="67"/>
      <c r="R651" s="67"/>
      <c r="S651" s="67"/>
      <c r="T651" s="67"/>
      <c r="U651" s="67"/>
      <c r="V651" s="67"/>
      <c r="W651" s="68"/>
      <c r="X651" s="73"/>
      <c r="Y651" s="67"/>
      <c r="Z651" s="67"/>
      <c r="AA651" s="67"/>
      <c r="AB651" s="66"/>
      <c r="AC651" s="67"/>
      <c r="AD651" s="67"/>
      <c r="AE651" s="68"/>
      <c r="AF651" s="67"/>
      <c r="AG651" s="68"/>
      <c r="AH651" s="67"/>
      <c r="AI651" s="67"/>
      <c r="AJ651" s="67"/>
      <c r="AK651" s="67"/>
      <c r="AL651" s="67"/>
      <c r="AM651" s="67"/>
      <c r="AN651" s="67"/>
      <c r="AO651" s="67"/>
      <c r="AP651" s="66"/>
      <c r="AQ651" s="66"/>
      <c r="AR651" s="66"/>
      <c r="AS651" s="66"/>
      <c r="AT651" s="66"/>
      <c r="AU651" s="66"/>
      <c r="AV651" s="66"/>
      <c r="AW651" s="66"/>
      <c r="AX651" s="66"/>
      <c r="AY651" s="66"/>
      <c r="AZ651" s="66"/>
      <c r="BA651" s="69"/>
      <c r="BB651" s="69"/>
      <c r="BC651" s="69"/>
      <c r="BD651" s="69"/>
    </row>
    <row r="652" spans="2:56" ht="21" customHeight="1" x14ac:dyDescent="0.25">
      <c r="B652" s="2"/>
      <c r="C652" s="8">
        <f>SUM(C648:C651)</f>
        <v>4</v>
      </c>
      <c r="F652" s="74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74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</row>
    <row r="653" spans="2:56" x14ac:dyDescent="0.25"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</row>
    <row r="654" spans="2:56" ht="15.75" x14ac:dyDescent="0.25">
      <c r="F654" s="82" t="s">
        <v>17</v>
      </c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3" t="s">
        <v>16</v>
      </c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79"/>
      <c r="AQ654" s="79"/>
      <c r="AR654" s="79"/>
      <c r="AS654" s="79"/>
      <c r="AT654" s="79"/>
      <c r="AU654" s="41"/>
      <c r="AV654" s="41"/>
      <c r="AW654" s="41"/>
      <c r="AX654" s="41"/>
      <c r="AY654" s="41"/>
      <c r="AZ654" s="41"/>
      <c r="BA654" s="41"/>
    </row>
    <row r="655" spans="2:56" ht="32.25" thickBot="1" x14ac:dyDescent="0.3">
      <c r="F655" s="81" t="s">
        <v>9</v>
      </c>
      <c r="G655" s="81"/>
      <c r="H655" s="81"/>
      <c r="I655" s="81"/>
      <c r="J655" s="81" t="s">
        <v>10</v>
      </c>
      <c r="K655" s="81"/>
      <c r="L655" s="81"/>
      <c r="M655" s="81"/>
      <c r="N655" s="81" t="s">
        <v>49</v>
      </c>
      <c r="O655" s="81"/>
      <c r="P655" s="81" t="s">
        <v>11</v>
      </c>
      <c r="Q655" s="81"/>
      <c r="R655" s="81"/>
      <c r="S655" s="81"/>
      <c r="T655" s="81"/>
      <c r="U655" s="81"/>
      <c r="V655" s="81"/>
      <c r="W655" s="81"/>
      <c r="X655" s="81" t="s">
        <v>9</v>
      </c>
      <c r="Y655" s="81"/>
      <c r="Z655" s="81"/>
      <c r="AA655" s="81"/>
      <c r="AB655" s="81" t="s">
        <v>10</v>
      </c>
      <c r="AC655" s="81"/>
      <c r="AD655" s="81"/>
      <c r="AE655" s="81"/>
      <c r="AF655" s="81" t="s">
        <v>49</v>
      </c>
      <c r="AG655" s="81"/>
      <c r="AH655" s="81" t="s">
        <v>11</v>
      </c>
      <c r="AI655" s="81"/>
      <c r="AJ655" s="81"/>
      <c r="AK655" s="81"/>
      <c r="AL655" s="81"/>
      <c r="AM655" s="81"/>
      <c r="AN655" s="81"/>
      <c r="AO655" s="81"/>
      <c r="AP655" s="70" t="s">
        <v>50</v>
      </c>
      <c r="AQ655" s="70" t="s">
        <v>57</v>
      </c>
      <c r="AR655" s="70" t="s">
        <v>63</v>
      </c>
      <c r="AS655" s="70" t="s">
        <v>64</v>
      </c>
      <c r="AT655" s="70" t="s">
        <v>61</v>
      </c>
      <c r="AU655" s="70" t="s">
        <v>54</v>
      </c>
      <c r="AV655" s="70" t="s">
        <v>19</v>
      </c>
      <c r="AW655" s="70" t="s">
        <v>58</v>
      </c>
      <c r="AX655" s="70" t="s">
        <v>51</v>
      </c>
      <c r="AY655" s="70" t="s">
        <v>53</v>
      </c>
      <c r="AZ655" s="70" t="s">
        <v>52</v>
      </c>
      <c r="BA655" s="70" t="s">
        <v>55</v>
      </c>
      <c r="BB655" s="70" t="s">
        <v>56</v>
      </c>
      <c r="BC655" s="70" t="s">
        <v>59</v>
      </c>
      <c r="BD655" s="70" t="s">
        <v>60</v>
      </c>
    </row>
    <row r="656" spans="2:56" ht="16.5" thickBot="1" x14ac:dyDescent="0.3">
      <c r="B656" s="16">
        <v>0.750000000000002</v>
      </c>
      <c r="C656" s="7" t="s">
        <v>5</v>
      </c>
      <c r="E656" s="11"/>
      <c r="F656" s="75" t="s">
        <v>15</v>
      </c>
      <c r="G656" s="58" t="s">
        <v>12</v>
      </c>
      <c r="H656" s="58" t="s">
        <v>14</v>
      </c>
      <c r="I656" s="58" t="s">
        <v>13</v>
      </c>
      <c r="J656" s="58" t="s">
        <v>42</v>
      </c>
      <c r="K656" s="58" t="s">
        <v>41</v>
      </c>
      <c r="L656" s="58" t="s">
        <v>43</v>
      </c>
      <c r="M656" s="58" t="s">
        <v>44</v>
      </c>
      <c r="N656" s="58" t="s">
        <v>15</v>
      </c>
      <c r="O656" s="58" t="s">
        <v>14</v>
      </c>
      <c r="P656" s="58" t="s">
        <v>45</v>
      </c>
      <c r="Q656" s="58" t="s">
        <v>46</v>
      </c>
      <c r="R656" s="58" t="s">
        <v>42</v>
      </c>
      <c r="S656" s="58" t="s">
        <v>41</v>
      </c>
      <c r="T656" s="58" t="s">
        <v>47</v>
      </c>
      <c r="U656" s="58" t="s">
        <v>48</v>
      </c>
      <c r="V656" s="58" t="s">
        <v>43</v>
      </c>
      <c r="W656" s="58" t="s">
        <v>44</v>
      </c>
      <c r="X656" s="75" t="s">
        <v>15</v>
      </c>
      <c r="Y656" s="58" t="s">
        <v>12</v>
      </c>
      <c r="Z656" s="58" t="s">
        <v>14</v>
      </c>
      <c r="AA656" s="58" t="s">
        <v>13</v>
      </c>
      <c r="AB656" s="58" t="s">
        <v>42</v>
      </c>
      <c r="AC656" s="58" t="s">
        <v>41</v>
      </c>
      <c r="AD656" s="58" t="s">
        <v>43</v>
      </c>
      <c r="AE656" s="58" t="s">
        <v>44</v>
      </c>
      <c r="AF656" s="58" t="s">
        <v>15</v>
      </c>
      <c r="AG656" s="58" t="s">
        <v>14</v>
      </c>
      <c r="AH656" s="58" t="s">
        <v>45</v>
      </c>
      <c r="AI656" s="58" t="s">
        <v>46</v>
      </c>
      <c r="AJ656" s="58" t="s">
        <v>42</v>
      </c>
      <c r="AK656" s="58" t="s">
        <v>41</v>
      </c>
      <c r="AL656" s="58" t="s">
        <v>47</v>
      </c>
      <c r="AM656" s="58" t="s">
        <v>48</v>
      </c>
      <c r="AN656" s="58" t="s">
        <v>43</v>
      </c>
      <c r="AO656" s="58" t="s">
        <v>44</v>
      </c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</row>
    <row r="657" spans="2:56" ht="16.5" customHeight="1" thickBot="1" x14ac:dyDescent="0.3">
      <c r="B657" s="1" t="s">
        <v>0</v>
      </c>
      <c r="C657" s="13">
        <f>SUM(F657:W657)</f>
        <v>1</v>
      </c>
      <c r="E657" s="10" t="s">
        <v>0</v>
      </c>
      <c r="F657" s="71"/>
      <c r="G657" s="60"/>
      <c r="H657" s="60"/>
      <c r="I657" s="61"/>
      <c r="J657" s="59"/>
      <c r="K657" s="60"/>
      <c r="L657" s="60"/>
      <c r="M657" s="60"/>
      <c r="N657" s="59"/>
      <c r="O657" s="61"/>
      <c r="P657" s="59"/>
      <c r="Q657" s="60"/>
      <c r="R657" s="60"/>
      <c r="S657" s="60"/>
      <c r="T657" s="60">
        <v>1</v>
      </c>
      <c r="U657" s="60"/>
      <c r="V657" s="60"/>
      <c r="W657" s="61"/>
      <c r="X657" s="71"/>
      <c r="Y657" s="60"/>
      <c r="Z657" s="60"/>
      <c r="AA657" s="60"/>
      <c r="AB657" s="59"/>
      <c r="AC657" s="60"/>
      <c r="AD657" s="60"/>
      <c r="AE657" s="61"/>
      <c r="AF657" s="60"/>
      <c r="AG657" s="61"/>
      <c r="AH657" s="60"/>
      <c r="AI657" s="60"/>
      <c r="AJ657" s="60"/>
      <c r="AK657" s="60"/>
      <c r="AL657" s="60"/>
      <c r="AM657" s="60"/>
      <c r="AN657" s="60"/>
      <c r="AO657" s="60">
        <v>1</v>
      </c>
      <c r="AP657" s="59">
        <v>1</v>
      </c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62"/>
      <c r="BB657" s="62"/>
      <c r="BC657" s="62"/>
      <c r="BD657" s="62"/>
    </row>
    <row r="658" spans="2:56" ht="16.5" customHeight="1" thickBot="1" x14ac:dyDescent="0.3">
      <c r="B658" s="1" t="s">
        <v>1</v>
      </c>
      <c r="C658" s="14">
        <f t="shared" ref="C658:C660" si="72">SUM(F658:W658)</f>
        <v>0</v>
      </c>
      <c r="E658" s="1" t="s">
        <v>1</v>
      </c>
      <c r="F658" s="72"/>
      <c r="G658" s="41"/>
      <c r="H658" s="41"/>
      <c r="I658" s="64"/>
      <c r="J658" s="63"/>
      <c r="K658" s="41"/>
      <c r="L658" s="41"/>
      <c r="M658" s="41"/>
      <c r="N658" s="63"/>
      <c r="O658" s="64"/>
      <c r="P658" s="63"/>
      <c r="Q658" s="41"/>
      <c r="R658" s="41"/>
      <c r="S658" s="41"/>
      <c r="T658" s="41"/>
      <c r="U658" s="41"/>
      <c r="V658" s="41"/>
      <c r="W658" s="64"/>
      <c r="X658" s="72"/>
      <c r="Y658" s="41"/>
      <c r="Z658" s="41"/>
      <c r="AA658" s="41"/>
      <c r="AB658" s="63"/>
      <c r="AC658" s="41"/>
      <c r="AD658" s="41"/>
      <c r="AE658" s="64"/>
      <c r="AF658" s="41"/>
      <c r="AG658" s="64"/>
      <c r="AH658" s="41"/>
      <c r="AI658" s="41"/>
      <c r="AJ658" s="41"/>
      <c r="AK658" s="41"/>
      <c r="AL658" s="41"/>
      <c r="AM658" s="41"/>
      <c r="AN658" s="41"/>
      <c r="AO658" s="41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5"/>
      <c r="BB658" s="65"/>
      <c r="BC658" s="65"/>
      <c r="BD658" s="65"/>
    </row>
    <row r="659" spans="2:56" ht="16.5" customHeight="1" thickBot="1" x14ac:dyDescent="0.3">
      <c r="B659" s="1" t="s">
        <v>2</v>
      </c>
      <c r="C659" s="14">
        <f t="shared" si="72"/>
        <v>0</v>
      </c>
      <c r="E659" s="1" t="s">
        <v>2</v>
      </c>
      <c r="F659" s="72"/>
      <c r="G659" s="41"/>
      <c r="H659" s="41"/>
      <c r="I659" s="64"/>
      <c r="J659" s="63"/>
      <c r="K659" s="41"/>
      <c r="L659" s="41"/>
      <c r="M659" s="41"/>
      <c r="N659" s="63"/>
      <c r="O659" s="64"/>
      <c r="P659" s="63"/>
      <c r="Q659" s="41"/>
      <c r="R659" s="41"/>
      <c r="S659" s="41"/>
      <c r="T659" s="41"/>
      <c r="U659" s="41"/>
      <c r="V659" s="41"/>
      <c r="W659" s="64"/>
      <c r="X659" s="72"/>
      <c r="Y659" s="41"/>
      <c r="Z659" s="41"/>
      <c r="AA659" s="41"/>
      <c r="AB659" s="63"/>
      <c r="AC659" s="41"/>
      <c r="AD659" s="41"/>
      <c r="AE659" s="64"/>
      <c r="AF659" s="41"/>
      <c r="AG659" s="64"/>
      <c r="AH659" s="41"/>
      <c r="AI659" s="41"/>
      <c r="AJ659" s="41"/>
      <c r="AK659" s="41"/>
      <c r="AL659" s="41"/>
      <c r="AM659" s="41"/>
      <c r="AN659" s="41"/>
      <c r="AO659" s="41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5"/>
      <c r="BB659" s="65"/>
      <c r="BC659" s="65"/>
      <c r="BD659" s="65"/>
    </row>
    <row r="660" spans="2:56" ht="16.5" customHeight="1" thickBot="1" x14ac:dyDescent="0.3">
      <c r="B660" s="1" t="s">
        <v>3</v>
      </c>
      <c r="C660" s="15">
        <f t="shared" si="72"/>
        <v>0</v>
      </c>
      <c r="E660" s="1" t="s">
        <v>3</v>
      </c>
      <c r="F660" s="73"/>
      <c r="G660" s="67"/>
      <c r="H660" s="67"/>
      <c r="I660" s="68"/>
      <c r="J660" s="66"/>
      <c r="K660" s="67"/>
      <c r="L660" s="67"/>
      <c r="M660" s="67"/>
      <c r="N660" s="66"/>
      <c r="O660" s="68"/>
      <c r="P660" s="66"/>
      <c r="Q660" s="67"/>
      <c r="R660" s="67"/>
      <c r="S660" s="67"/>
      <c r="T660" s="67"/>
      <c r="U660" s="67"/>
      <c r="V660" s="67"/>
      <c r="W660" s="68"/>
      <c r="X660" s="73"/>
      <c r="Y660" s="67"/>
      <c r="Z660" s="67"/>
      <c r="AA660" s="67"/>
      <c r="AB660" s="66"/>
      <c r="AC660" s="67"/>
      <c r="AD660" s="67"/>
      <c r="AE660" s="68"/>
      <c r="AF660" s="67"/>
      <c r="AG660" s="68"/>
      <c r="AH660" s="67"/>
      <c r="AI660" s="67"/>
      <c r="AJ660" s="67"/>
      <c r="AK660" s="67"/>
      <c r="AL660" s="67"/>
      <c r="AM660" s="67"/>
      <c r="AN660" s="67"/>
      <c r="AO660" s="67"/>
      <c r="AP660" s="66"/>
      <c r="AQ660" s="66"/>
      <c r="AR660" s="66"/>
      <c r="AS660" s="66"/>
      <c r="AT660" s="66"/>
      <c r="AU660" s="66"/>
      <c r="AV660" s="66"/>
      <c r="AW660" s="66"/>
      <c r="AX660" s="66"/>
      <c r="AY660" s="66"/>
      <c r="AZ660" s="66"/>
      <c r="BA660" s="69"/>
      <c r="BB660" s="69"/>
      <c r="BC660" s="69"/>
      <c r="BD660" s="69"/>
    </row>
    <row r="661" spans="2:56" ht="21" customHeight="1" x14ac:dyDescent="0.25">
      <c r="B661" s="2"/>
      <c r="C661" s="8">
        <f>SUM(C657:C660)</f>
        <v>1</v>
      </c>
      <c r="F661" s="74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74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</row>
    <row r="662" spans="2:56" x14ac:dyDescent="0.25"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</row>
    <row r="663" spans="2:56" ht="15.75" x14ac:dyDescent="0.25">
      <c r="F663" s="82" t="s">
        <v>17</v>
      </c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3" t="s">
        <v>16</v>
      </c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79"/>
      <c r="AQ663" s="79"/>
      <c r="AR663" s="79"/>
      <c r="AS663" s="79"/>
      <c r="AT663" s="79"/>
      <c r="AU663" s="41"/>
      <c r="AV663" s="41"/>
      <c r="AW663" s="41"/>
      <c r="AX663" s="41"/>
      <c r="AY663" s="41"/>
      <c r="AZ663" s="41"/>
      <c r="BA663" s="41"/>
    </row>
    <row r="664" spans="2:56" ht="32.25" thickBot="1" x14ac:dyDescent="0.3">
      <c r="F664" s="81" t="s">
        <v>9</v>
      </c>
      <c r="G664" s="81"/>
      <c r="H664" s="81"/>
      <c r="I664" s="81"/>
      <c r="J664" s="81" t="s">
        <v>10</v>
      </c>
      <c r="K664" s="81"/>
      <c r="L664" s="81"/>
      <c r="M664" s="81"/>
      <c r="N664" s="81" t="s">
        <v>49</v>
      </c>
      <c r="O664" s="81"/>
      <c r="P664" s="81" t="s">
        <v>11</v>
      </c>
      <c r="Q664" s="81"/>
      <c r="R664" s="81"/>
      <c r="S664" s="81"/>
      <c r="T664" s="81"/>
      <c r="U664" s="81"/>
      <c r="V664" s="81"/>
      <c r="W664" s="81"/>
      <c r="X664" s="81" t="s">
        <v>9</v>
      </c>
      <c r="Y664" s="81"/>
      <c r="Z664" s="81"/>
      <c r="AA664" s="81"/>
      <c r="AB664" s="81" t="s">
        <v>10</v>
      </c>
      <c r="AC664" s="81"/>
      <c r="AD664" s="81"/>
      <c r="AE664" s="81"/>
      <c r="AF664" s="81" t="s">
        <v>49</v>
      </c>
      <c r="AG664" s="81"/>
      <c r="AH664" s="81" t="s">
        <v>11</v>
      </c>
      <c r="AI664" s="81"/>
      <c r="AJ664" s="81"/>
      <c r="AK664" s="81"/>
      <c r="AL664" s="81"/>
      <c r="AM664" s="81"/>
      <c r="AN664" s="81"/>
      <c r="AO664" s="81"/>
      <c r="AP664" s="70" t="s">
        <v>50</v>
      </c>
      <c r="AQ664" s="70" t="s">
        <v>57</v>
      </c>
      <c r="AR664" s="70" t="s">
        <v>63</v>
      </c>
      <c r="AS664" s="70" t="s">
        <v>64</v>
      </c>
      <c r="AT664" s="70" t="s">
        <v>61</v>
      </c>
      <c r="AU664" s="70" t="s">
        <v>54</v>
      </c>
      <c r="AV664" s="70" t="s">
        <v>19</v>
      </c>
      <c r="AW664" s="70" t="s">
        <v>58</v>
      </c>
      <c r="AX664" s="70" t="s">
        <v>51</v>
      </c>
      <c r="AY664" s="70" t="s">
        <v>53</v>
      </c>
      <c r="AZ664" s="70" t="s">
        <v>52</v>
      </c>
      <c r="BA664" s="70" t="s">
        <v>55</v>
      </c>
      <c r="BB664" s="70" t="s">
        <v>56</v>
      </c>
      <c r="BC664" s="70" t="s">
        <v>59</v>
      </c>
      <c r="BD664" s="70" t="s">
        <v>60</v>
      </c>
    </row>
    <row r="665" spans="2:56" ht="16.5" thickBot="1" x14ac:dyDescent="0.3">
      <c r="B665" s="16">
        <v>0.76041666666666896</v>
      </c>
      <c r="C665" s="7" t="s">
        <v>5</v>
      </c>
      <c r="E665" s="11"/>
      <c r="F665" s="75" t="s">
        <v>15</v>
      </c>
      <c r="G665" s="58" t="s">
        <v>12</v>
      </c>
      <c r="H665" s="58" t="s">
        <v>14</v>
      </c>
      <c r="I665" s="58" t="s">
        <v>13</v>
      </c>
      <c r="J665" s="58" t="s">
        <v>42</v>
      </c>
      <c r="K665" s="58" t="s">
        <v>41</v>
      </c>
      <c r="L665" s="58" t="s">
        <v>43</v>
      </c>
      <c r="M665" s="58" t="s">
        <v>44</v>
      </c>
      <c r="N665" s="58" t="s">
        <v>15</v>
      </c>
      <c r="O665" s="58" t="s">
        <v>14</v>
      </c>
      <c r="P665" s="58" t="s">
        <v>45</v>
      </c>
      <c r="Q665" s="58" t="s">
        <v>46</v>
      </c>
      <c r="R665" s="58" t="s">
        <v>42</v>
      </c>
      <c r="S665" s="58" t="s">
        <v>41</v>
      </c>
      <c r="T665" s="58" t="s">
        <v>47</v>
      </c>
      <c r="U665" s="58" t="s">
        <v>48</v>
      </c>
      <c r="V665" s="58" t="s">
        <v>43</v>
      </c>
      <c r="W665" s="58" t="s">
        <v>44</v>
      </c>
      <c r="X665" s="75" t="s">
        <v>15</v>
      </c>
      <c r="Y665" s="58" t="s">
        <v>12</v>
      </c>
      <c r="Z665" s="58" t="s">
        <v>14</v>
      </c>
      <c r="AA665" s="58" t="s">
        <v>13</v>
      </c>
      <c r="AB665" s="58" t="s">
        <v>42</v>
      </c>
      <c r="AC665" s="58" t="s">
        <v>41</v>
      </c>
      <c r="AD665" s="58" t="s">
        <v>43</v>
      </c>
      <c r="AE665" s="58" t="s">
        <v>44</v>
      </c>
      <c r="AF665" s="58" t="s">
        <v>15</v>
      </c>
      <c r="AG665" s="58" t="s">
        <v>14</v>
      </c>
      <c r="AH665" s="58" t="s">
        <v>45</v>
      </c>
      <c r="AI665" s="58" t="s">
        <v>46</v>
      </c>
      <c r="AJ665" s="58" t="s">
        <v>42</v>
      </c>
      <c r="AK665" s="58" t="s">
        <v>41</v>
      </c>
      <c r="AL665" s="58" t="s">
        <v>47</v>
      </c>
      <c r="AM665" s="58" t="s">
        <v>48</v>
      </c>
      <c r="AN665" s="58" t="s">
        <v>43</v>
      </c>
      <c r="AO665" s="58" t="s">
        <v>44</v>
      </c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</row>
    <row r="666" spans="2:56" ht="16.5" customHeight="1" thickBot="1" x14ac:dyDescent="0.3">
      <c r="B666" s="1" t="s">
        <v>0</v>
      </c>
      <c r="C666" s="13">
        <f>SUM(F666:W666)</f>
        <v>0</v>
      </c>
      <c r="E666" s="10" t="s">
        <v>0</v>
      </c>
      <c r="F666" s="71"/>
      <c r="G666" s="60"/>
      <c r="H666" s="60"/>
      <c r="I666" s="61"/>
      <c r="J666" s="59"/>
      <c r="K666" s="60"/>
      <c r="L666" s="60"/>
      <c r="M666" s="60"/>
      <c r="N666" s="59"/>
      <c r="O666" s="61"/>
      <c r="P666" s="59"/>
      <c r="Q666" s="60"/>
      <c r="R666" s="60"/>
      <c r="S666" s="60"/>
      <c r="T666" s="60"/>
      <c r="U666" s="60"/>
      <c r="V666" s="60"/>
      <c r="W666" s="61"/>
      <c r="X666" s="71"/>
      <c r="Y666" s="60"/>
      <c r="Z666" s="60"/>
      <c r="AA666" s="60"/>
      <c r="AB666" s="59"/>
      <c r="AC666" s="60"/>
      <c r="AD666" s="60"/>
      <c r="AE666" s="61"/>
      <c r="AF666" s="60"/>
      <c r="AG666" s="61"/>
      <c r="AH666" s="60"/>
      <c r="AI666" s="60"/>
      <c r="AJ666" s="60"/>
      <c r="AK666" s="60"/>
      <c r="AL666" s="60"/>
      <c r="AM666" s="60"/>
      <c r="AN666" s="60"/>
      <c r="AO666" s="60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62"/>
      <c r="BB666" s="62"/>
      <c r="BC666" s="62"/>
      <c r="BD666" s="62"/>
    </row>
    <row r="667" spans="2:56" ht="16.5" customHeight="1" thickBot="1" x14ac:dyDescent="0.3">
      <c r="B667" s="1" t="s">
        <v>1</v>
      </c>
      <c r="C667" s="14">
        <f t="shared" ref="C667:C669" si="73">SUM(F667:W667)</f>
        <v>2</v>
      </c>
      <c r="E667" s="1" t="s">
        <v>1</v>
      </c>
      <c r="F667" s="72"/>
      <c r="G667" s="41"/>
      <c r="H667" s="41"/>
      <c r="I667" s="64"/>
      <c r="J667" s="63"/>
      <c r="K667" s="41"/>
      <c r="L667" s="41"/>
      <c r="M667" s="41"/>
      <c r="N667" s="63">
        <v>1</v>
      </c>
      <c r="O667" s="64"/>
      <c r="P667" s="63"/>
      <c r="Q667" s="41"/>
      <c r="R667" s="41"/>
      <c r="S667" s="41"/>
      <c r="T667" s="41"/>
      <c r="U667" s="41"/>
      <c r="V667" s="41"/>
      <c r="W667" s="64">
        <v>1</v>
      </c>
      <c r="X667" s="72"/>
      <c r="Y667" s="41"/>
      <c r="Z667" s="41"/>
      <c r="AA667" s="41"/>
      <c r="AB667" s="63"/>
      <c r="AC667" s="41"/>
      <c r="AD667" s="41"/>
      <c r="AE667" s="64"/>
      <c r="AF667" s="41"/>
      <c r="AG667" s="64">
        <v>1</v>
      </c>
      <c r="AH667" s="41"/>
      <c r="AI667" s="41"/>
      <c r="AJ667" s="41"/>
      <c r="AK667" s="41"/>
      <c r="AL667" s="41"/>
      <c r="AM667" s="41">
        <v>1</v>
      </c>
      <c r="AN667" s="41"/>
      <c r="AO667" s="41"/>
      <c r="AP667" s="63">
        <v>1</v>
      </c>
      <c r="AQ667" s="63">
        <v>2</v>
      </c>
      <c r="AR667" s="63"/>
      <c r="AS667" s="63"/>
      <c r="AT667" s="63"/>
      <c r="AU667" s="63"/>
      <c r="AV667" s="63"/>
      <c r="AW667" s="63"/>
      <c r="AX667" s="63"/>
      <c r="AY667" s="63"/>
      <c r="AZ667" s="63"/>
      <c r="BA667" s="65">
        <v>1</v>
      </c>
      <c r="BB667" s="65"/>
      <c r="BC667" s="65"/>
      <c r="BD667" s="65"/>
    </row>
    <row r="668" spans="2:56" ht="16.5" customHeight="1" thickBot="1" x14ac:dyDescent="0.3">
      <c r="B668" s="1" t="s">
        <v>2</v>
      </c>
      <c r="C668" s="14">
        <f t="shared" si="73"/>
        <v>0</v>
      </c>
      <c r="E668" s="1" t="s">
        <v>2</v>
      </c>
      <c r="F668" s="72"/>
      <c r="G668" s="41"/>
      <c r="H668" s="41"/>
      <c r="I668" s="64"/>
      <c r="J668" s="63"/>
      <c r="K668" s="41"/>
      <c r="L668" s="41"/>
      <c r="M668" s="41"/>
      <c r="N668" s="63"/>
      <c r="O668" s="64"/>
      <c r="P668" s="63"/>
      <c r="Q668" s="41"/>
      <c r="R668" s="41"/>
      <c r="S668" s="41"/>
      <c r="T668" s="41"/>
      <c r="U668" s="41"/>
      <c r="V668" s="41"/>
      <c r="W668" s="64"/>
      <c r="X668" s="72"/>
      <c r="Y668" s="41"/>
      <c r="Z668" s="41"/>
      <c r="AA668" s="41"/>
      <c r="AB668" s="63"/>
      <c r="AC668" s="41"/>
      <c r="AD668" s="41"/>
      <c r="AE668" s="64"/>
      <c r="AF668" s="41"/>
      <c r="AG668" s="64"/>
      <c r="AH668" s="41"/>
      <c r="AI668" s="41"/>
      <c r="AJ668" s="41"/>
      <c r="AK668" s="41"/>
      <c r="AL668" s="41"/>
      <c r="AM668" s="41"/>
      <c r="AN668" s="41"/>
      <c r="AO668" s="41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5"/>
      <c r="BB668" s="65"/>
      <c r="BC668" s="65"/>
      <c r="BD668" s="65"/>
    </row>
    <row r="669" spans="2:56" ht="16.5" customHeight="1" thickBot="1" x14ac:dyDescent="0.3">
      <c r="B669" s="1" t="s">
        <v>3</v>
      </c>
      <c r="C669" s="15">
        <f t="shared" si="73"/>
        <v>0</v>
      </c>
      <c r="E669" s="1" t="s">
        <v>3</v>
      </c>
      <c r="F669" s="73"/>
      <c r="G669" s="67"/>
      <c r="H669" s="67"/>
      <c r="I669" s="68"/>
      <c r="J669" s="66"/>
      <c r="K669" s="67"/>
      <c r="L669" s="67"/>
      <c r="M669" s="67"/>
      <c r="N669" s="66"/>
      <c r="O669" s="68"/>
      <c r="P669" s="66"/>
      <c r="Q669" s="67"/>
      <c r="R669" s="67"/>
      <c r="S669" s="67"/>
      <c r="T669" s="67"/>
      <c r="U669" s="67"/>
      <c r="V669" s="67"/>
      <c r="W669" s="68"/>
      <c r="X669" s="73"/>
      <c r="Y669" s="67"/>
      <c r="Z669" s="67"/>
      <c r="AA669" s="67"/>
      <c r="AB669" s="66"/>
      <c r="AC669" s="67"/>
      <c r="AD669" s="67"/>
      <c r="AE669" s="68"/>
      <c r="AF669" s="67"/>
      <c r="AG669" s="68"/>
      <c r="AH669" s="67"/>
      <c r="AI669" s="67"/>
      <c r="AJ669" s="67"/>
      <c r="AK669" s="67"/>
      <c r="AL669" s="67"/>
      <c r="AM669" s="67"/>
      <c r="AN669" s="67"/>
      <c r="AO669" s="67"/>
      <c r="AP669" s="66"/>
      <c r="AQ669" s="66"/>
      <c r="AR669" s="66"/>
      <c r="AS669" s="66"/>
      <c r="AT669" s="66"/>
      <c r="AU669" s="66"/>
      <c r="AV669" s="66"/>
      <c r="AW669" s="66"/>
      <c r="AX669" s="66"/>
      <c r="AY669" s="66"/>
      <c r="AZ669" s="66"/>
      <c r="BA669" s="69"/>
      <c r="BB669" s="69"/>
      <c r="BC669" s="69"/>
      <c r="BD669" s="69"/>
    </row>
    <row r="670" spans="2:56" ht="21" customHeight="1" x14ac:dyDescent="0.25">
      <c r="B670" s="2"/>
      <c r="C670" s="8">
        <f>SUM(C666:C669)</f>
        <v>2</v>
      </c>
      <c r="F670" s="74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74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</row>
    <row r="671" spans="2:56" x14ac:dyDescent="0.25"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</row>
    <row r="672" spans="2:56" ht="15.75" x14ac:dyDescent="0.25">
      <c r="F672" s="82" t="s">
        <v>17</v>
      </c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3" t="s">
        <v>16</v>
      </c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79"/>
      <c r="AQ672" s="79"/>
      <c r="AR672" s="79"/>
      <c r="AS672" s="79"/>
      <c r="AT672" s="79"/>
      <c r="AU672" s="41"/>
      <c r="AV672" s="41"/>
      <c r="AW672" s="41"/>
      <c r="AX672" s="41"/>
      <c r="AY672" s="41"/>
      <c r="AZ672" s="41"/>
      <c r="BA672" s="41"/>
    </row>
    <row r="673" spans="2:56" ht="32.25" thickBot="1" x14ac:dyDescent="0.3">
      <c r="F673" s="81" t="s">
        <v>9</v>
      </c>
      <c r="G673" s="81"/>
      <c r="H673" s="81"/>
      <c r="I673" s="81"/>
      <c r="J673" s="81" t="s">
        <v>10</v>
      </c>
      <c r="K673" s="81"/>
      <c r="L673" s="81"/>
      <c r="M673" s="81"/>
      <c r="N673" s="81" t="s">
        <v>49</v>
      </c>
      <c r="O673" s="81"/>
      <c r="P673" s="81" t="s">
        <v>11</v>
      </c>
      <c r="Q673" s="81"/>
      <c r="R673" s="81"/>
      <c r="S673" s="81"/>
      <c r="T673" s="81"/>
      <c r="U673" s="81"/>
      <c r="V673" s="81"/>
      <c r="W673" s="81"/>
      <c r="X673" s="81" t="s">
        <v>9</v>
      </c>
      <c r="Y673" s="81"/>
      <c r="Z673" s="81"/>
      <c r="AA673" s="81"/>
      <c r="AB673" s="81" t="s">
        <v>10</v>
      </c>
      <c r="AC673" s="81"/>
      <c r="AD673" s="81"/>
      <c r="AE673" s="81"/>
      <c r="AF673" s="81" t="s">
        <v>49</v>
      </c>
      <c r="AG673" s="81"/>
      <c r="AH673" s="81" t="s">
        <v>11</v>
      </c>
      <c r="AI673" s="81"/>
      <c r="AJ673" s="81"/>
      <c r="AK673" s="81"/>
      <c r="AL673" s="81"/>
      <c r="AM673" s="81"/>
      <c r="AN673" s="81"/>
      <c r="AO673" s="81"/>
      <c r="AP673" s="70" t="s">
        <v>50</v>
      </c>
      <c r="AQ673" s="70" t="s">
        <v>57</v>
      </c>
      <c r="AR673" s="70" t="s">
        <v>63</v>
      </c>
      <c r="AS673" s="70" t="s">
        <v>64</v>
      </c>
      <c r="AT673" s="70" t="s">
        <v>61</v>
      </c>
      <c r="AU673" s="70" t="s">
        <v>54</v>
      </c>
      <c r="AV673" s="70" t="s">
        <v>19</v>
      </c>
      <c r="AW673" s="70" t="s">
        <v>58</v>
      </c>
      <c r="AX673" s="70" t="s">
        <v>51</v>
      </c>
      <c r="AY673" s="70" t="s">
        <v>53</v>
      </c>
      <c r="AZ673" s="70" t="s">
        <v>52</v>
      </c>
      <c r="BA673" s="70" t="s">
        <v>55</v>
      </c>
      <c r="BB673" s="70" t="s">
        <v>56</v>
      </c>
      <c r="BC673" s="70" t="s">
        <v>59</v>
      </c>
      <c r="BD673" s="70" t="s">
        <v>60</v>
      </c>
    </row>
    <row r="674" spans="2:56" ht="16.5" thickBot="1" x14ac:dyDescent="0.3">
      <c r="B674" s="16">
        <v>0.77083333333333504</v>
      </c>
      <c r="C674" s="7" t="s">
        <v>5</v>
      </c>
      <c r="E674" s="11"/>
      <c r="F674" s="75" t="s">
        <v>15</v>
      </c>
      <c r="G674" s="58" t="s">
        <v>12</v>
      </c>
      <c r="H674" s="58" t="s">
        <v>14</v>
      </c>
      <c r="I674" s="58" t="s">
        <v>13</v>
      </c>
      <c r="J674" s="58" t="s">
        <v>42</v>
      </c>
      <c r="K674" s="58" t="s">
        <v>41</v>
      </c>
      <c r="L674" s="58" t="s">
        <v>43</v>
      </c>
      <c r="M674" s="58" t="s">
        <v>44</v>
      </c>
      <c r="N674" s="58" t="s">
        <v>15</v>
      </c>
      <c r="O674" s="58" t="s">
        <v>14</v>
      </c>
      <c r="P674" s="58" t="s">
        <v>45</v>
      </c>
      <c r="Q674" s="58" t="s">
        <v>46</v>
      </c>
      <c r="R674" s="58" t="s">
        <v>42</v>
      </c>
      <c r="S674" s="58" t="s">
        <v>41</v>
      </c>
      <c r="T674" s="58" t="s">
        <v>47</v>
      </c>
      <c r="U674" s="58" t="s">
        <v>48</v>
      </c>
      <c r="V674" s="58" t="s">
        <v>43</v>
      </c>
      <c r="W674" s="58" t="s">
        <v>44</v>
      </c>
      <c r="X674" s="75" t="s">
        <v>15</v>
      </c>
      <c r="Y674" s="58" t="s">
        <v>12</v>
      </c>
      <c r="Z674" s="58" t="s">
        <v>14</v>
      </c>
      <c r="AA674" s="58" t="s">
        <v>13</v>
      </c>
      <c r="AB674" s="58" t="s">
        <v>42</v>
      </c>
      <c r="AC674" s="58" t="s">
        <v>41</v>
      </c>
      <c r="AD674" s="58" t="s">
        <v>43</v>
      </c>
      <c r="AE674" s="58" t="s">
        <v>44</v>
      </c>
      <c r="AF674" s="58" t="s">
        <v>15</v>
      </c>
      <c r="AG674" s="58" t="s">
        <v>14</v>
      </c>
      <c r="AH674" s="58" t="s">
        <v>45</v>
      </c>
      <c r="AI674" s="58" t="s">
        <v>46</v>
      </c>
      <c r="AJ674" s="58" t="s">
        <v>42</v>
      </c>
      <c r="AK674" s="58" t="s">
        <v>41</v>
      </c>
      <c r="AL674" s="58" t="s">
        <v>47</v>
      </c>
      <c r="AM674" s="58" t="s">
        <v>48</v>
      </c>
      <c r="AN674" s="58" t="s">
        <v>43</v>
      </c>
      <c r="AO674" s="58" t="s">
        <v>44</v>
      </c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</row>
    <row r="675" spans="2:56" ht="16.5" customHeight="1" thickBot="1" x14ac:dyDescent="0.3">
      <c r="B675" s="1" t="s">
        <v>0</v>
      </c>
      <c r="C675" s="13">
        <f>SUM(F675:W675)</f>
        <v>3</v>
      </c>
      <c r="E675" s="10" t="s">
        <v>0</v>
      </c>
      <c r="F675" s="71"/>
      <c r="G675" s="60"/>
      <c r="H675" s="60"/>
      <c r="I675" s="61"/>
      <c r="J675" s="59"/>
      <c r="K675" s="60"/>
      <c r="L675" s="60"/>
      <c r="M675" s="60"/>
      <c r="N675" s="59"/>
      <c r="O675" s="61"/>
      <c r="P675" s="59">
        <v>1</v>
      </c>
      <c r="Q675" s="60"/>
      <c r="R675" s="60"/>
      <c r="S675" s="60"/>
      <c r="T675" s="60"/>
      <c r="U675" s="60">
        <v>2</v>
      </c>
      <c r="V675" s="60"/>
      <c r="W675" s="61"/>
      <c r="X675" s="71"/>
      <c r="Y675" s="60"/>
      <c r="Z675" s="60"/>
      <c r="AA675" s="60"/>
      <c r="AB675" s="59"/>
      <c r="AC675" s="60"/>
      <c r="AD675" s="60"/>
      <c r="AE675" s="61"/>
      <c r="AF675" s="60"/>
      <c r="AG675" s="61"/>
      <c r="AH675" s="60">
        <v>2</v>
      </c>
      <c r="AI675" s="60"/>
      <c r="AJ675" s="60"/>
      <c r="AK675" s="60">
        <v>1</v>
      </c>
      <c r="AL675" s="60"/>
      <c r="AM675" s="60"/>
      <c r="AN675" s="60"/>
      <c r="AO675" s="60"/>
      <c r="AP675" s="59"/>
      <c r="AQ675" s="59">
        <v>2</v>
      </c>
      <c r="AR675" s="59"/>
      <c r="AS675" s="59"/>
      <c r="AT675" s="59"/>
      <c r="AU675" s="59"/>
      <c r="AV675" s="59"/>
      <c r="AW675" s="59"/>
      <c r="AX675" s="59"/>
      <c r="AY675" s="59"/>
      <c r="AZ675" s="59"/>
      <c r="BA675" s="62"/>
      <c r="BB675" s="62"/>
      <c r="BC675" s="62"/>
      <c r="BD675" s="62"/>
    </row>
    <row r="676" spans="2:56" ht="16.5" customHeight="1" thickBot="1" x14ac:dyDescent="0.3">
      <c r="B676" s="1" t="s">
        <v>1</v>
      </c>
      <c r="C676" s="14">
        <f t="shared" ref="C676:C678" si="74">SUM(F676:W676)</f>
        <v>0</v>
      </c>
      <c r="E676" s="1" t="s">
        <v>1</v>
      </c>
      <c r="F676" s="72"/>
      <c r="G676" s="41"/>
      <c r="H676" s="41"/>
      <c r="I676" s="64"/>
      <c r="J676" s="63"/>
      <c r="K676" s="41"/>
      <c r="L676" s="41"/>
      <c r="M676" s="41"/>
      <c r="N676" s="63"/>
      <c r="O676" s="64"/>
      <c r="P676" s="63"/>
      <c r="Q676" s="41"/>
      <c r="R676" s="41"/>
      <c r="S676" s="41"/>
      <c r="T676" s="41"/>
      <c r="U676" s="41"/>
      <c r="V676" s="41"/>
      <c r="W676" s="64"/>
      <c r="X676" s="72"/>
      <c r="Y676" s="41"/>
      <c r="Z676" s="41"/>
      <c r="AA676" s="41"/>
      <c r="AB676" s="63"/>
      <c r="AC676" s="41"/>
      <c r="AD676" s="41"/>
      <c r="AE676" s="64"/>
      <c r="AF676" s="41"/>
      <c r="AG676" s="64"/>
      <c r="AH676" s="41"/>
      <c r="AI676" s="41"/>
      <c r="AJ676" s="41"/>
      <c r="AK676" s="41"/>
      <c r="AL676" s="41"/>
      <c r="AM676" s="41"/>
      <c r="AN676" s="41"/>
      <c r="AO676" s="41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5"/>
      <c r="BB676" s="65"/>
      <c r="BC676" s="65"/>
      <c r="BD676" s="65"/>
    </row>
    <row r="677" spans="2:56" ht="16.5" customHeight="1" thickBot="1" x14ac:dyDescent="0.3">
      <c r="B677" s="1" t="s">
        <v>2</v>
      </c>
      <c r="C677" s="14">
        <f t="shared" si="74"/>
        <v>0</v>
      </c>
      <c r="E677" s="1" t="s">
        <v>2</v>
      </c>
      <c r="F677" s="72"/>
      <c r="G677" s="41"/>
      <c r="H677" s="41"/>
      <c r="I677" s="64"/>
      <c r="J677" s="63"/>
      <c r="K677" s="41"/>
      <c r="L677" s="41"/>
      <c r="M677" s="41"/>
      <c r="N677" s="63"/>
      <c r="O677" s="64"/>
      <c r="P677" s="63"/>
      <c r="Q677" s="41"/>
      <c r="R677" s="41"/>
      <c r="S677" s="41"/>
      <c r="T677" s="41"/>
      <c r="U677" s="41"/>
      <c r="V677" s="41"/>
      <c r="W677" s="64"/>
      <c r="X677" s="72"/>
      <c r="Y677" s="41"/>
      <c r="Z677" s="41"/>
      <c r="AA677" s="41"/>
      <c r="AB677" s="63"/>
      <c r="AC677" s="41"/>
      <c r="AD677" s="41"/>
      <c r="AE677" s="64"/>
      <c r="AF677" s="41"/>
      <c r="AG677" s="64"/>
      <c r="AH677" s="41"/>
      <c r="AI677" s="41"/>
      <c r="AJ677" s="41"/>
      <c r="AK677" s="41"/>
      <c r="AL677" s="41"/>
      <c r="AM677" s="41"/>
      <c r="AN677" s="41"/>
      <c r="AO677" s="41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5"/>
      <c r="BB677" s="65"/>
      <c r="BC677" s="65"/>
      <c r="BD677" s="65"/>
    </row>
    <row r="678" spans="2:56" ht="16.5" customHeight="1" thickBot="1" x14ac:dyDescent="0.3">
      <c r="B678" s="1" t="s">
        <v>3</v>
      </c>
      <c r="C678" s="15">
        <f t="shared" si="74"/>
        <v>0</v>
      </c>
      <c r="E678" s="1" t="s">
        <v>3</v>
      </c>
      <c r="F678" s="73"/>
      <c r="G678" s="67"/>
      <c r="H678" s="67"/>
      <c r="I678" s="68"/>
      <c r="J678" s="66"/>
      <c r="K678" s="67"/>
      <c r="L678" s="67"/>
      <c r="M678" s="67"/>
      <c r="N678" s="66"/>
      <c r="O678" s="68"/>
      <c r="P678" s="66"/>
      <c r="Q678" s="67"/>
      <c r="R678" s="67"/>
      <c r="S678" s="67"/>
      <c r="T678" s="67"/>
      <c r="U678" s="67"/>
      <c r="V678" s="67"/>
      <c r="W678" s="68"/>
      <c r="X678" s="73"/>
      <c r="Y678" s="67"/>
      <c r="Z678" s="67"/>
      <c r="AA678" s="67"/>
      <c r="AB678" s="66"/>
      <c r="AC678" s="67"/>
      <c r="AD678" s="67"/>
      <c r="AE678" s="68"/>
      <c r="AF678" s="67"/>
      <c r="AG678" s="68"/>
      <c r="AH678" s="67"/>
      <c r="AI678" s="67"/>
      <c r="AJ678" s="67"/>
      <c r="AK678" s="67"/>
      <c r="AL678" s="67"/>
      <c r="AM678" s="67"/>
      <c r="AN678" s="67"/>
      <c r="AO678" s="67"/>
      <c r="AP678" s="66"/>
      <c r="AQ678" s="66"/>
      <c r="AR678" s="66"/>
      <c r="AS678" s="66"/>
      <c r="AT678" s="66"/>
      <c r="AU678" s="66"/>
      <c r="AV678" s="66"/>
      <c r="AW678" s="66"/>
      <c r="AX678" s="66"/>
      <c r="AY678" s="66"/>
      <c r="AZ678" s="66"/>
      <c r="BA678" s="69"/>
      <c r="BB678" s="69"/>
      <c r="BC678" s="69"/>
      <c r="BD678" s="69"/>
    </row>
    <row r="679" spans="2:56" ht="21" customHeight="1" x14ac:dyDescent="0.25">
      <c r="B679" s="2"/>
      <c r="C679" s="8">
        <f>SUM(C675:C678)</f>
        <v>3</v>
      </c>
      <c r="F679" s="74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74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</row>
    <row r="680" spans="2:56" x14ac:dyDescent="0.25"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</row>
    <row r="681" spans="2:56" ht="15.75" x14ac:dyDescent="0.25">
      <c r="F681" s="82" t="s">
        <v>17</v>
      </c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3" t="s">
        <v>16</v>
      </c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79"/>
      <c r="AQ681" s="79"/>
      <c r="AR681" s="79"/>
      <c r="AS681" s="79"/>
      <c r="AT681" s="79"/>
      <c r="AU681" s="41"/>
      <c r="AV681" s="41"/>
      <c r="AW681" s="41"/>
      <c r="AX681" s="41"/>
      <c r="AY681" s="41"/>
      <c r="AZ681" s="41"/>
      <c r="BA681" s="41"/>
    </row>
    <row r="682" spans="2:56" ht="32.25" thickBot="1" x14ac:dyDescent="0.3">
      <c r="F682" s="81" t="s">
        <v>9</v>
      </c>
      <c r="G682" s="81"/>
      <c r="H682" s="81"/>
      <c r="I682" s="81"/>
      <c r="J682" s="81" t="s">
        <v>10</v>
      </c>
      <c r="K682" s="81"/>
      <c r="L682" s="81"/>
      <c r="M682" s="81"/>
      <c r="N682" s="81" t="s">
        <v>49</v>
      </c>
      <c r="O682" s="81"/>
      <c r="P682" s="81" t="s">
        <v>11</v>
      </c>
      <c r="Q682" s="81"/>
      <c r="R682" s="81"/>
      <c r="S682" s="81"/>
      <c r="T682" s="81"/>
      <c r="U682" s="81"/>
      <c r="V682" s="81"/>
      <c r="W682" s="81"/>
      <c r="X682" s="81" t="s">
        <v>9</v>
      </c>
      <c r="Y682" s="81"/>
      <c r="Z682" s="81"/>
      <c r="AA682" s="81"/>
      <c r="AB682" s="81" t="s">
        <v>10</v>
      </c>
      <c r="AC682" s="81"/>
      <c r="AD682" s="81"/>
      <c r="AE682" s="81"/>
      <c r="AF682" s="81" t="s">
        <v>49</v>
      </c>
      <c r="AG682" s="81"/>
      <c r="AH682" s="81" t="s">
        <v>11</v>
      </c>
      <c r="AI682" s="81"/>
      <c r="AJ682" s="81"/>
      <c r="AK682" s="81"/>
      <c r="AL682" s="81"/>
      <c r="AM682" s="81"/>
      <c r="AN682" s="81"/>
      <c r="AO682" s="81"/>
      <c r="AP682" s="70" t="s">
        <v>50</v>
      </c>
      <c r="AQ682" s="70" t="s">
        <v>57</v>
      </c>
      <c r="AR682" s="70" t="s">
        <v>63</v>
      </c>
      <c r="AS682" s="70" t="s">
        <v>64</v>
      </c>
      <c r="AT682" s="70" t="s">
        <v>61</v>
      </c>
      <c r="AU682" s="70" t="s">
        <v>54</v>
      </c>
      <c r="AV682" s="70" t="s">
        <v>19</v>
      </c>
      <c r="AW682" s="70" t="s">
        <v>58</v>
      </c>
      <c r="AX682" s="70" t="s">
        <v>51</v>
      </c>
      <c r="AY682" s="70" t="s">
        <v>53</v>
      </c>
      <c r="AZ682" s="70" t="s">
        <v>52</v>
      </c>
      <c r="BA682" s="70" t="s">
        <v>55</v>
      </c>
      <c r="BB682" s="70" t="s">
        <v>56</v>
      </c>
      <c r="BC682" s="70" t="s">
        <v>59</v>
      </c>
      <c r="BD682" s="70" t="s">
        <v>60</v>
      </c>
    </row>
    <row r="683" spans="2:56" ht="16.5" thickBot="1" x14ac:dyDescent="0.3">
      <c r="B683" s="16">
        <v>0.781250000000002</v>
      </c>
      <c r="C683" s="7" t="s">
        <v>5</v>
      </c>
      <c r="E683" s="11"/>
      <c r="F683" s="75" t="s">
        <v>15</v>
      </c>
      <c r="G683" s="58" t="s">
        <v>12</v>
      </c>
      <c r="H683" s="58" t="s">
        <v>14</v>
      </c>
      <c r="I683" s="58" t="s">
        <v>13</v>
      </c>
      <c r="J683" s="58" t="s">
        <v>42</v>
      </c>
      <c r="K683" s="58" t="s">
        <v>41</v>
      </c>
      <c r="L683" s="58" t="s">
        <v>43</v>
      </c>
      <c r="M683" s="58" t="s">
        <v>44</v>
      </c>
      <c r="N683" s="58" t="s">
        <v>15</v>
      </c>
      <c r="O683" s="58" t="s">
        <v>14</v>
      </c>
      <c r="P683" s="58" t="s">
        <v>45</v>
      </c>
      <c r="Q683" s="58" t="s">
        <v>46</v>
      </c>
      <c r="R683" s="58" t="s">
        <v>42</v>
      </c>
      <c r="S683" s="58" t="s">
        <v>41</v>
      </c>
      <c r="T683" s="58" t="s">
        <v>47</v>
      </c>
      <c r="U683" s="58" t="s">
        <v>48</v>
      </c>
      <c r="V683" s="58" t="s">
        <v>43</v>
      </c>
      <c r="W683" s="58" t="s">
        <v>44</v>
      </c>
      <c r="X683" s="75" t="s">
        <v>15</v>
      </c>
      <c r="Y683" s="58" t="s">
        <v>12</v>
      </c>
      <c r="Z683" s="58" t="s">
        <v>14</v>
      </c>
      <c r="AA683" s="58" t="s">
        <v>13</v>
      </c>
      <c r="AB683" s="58" t="s">
        <v>42</v>
      </c>
      <c r="AC683" s="58" t="s">
        <v>41</v>
      </c>
      <c r="AD683" s="58" t="s">
        <v>43</v>
      </c>
      <c r="AE683" s="58" t="s">
        <v>44</v>
      </c>
      <c r="AF683" s="58" t="s">
        <v>15</v>
      </c>
      <c r="AG683" s="58" t="s">
        <v>14</v>
      </c>
      <c r="AH683" s="58" t="s">
        <v>45</v>
      </c>
      <c r="AI683" s="58" t="s">
        <v>46</v>
      </c>
      <c r="AJ683" s="58" t="s">
        <v>42</v>
      </c>
      <c r="AK683" s="58" t="s">
        <v>41</v>
      </c>
      <c r="AL683" s="58" t="s">
        <v>47</v>
      </c>
      <c r="AM683" s="58" t="s">
        <v>48</v>
      </c>
      <c r="AN683" s="58" t="s">
        <v>43</v>
      </c>
      <c r="AO683" s="58" t="s">
        <v>44</v>
      </c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</row>
    <row r="684" spans="2:56" ht="16.5" customHeight="1" thickBot="1" x14ac:dyDescent="0.3">
      <c r="B684" s="1" t="s">
        <v>0</v>
      </c>
      <c r="C684" s="13">
        <f>SUM(F684:W684)</f>
        <v>4</v>
      </c>
      <c r="E684" s="10" t="s">
        <v>0</v>
      </c>
      <c r="F684" s="71"/>
      <c r="G684" s="60"/>
      <c r="H684" s="60"/>
      <c r="I684" s="61"/>
      <c r="J684" s="59"/>
      <c r="K684" s="60"/>
      <c r="L684" s="60"/>
      <c r="M684" s="60"/>
      <c r="N684" s="59"/>
      <c r="O684" s="61"/>
      <c r="P684" s="59">
        <v>4</v>
      </c>
      <c r="Q684" s="60"/>
      <c r="R684" s="60"/>
      <c r="S684" s="60"/>
      <c r="T684" s="60"/>
      <c r="U684" s="60"/>
      <c r="V684" s="60"/>
      <c r="W684" s="61"/>
      <c r="X684" s="71"/>
      <c r="Y684" s="60"/>
      <c r="Z684" s="60"/>
      <c r="AA684" s="60"/>
      <c r="AB684" s="59"/>
      <c r="AC684" s="60"/>
      <c r="AD684" s="60"/>
      <c r="AE684" s="61"/>
      <c r="AF684" s="60"/>
      <c r="AG684" s="61"/>
      <c r="AH684" s="60"/>
      <c r="AI684" s="60"/>
      <c r="AJ684" s="60"/>
      <c r="AK684" s="60">
        <v>2</v>
      </c>
      <c r="AL684" s="60"/>
      <c r="AM684" s="60">
        <v>2</v>
      </c>
      <c r="AN684" s="60"/>
      <c r="AO684" s="60"/>
      <c r="AP684" s="59"/>
      <c r="AQ684" s="59">
        <v>1</v>
      </c>
      <c r="AR684" s="59"/>
      <c r="AS684" s="59"/>
      <c r="AT684" s="59"/>
      <c r="AU684" s="59"/>
      <c r="AV684" s="59"/>
      <c r="AW684" s="59"/>
      <c r="AX684" s="59"/>
      <c r="AY684" s="59"/>
      <c r="AZ684" s="59"/>
      <c r="BA684" s="62"/>
      <c r="BB684" s="62"/>
      <c r="BC684" s="62"/>
      <c r="BD684" s="62"/>
    </row>
    <row r="685" spans="2:56" ht="16.5" customHeight="1" thickBot="1" x14ac:dyDescent="0.3">
      <c r="B685" s="1" t="s">
        <v>1</v>
      </c>
      <c r="C685" s="14">
        <f t="shared" ref="C685:C687" si="75">SUM(F685:W685)</f>
        <v>0</v>
      </c>
      <c r="E685" s="1" t="s">
        <v>1</v>
      </c>
      <c r="F685" s="72"/>
      <c r="G685" s="41"/>
      <c r="H685" s="41"/>
      <c r="I685" s="64"/>
      <c r="J685" s="63"/>
      <c r="K685" s="41"/>
      <c r="L685" s="41"/>
      <c r="M685" s="41"/>
      <c r="N685" s="63"/>
      <c r="O685" s="64"/>
      <c r="P685" s="63"/>
      <c r="Q685" s="41"/>
      <c r="R685" s="41"/>
      <c r="S685" s="41"/>
      <c r="T685" s="41"/>
      <c r="U685" s="41"/>
      <c r="V685" s="41"/>
      <c r="W685" s="64"/>
      <c r="X685" s="72"/>
      <c r="Y685" s="41"/>
      <c r="Z685" s="41"/>
      <c r="AA685" s="41"/>
      <c r="AB685" s="63"/>
      <c r="AC685" s="41"/>
      <c r="AD685" s="41"/>
      <c r="AE685" s="64"/>
      <c r="AF685" s="41"/>
      <c r="AG685" s="64"/>
      <c r="AH685" s="41"/>
      <c r="AI685" s="41"/>
      <c r="AJ685" s="41"/>
      <c r="AK685" s="41"/>
      <c r="AL685" s="41"/>
      <c r="AM685" s="41"/>
      <c r="AN685" s="41"/>
      <c r="AO685" s="41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5"/>
      <c r="BB685" s="65"/>
      <c r="BC685" s="65"/>
      <c r="BD685" s="65"/>
    </row>
    <row r="686" spans="2:56" ht="16.5" customHeight="1" thickBot="1" x14ac:dyDescent="0.3">
      <c r="B686" s="1" t="s">
        <v>2</v>
      </c>
      <c r="C686" s="14">
        <f t="shared" si="75"/>
        <v>0</v>
      </c>
      <c r="E686" s="1" t="s">
        <v>2</v>
      </c>
      <c r="F686" s="72"/>
      <c r="G686" s="41"/>
      <c r="H686" s="41"/>
      <c r="I686" s="64"/>
      <c r="J686" s="63"/>
      <c r="K686" s="41"/>
      <c r="L686" s="41"/>
      <c r="M686" s="41"/>
      <c r="N686" s="63"/>
      <c r="O686" s="64"/>
      <c r="P686" s="63"/>
      <c r="Q686" s="41"/>
      <c r="R686" s="41"/>
      <c r="S686" s="41"/>
      <c r="T686" s="41"/>
      <c r="U686" s="41"/>
      <c r="V686" s="41"/>
      <c r="W686" s="64"/>
      <c r="X686" s="72"/>
      <c r="Y686" s="41"/>
      <c r="Z686" s="41"/>
      <c r="AA686" s="41"/>
      <c r="AB686" s="63"/>
      <c r="AC686" s="41"/>
      <c r="AD686" s="41"/>
      <c r="AE686" s="64"/>
      <c r="AF686" s="41"/>
      <c r="AG686" s="64"/>
      <c r="AH686" s="41"/>
      <c r="AI686" s="41"/>
      <c r="AJ686" s="41"/>
      <c r="AK686" s="41"/>
      <c r="AL686" s="41"/>
      <c r="AM686" s="41"/>
      <c r="AN686" s="41"/>
      <c r="AO686" s="41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5"/>
      <c r="BB686" s="65"/>
      <c r="BC686" s="65"/>
      <c r="BD686" s="65"/>
    </row>
    <row r="687" spans="2:56" ht="16.5" customHeight="1" thickBot="1" x14ac:dyDescent="0.3">
      <c r="B687" s="1" t="s">
        <v>3</v>
      </c>
      <c r="C687" s="15">
        <f t="shared" si="75"/>
        <v>0</v>
      </c>
      <c r="E687" s="1" t="s">
        <v>3</v>
      </c>
      <c r="F687" s="73"/>
      <c r="G687" s="67"/>
      <c r="H687" s="67"/>
      <c r="I687" s="68"/>
      <c r="J687" s="66"/>
      <c r="K687" s="67"/>
      <c r="L687" s="67"/>
      <c r="M687" s="67"/>
      <c r="N687" s="66"/>
      <c r="O687" s="68"/>
      <c r="P687" s="66"/>
      <c r="Q687" s="67"/>
      <c r="R687" s="67"/>
      <c r="S687" s="67"/>
      <c r="T687" s="67"/>
      <c r="U687" s="67"/>
      <c r="V687" s="67"/>
      <c r="W687" s="68"/>
      <c r="X687" s="73"/>
      <c r="Y687" s="67"/>
      <c r="Z687" s="67"/>
      <c r="AA687" s="67"/>
      <c r="AB687" s="66"/>
      <c r="AC687" s="67"/>
      <c r="AD687" s="67"/>
      <c r="AE687" s="68"/>
      <c r="AF687" s="67"/>
      <c r="AG687" s="68"/>
      <c r="AH687" s="67"/>
      <c r="AI687" s="67"/>
      <c r="AJ687" s="67"/>
      <c r="AK687" s="67"/>
      <c r="AL687" s="67"/>
      <c r="AM687" s="67"/>
      <c r="AN687" s="67"/>
      <c r="AO687" s="67"/>
      <c r="AP687" s="66"/>
      <c r="AQ687" s="66"/>
      <c r="AR687" s="66"/>
      <c r="AS687" s="66"/>
      <c r="AT687" s="66"/>
      <c r="AU687" s="66"/>
      <c r="AV687" s="66"/>
      <c r="AW687" s="66"/>
      <c r="AX687" s="66"/>
      <c r="AY687" s="66"/>
      <c r="AZ687" s="66"/>
      <c r="BA687" s="69"/>
      <c r="BB687" s="69"/>
      <c r="BC687" s="69"/>
      <c r="BD687" s="69"/>
    </row>
    <row r="688" spans="2:56" ht="21" customHeight="1" x14ac:dyDescent="0.25">
      <c r="B688" s="2"/>
      <c r="C688" s="8">
        <f>SUM(C684:C687)</f>
        <v>4</v>
      </c>
      <c r="F688" s="74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74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</row>
    <row r="689" spans="2:56" x14ac:dyDescent="0.25"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</row>
    <row r="690" spans="2:56" ht="15.75" x14ac:dyDescent="0.25">
      <c r="F690" s="82" t="s">
        <v>17</v>
      </c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3" t="s">
        <v>16</v>
      </c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79"/>
      <c r="AQ690" s="79"/>
      <c r="AR690" s="79"/>
      <c r="AS690" s="79"/>
      <c r="AT690" s="79"/>
      <c r="AU690" s="41"/>
      <c r="AV690" s="41"/>
      <c r="AW690" s="41"/>
      <c r="AX690" s="41"/>
      <c r="AY690" s="41"/>
      <c r="AZ690" s="41"/>
      <c r="BA690" s="41"/>
    </row>
    <row r="691" spans="2:56" ht="32.25" thickBot="1" x14ac:dyDescent="0.3">
      <c r="F691" s="81" t="s">
        <v>9</v>
      </c>
      <c r="G691" s="81"/>
      <c r="H691" s="81"/>
      <c r="I691" s="81"/>
      <c r="J691" s="81" t="s">
        <v>10</v>
      </c>
      <c r="K691" s="81"/>
      <c r="L691" s="81"/>
      <c r="M691" s="81"/>
      <c r="N691" s="81" t="s">
        <v>49</v>
      </c>
      <c r="O691" s="81"/>
      <c r="P691" s="81" t="s">
        <v>11</v>
      </c>
      <c r="Q691" s="81"/>
      <c r="R691" s="81"/>
      <c r="S691" s="81"/>
      <c r="T691" s="81"/>
      <c r="U691" s="81"/>
      <c r="V691" s="81"/>
      <c r="W691" s="81"/>
      <c r="X691" s="81" t="s">
        <v>9</v>
      </c>
      <c r="Y691" s="81"/>
      <c r="Z691" s="81"/>
      <c r="AA691" s="81"/>
      <c r="AB691" s="81" t="s">
        <v>10</v>
      </c>
      <c r="AC691" s="81"/>
      <c r="AD691" s="81"/>
      <c r="AE691" s="81"/>
      <c r="AF691" s="81" t="s">
        <v>49</v>
      </c>
      <c r="AG691" s="81"/>
      <c r="AH691" s="81" t="s">
        <v>11</v>
      </c>
      <c r="AI691" s="81"/>
      <c r="AJ691" s="81"/>
      <c r="AK691" s="81"/>
      <c r="AL691" s="81"/>
      <c r="AM691" s="81"/>
      <c r="AN691" s="81"/>
      <c r="AO691" s="81"/>
      <c r="AP691" s="70" t="s">
        <v>50</v>
      </c>
      <c r="AQ691" s="70" t="s">
        <v>57</v>
      </c>
      <c r="AR691" s="70" t="s">
        <v>63</v>
      </c>
      <c r="AS691" s="70" t="s">
        <v>64</v>
      </c>
      <c r="AT691" s="70" t="s">
        <v>61</v>
      </c>
      <c r="AU691" s="70" t="s">
        <v>54</v>
      </c>
      <c r="AV691" s="70" t="s">
        <v>19</v>
      </c>
      <c r="AW691" s="70" t="s">
        <v>58</v>
      </c>
      <c r="AX691" s="70" t="s">
        <v>51</v>
      </c>
      <c r="AY691" s="70" t="s">
        <v>53</v>
      </c>
      <c r="AZ691" s="70" t="s">
        <v>52</v>
      </c>
      <c r="BA691" s="70" t="s">
        <v>55</v>
      </c>
      <c r="BB691" s="70" t="s">
        <v>56</v>
      </c>
      <c r="BC691" s="70" t="s">
        <v>59</v>
      </c>
      <c r="BD691" s="70" t="s">
        <v>60</v>
      </c>
    </row>
    <row r="692" spans="2:56" ht="16.5" thickBot="1" x14ac:dyDescent="0.3">
      <c r="B692" s="17">
        <v>0.79166666666666896</v>
      </c>
      <c r="C692" s="7" t="s">
        <v>5</v>
      </c>
      <c r="E692" s="11"/>
      <c r="F692" s="75" t="s">
        <v>15</v>
      </c>
      <c r="G692" s="58" t="s">
        <v>12</v>
      </c>
      <c r="H692" s="58" t="s">
        <v>14</v>
      </c>
      <c r="I692" s="58" t="s">
        <v>13</v>
      </c>
      <c r="J692" s="58" t="s">
        <v>42</v>
      </c>
      <c r="K692" s="58" t="s">
        <v>41</v>
      </c>
      <c r="L692" s="58" t="s">
        <v>43</v>
      </c>
      <c r="M692" s="58" t="s">
        <v>44</v>
      </c>
      <c r="N692" s="58" t="s">
        <v>15</v>
      </c>
      <c r="O692" s="58" t="s">
        <v>14</v>
      </c>
      <c r="P692" s="58" t="s">
        <v>45</v>
      </c>
      <c r="Q692" s="58" t="s">
        <v>46</v>
      </c>
      <c r="R692" s="58" t="s">
        <v>42</v>
      </c>
      <c r="S692" s="58" t="s">
        <v>41</v>
      </c>
      <c r="T692" s="58" t="s">
        <v>47</v>
      </c>
      <c r="U692" s="58" t="s">
        <v>48</v>
      </c>
      <c r="V692" s="58" t="s">
        <v>43</v>
      </c>
      <c r="W692" s="58" t="s">
        <v>44</v>
      </c>
      <c r="X692" s="75" t="s">
        <v>15</v>
      </c>
      <c r="Y692" s="58" t="s">
        <v>12</v>
      </c>
      <c r="Z692" s="58" t="s">
        <v>14</v>
      </c>
      <c r="AA692" s="58" t="s">
        <v>13</v>
      </c>
      <c r="AB692" s="58" t="s">
        <v>42</v>
      </c>
      <c r="AC692" s="58" t="s">
        <v>41</v>
      </c>
      <c r="AD692" s="58" t="s">
        <v>43</v>
      </c>
      <c r="AE692" s="58" t="s">
        <v>44</v>
      </c>
      <c r="AF692" s="58" t="s">
        <v>15</v>
      </c>
      <c r="AG692" s="58" t="s">
        <v>14</v>
      </c>
      <c r="AH692" s="58" t="s">
        <v>45</v>
      </c>
      <c r="AI692" s="58" t="s">
        <v>46</v>
      </c>
      <c r="AJ692" s="58" t="s">
        <v>42</v>
      </c>
      <c r="AK692" s="58" t="s">
        <v>41</v>
      </c>
      <c r="AL692" s="58" t="s">
        <v>47</v>
      </c>
      <c r="AM692" s="58" t="s">
        <v>48</v>
      </c>
      <c r="AN692" s="58" t="s">
        <v>43</v>
      </c>
      <c r="AO692" s="58" t="s">
        <v>44</v>
      </c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</row>
    <row r="693" spans="2:56" ht="16.5" customHeight="1" thickBot="1" x14ac:dyDescent="0.3">
      <c r="B693" s="1" t="s">
        <v>0</v>
      </c>
      <c r="C693" s="13">
        <f>SUM(F693:W693)</f>
        <v>1</v>
      </c>
      <c r="E693" s="10" t="s">
        <v>0</v>
      </c>
      <c r="F693" s="71"/>
      <c r="G693" s="60"/>
      <c r="H693" s="60"/>
      <c r="I693" s="61"/>
      <c r="J693" s="59"/>
      <c r="K693" s="60"/>
      <c r="L693" s="60"/>
      <c r="M693" s="60"/>
      <c r="N693" s="59"/>
      <c r="O693" s="61"/>
      <c r="P693" s="59"/>
      <c r="Q693" s="60"/>
      <c r="R693" s="60"/>
      <c r="S693" s="60"/>
      <c r="T693" s="60"/>
      <c r="U693" s="60">
        <v>1</v>
      </c>
      <c r="V693" s="60"/>
      <c r="W693" s="61"/>
      <c r="X693" s="71"/>
      <c r="Y693" s="60"/>
      <c r="Z693" s="60"/>
      <c r="AA693" s="60"/>
      <c r="AB693" s="59"/>
      <c r="AC693" s="60"/>
      <c r="AD693" s="60"/>
      <c r="AE693" s="61"/>
      <c r="AF693" s="60"/>
      <c r="AG693" s="61"/>
      <c r="AH693" s="60"/>
      <c r="AI693" s="60"/>
      <c r="AJ693" s="60"/>
      <c r="AK693" s="60"/>
      <c r="AL693" s="60"/>
      <c r="AM693" s="60"/>
      <c r="AN693" s="60">
        <v>1</v>
      </c>
      <c r="AO693" s="60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62"/>
      <c r="BB693" s="62"/>
      <c r="BC693" s="62"/>
      <c r="BD693" s="62"/>
    </row>
    <row r="694" spans="2:56" ht="16.5" customHeight="1" thickBot="1" x14ac:dyDescent="0.3">
      <c r="B694" s="1" t="s">
        <v>1</v>
      </c>
      <c r="C694" s="14">
        <f t="shared" ref="C694:C696" si="76">SUM(F694:W694)</f>
        <v>0</v>
      </c>
      <c r="E694" s="1" t="s">
        <v>1</v>
      </c>
      <c r="F694" s="72"/>
      <c r="G694" s="41"/>
      <c r="H694" s="41"/>
      <c r="I694" s="64"/>
      <c r="J694" s="63"/>
      <c r="K694" s="41"/>
      <c r="L694" s="41"/>
      <c r="M694" s="41"/>
      <c r="N694" s="63"/>
      <c r="O694" s="64"/>
      <c r="P694" s="63"/>
      <c r="Q694" s="41"/>
      <c r="R694" s="41"/>
      <c r="S694" s="41"/>
      <c r="T694" s="41"/>
      <c r="U694" s="41"/>
      <c r="V694" s="41"/>
      <c r="W694" s="64"/>
      <c r="X694" s="72"/>
      <c r="Y694" s="41"/>
      <c r="Z694" s="41"/>
      <c r="AA694" s="41"/>
      <c r="AB694" s="63"/>
      <c r="AC694" s="41"/>
      <c r="AD694" s="41"/>
      <c r="AE694" s="64"/>
      <c r="AF694" s="41"/>
      <c r="AG694" s="64"/>
      <c r="AH694" s="41"/>
      <c r="AI694" s="41"/>
      <c r="AJ694" s="41"/>
      <c r="AK694" s="41"/>
      <c r="AL694" s="41"/>
      <c r="AM694" s="41"/>
      <c r="AN694" s="41"/>
      <c r="AO694" s="41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5"/>
      <c r="BB694" s="65"/>
      <c r="BC694" s="65"/>
      <c r="BD694" s="65"/>
    </row>
    <row r="695" spans="2:56" ht="16.5" customHeight="1" thickBot="1" x14ac:dyDescent="0.3">
      <c r="B695" s="1" t="s">
        <v>2</v>
      </c>
      <c r="C695" s="14">
        <f t="shared" si="76"/>
        <v>0</v>
      </c>
      <c r="E695" s="1" t="s">
        <v>2</v>
      </c>
      <c r="F695" s="72"/>
      <c r="G695" s="41"/>
      <c r="H695" s="41"/>
      <c r="I695" s="64"/>
      <c r="J695" s="63"/>
      <c r="K695" s="41"/>
      <c r="L695" s="41"/>
      <c r="M695" s="41"/>
      <c r="N695" s="63"/>
      <c r="O695" s="64"/>
      <c r="P695" s="63"/>
      <c r="Q695" s="41"/>
      <c r="R695" s="41"/>
      <c r="S695" s="41"/>
      <c r="T695" s="41"/>
      <c r="U695" s="41"/>
      <c r="V695" s="41"/>
      <c r="W695" s="64"/>
      <c r="X695" s="72"/>
      <c r="Y695" s="41"/>
      <c r="Z695" s="41"/>
      <c r="AA695" s="41"/>
      <c r="AB695" s="63"/>
      <c r="AC695" s="41"/>
      <c r="AD695" s="41"/>
      <c r="AE695" s="64"/>
      <c r="AF695" s="41"/>
      <c r="AG695" s="64"/>
      <c r="AH695" s="41"/>
      <c r="AI695" s="41"/>
      <c r="AJ695" s="41"/>
      <c r="AK695" s="41"/>
      <c r="AL695" s="41"/>
      <c r="AM695" s="41"/>
      <c r="AN695" s="41"/>
      <c r="AO695" s="41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5"/>
      <c r="BB695" s="65"/>
      <c r="BC695" s="65"/>
      <c r="BD695" s="65"/>
    </row>
    <row r="696" spans="2:56" ht="16.5" customHeight="1" thickBot="1" x14ac:dyDescent="0.3">
      <c r="B696" s="1" t="s">
        <v>3</v>
      </c>
      <c r="C696" s="15">
        <f t="shared" si="76"/>
        <v>0</v>
      </c>
      <c r="E696" s="1" t="s">
        <v>3</v>
      </c>
      <c r="F696" s="73"/>
      <c r="G696" s="67"/>
      <c r="H696" s="67"/>
      <c r="I696" s="68"/>
      <c r="J696" s="66"/>
      <c r="K696" s="67"/>
      <c r="L696" s="67"/>
      <c r="M696" s="67"/>
      <c r="N696" s="66"/>
      <c r="O696" s="68"/>
      <c r="P696" s="66"/>
      <c r="Q696" s="67"/>
      <c r="R696" s="67"/>
      <c r="S696" s="67"/>
      <c r="T696" s="67"/>
      <c r="U696" s="67"/>
      <c r="V696" s="67"/>
      <c r="W696" s="68"/>
      <c r="X696" s="73"/>
      <c r="Y696" s="67"/>
      <c r="Z696" s="67"/>
      <c r="AA696" s="67"/>
      <c r="AB696" s="66"/>
      <c r="AC696" s="67"/>
      <c r="AD696" s="67"/>
      <c r="AE696" s="68"/>
      <c r="AF696" s="67"/>
      <c r="AG696" s="68"/>
      <c r="AH696" s="67"/>
      <c r="AI696" s="67"/>
      <c r="AJ696" s="67"/>
      <c r="AK696" s="67"/>
      <c r="AL696" s="67"/>
      <c r="AM696" s="67"/>
      <c r="AN696" s="67"/>
      <c r="AO696" s="67"/>
      <c r="AP696" s="66"/>
      <c r="AQ696" s="66"/>
      <c r="AR696" s="66"/>
      <c r="AS696" s="66"/>
      <c r="AT696" s="66"/>
      <c r="AU696" s="66"/>
      <c r="AV696" s="66"/>
      <c r="AW696" s="66"/>
      <c r="AX696" s="66"/>
      <c r="AY696" s="66"/>
      <c r="AZ696" s="66"/>
      <c r="BA696" s="69"/>
      <c r="BB696" s="69"/>
      <c r="BC696" s="69"/>
      <c r="BD696" s="69"/>
    </row>
    <row r="697" spans="2:56" ht="21" customHeight="1" x14ac:dyDescent="0.25">
      <c r="B697" s="2"/>
      <c r="C697" s="8">
        <f>SUM(C693:C696)</f>
        <v>1</v>
      </c>
      <c r="F697" s="74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74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</row>
    <row r="698" spans="2:56" x14ac:dyDescent="0.25"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</row>
    <row r="699" spans="2:56" ht="15.75" x14ac:dyDescent="0.25">
      <c r="F699" s="82" t="s">
        <v>17</v>
      </c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3" t="s">
        <v>16</v>
      </c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79"/>
      <c r="AQ699" s="79"/>
      <c r="AR699" s="79"/>
      <c r="AS699" s="79"/>
      <c r="AT699" s="79"/>
      <c r="AU699" s="41"/>
      <c r="AV699" s="41"/>
      <c r="AW699" s="41"/>
      <c r="AX699" s="41"/>
      <c r="AY699" s="41"/>
      <c r="AZ699" s="41"/>
      <c r="BA699" s="41"/>
    </row>
    <row r="700" spans="2:56" ht="32.25" thickBot="1" x14ac:dyDescent="0.3">
      <c r="F700" s="81" t="s">
        <v>9</v>
      </c>
      <c r="G700" s="81"/>
      <c r="H700" s="81"/>
      <c r="I700" s="81"/>
      <c r="J700" s="81" t="s">
        <v>10</v>
      </c>
      <c r="K700" s="81"/>
      <c r="L700" s="81"/>
      <c r="M700" s="81"/>
      <c r="N700" s="81" t="s">
        <v>49</v>
      </c>
      <c r="O700" s="81"/>
      <c r="P700" s="81" t="s">
        <v>11</v>
      </c>
      <c r="Q700" s="81"/>
      <c r="R700" s="81"/>
      <c r="S700" s="81"/>
      <c r="T700" s="81"/>
      <c r="U700" s="81"/>
      <c r="V700" s="81"/>
      <c r="W700" s="81"/>
      <c r="X700" s="81" t="s">
        <v>9</v>
      </c>
      <c r="Y700" s="81"/>
      <c r="Z700" s="81"/>
      <c r="AA700" s="81"/>
      <c r="AB700" s="81" t="s">
        <v>10</v>
      </c>
      <c r="AC700" s="81"/>
      <c r="AD700" s="81"/>
      <c r="AE700" s="81"/>
      <c r="AF700" s="81" t="s">
        <v>49</v>
      </c>
      <c r="AG700" s="81"/>
      <c r="AH700" s="81" t="s">
        <v>11</v>
      </c>
      <c r="AI700" s="81"/>
      <c r="AJ700" s="81"/>
      <c r="AK700" s="81"/>
      <c r="AL700" s="81"/>
      <c r="AM700" s="81"/>
      <c r="AN700" s="81"/>
      <c r="AO700" s="81"/>
      <c r="AP700" s="70" t="s">
        <v>50</v>
      </c>
      <c r="AQ700" s="70" t="s">
        <v>57</v>
      </c>
      <c r="AR700" s="70" t="s">
        <v>63</v>
      </c>
      <c r="AS700" s="70" t="s">
        <v>64</v>
      </c>
      <c r="AT700" s="70" t="s">
        <v>61</v>
      </c>
      <c r="AU700" s="70" t="s">
        <v>54</v>
      </c>
      <c r="AV700" s="70" t="s">
        <v>19</v>
      </c>
      <c r="AW700" s="70" t="s">
        <v>58</v>
      </c>
      <c r="AX700" s="70" t="s">
        <v>51</v>
      </c>
      <c r="AY700" s="70" t="s">
        <v>53</v>
      </c>
      <c r="AZ700" s="70" t="s">
        <v>52</v>
      </c>
      <c r="BA700" s="70" t="s">
        <v>55</v>
      </c>
      <c r="BB700" s="70" t="s">
        <v>56</v>
      </c>
      <c r="BC700" s="70" t="s">
        <v>59</v>
      </c>
      <c r="BD700" s="70" t="s">
        <v>60</v>
      </c>
    </row>
    <row r="701" spans="2:56" ht="16.5" thickBot="1" x14ac:dyDescent="0.3">
      <c r="B701" s="17">
        <v>0.80208333333333603</v>
      </c>
      <c r="C701" s="7" t="s">
        <v>5</v>
      </c>
      <c r="E701" s="11"/>
      <c r="F701" s="75" t="s">
        <v>15</v>
      </c>
      <c r="G701" s="58" t="s">
        <v>12</v>
      </c>
      <c r="H701" s="58" t="s">
        <v>14</v>
      </c>
      <c r="I701" s="58" t="s">
        <v>13</v>
      </c>
      <c r="J701" s="58" t="s">
        <v>42</v>
      </c>
      <c r="K701" s="58" t="s">
        <v>41</v>
      </c>
      <c r="L701" s="58" t="s">
        <v>43</v>
      </c>
      <c r="M701" s="58" t="s">
        <v>44</v>
      </c>
      <c r="N701" s="58" t="s">
        <v>15</v>
      </c>
      <c r="O701" s="58" t="s">
        <v>14</v>
      </c>
      <c r="P701" s="58" t="s">
        <v>45</v>
      </c>
      <c r="Q701" s="58" t="s">
        <v>46</v>
      </c>
      <c r="R701" s="58" t="s">
        <v>42</v>
      </c>
      <c r="S701" s="58" t="s">
        <v>41</v>
      </c>
      <c r="T701" s="58" t="s">
        <v>47</v>
      </c>
      <c r="U701" s="58" t="s">
        <v>48</v>
      </c>
      <c r="V701" s="58" t="s">
        <v>43</v>
      </c>
      <c r="W701" s="58" t="s">
        <v>44</v>
      </c>
      <c r="X701" s="75" t="s">
        <v>15</v>
      </c>
      <c r="Y701" s="58" t="s">
        <v>12</v>
      </c>
      <c r="Z701" s="58" t="s">
        <v>14</v>
      </c>
      <c r="AA701" s="58" t="s">
        <v>13</v>
      </c>
      <c r="AB701" s="58" t="s">
        <v>42</v>
      </c>
      <c r="AC701" s="58" t="s">
        <v>41</v>
      </c>
      <c r="AD701" s="58" t="s">
        <v>43</v>
      </c>
      <c r="AE701" s="58" t="s">
        <v>44</v>
      </c>
      <c r="AF701" s="58" t="s">
        <v>15</v>
      </c>
      <c r="AG701" s="58" t="s">
        <v>14</v>
      </c>
      <c r="AH701" s="58" t="s">
        <v>45</v>
      </c>
      <c r="AI701" s="58" t="s">
        <v>46</v>
      </c>
      <c r="AJ701" s="58" t="s">
        <v>42</v>
      </c>
      <c r="AK701" s="58" t="s">
        <v>41</v>
      </c>
      <c r="AL701" s="58" t="s">
        <v>47</v>
      </c>
      <c r="AM701" s="58" t="s">
        <v>48</v>
      </c>
      <c r="AN701" s="58" t="s">
        <v>43</v>
      </c>
      <c r="AO701" s="58" t="s">
        <v>44</v>
      </c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</row>
    <row r="702" spans="2:56" ht="16.5" customHeight="1" thickBot="1" x14ac:dyDescent="0.3">
      <c r="B702" s="1" t="s">
        <v>0</v>
      </c>
      <c r="C702" s="13">
        <f>SUM(F702:W702)</f>
        <v>0</v>
      </c>
      <c r="E702" s="10" t="s">
        <v>0</v>
      </c>
      <c r="F702" s="71"/>
      <c r="G702" s="60"/>
      <c r="H702" s="60"/>
      <c r="I702" s="61"/>
      <c r="J702" s="59"/>
      <c r="K702" s="60"/>
      <c r="L702" s="60"/>
      <c r="M702" s="60"/>
      <c r="N702" s="59"/>
      <c r="O702" s="61"/>
      <c r="P702" s="59"/>
      <c r="Q702" s="60"/>
      <c r="R702" s="60"/>
      <c r="S702" s="60"/>
      <c r="T702" s="60"/>
      <c r="U702" s="60"/>
      <c r="V702" s="60"/>
      <c r="W702" s="61"/>
      <c r="X702" s="71"/>
      <c r="Y702" s="60"/>
      <c r="Z702" s="60"/>
      <c r="AA702" s="60"/>
      <c r="AB702" s="59"/>
      <c r="AC702" s="60"/>
      <c r="AD702" s="60"/>
      <c r="AE702" s="61"/>
      <c r="AF702" s="60"/>
      <c r="AG702" s="61"/>
      <c r="AH702" s="60"/>
      <c r="AI702" s="60"/>
      <c r="AJ702" s="60"/>
      <c r="AK702" s="60"/>
      <c r="AL702" s="60"/>
      <c r="AM702" s="60"/>
      <c r="AN702" s="60"/>
      <c r="AO702" s="60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62"/>
      <c r="BB702" s="62"/>
      <c r="BC702" s="62"/>
      <c r="BD702" s="62"/>
    </row>
    <row r="703" spans="2:56" ht="16.5" customHeight="1" thickBot="1" x14ac:dyDescent="0.3">
      <c r="B703" s="1" t="s">
        <v>1</v>
      </c>
      <c r="C703" s="14">
        <f t="shared" ref="C703:C705" si="77">SUM(F703:W703)</f>
        <v>0</v>
      </c>
      <c r="E703" s="1" t="s">
        <v>1</v>
      </c>
      <c r="F703" s="72"/>
      <c r="G703" s="41"/>
      <c r="H703" s="41"/>
      <c r="I703" s="64"/>
      <c r="J703" s="63"/>
      <c r="K703" s="41"/>
      <c r="L703" s="41"/>
      <c r="M703" s="41"/>
      <c r="N703" s="63"/>
      <c r="O703" s="64"/>
      <c r="P703" s="63"/>
      <c r="Q703" s="41"/>
      <c r="R703" s="41"/>
      <c r="S703" s="41"/>
      <c r="T703" s="41"/>
      <c r="U703" s="41"/>
      <c r="V703" s="41"/>
      <c r="W703" s="64"/>
      <c r="X703" s="72"/>
      <c r="Y703" s="41"/>
      <c r="Z703" s="41"/>
      <c r="AA703" s="41"/>
      <c r="AB703" s="63"/>
      <c r="AC703" s="41"/>
      <c r="AD703" s="41"/>
      <c r="AE703" s="64"/>
      <c r="AF703" s="41"/>
      <c r="AG703" s="64"/>
      <c r="AH703" s="41"/>
      <c r="AI703" s="41"/>
      <c r="AJ703" s="41"/>
      <c r="AK703" s="41"/>
      <c r="AL703" s="41"/>
      <c r="AM703" s="41"/>
      <c r="AN703" s="41"/>
      <c r="AO703" s="41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5"/>
      <c r="BB703" s="65"/>
      <c r="BC703" s="65"/>
      <c r="BD703" s="65"/>
    </row>
    <row r="704" spans="2:56" ht="16.5" customHeight="1" thickBot="1" x14ac:dyDescent="0.3">
      <c r="B704" s="1" t="s">
        <v>2</v>
      </c>
      <c r="C704" s="14">
        <f t="shared" si="77"/>
        <v>0</v>
      </c>
      <c r="E704" s="1" t="s">
        <v>2</v>
      </c>
      <c r="F704" s="72"/>
      <c r="G704" s="41"/>
      <c r="H704" s="41"/>
      <c r="I704" s="64"/>
      <c r="J704" s="63"/>
      <c r="K704" s="41"/>
      <c r="L704" s="41"/>
      <c r="M704" s="41"/>
      <c r="N704" s="63"/>
      <c r="O704" s="64"/>
      <c r="P704" s="63"/>
      <c r="Q704" s="41"/>
      <c r="R704" s="41"/>
      <c r="S704" s="41"/>
      <c r="T704" s="41"/>
      <c r="U704" s="41"/>
      <c r="V704" s="41"/>
      <c r="W704" s="64"/>
      <c r="X704" s="72"/>
      <c r="Y704" s="41"/>
      <c r="Z704" s="41"/>
      <c r="AA704" s="41"/>
      <c r="AB704" s="63"/>
      <c r="AC704" s="41"/>
      <c r="AD704" s="41"/>
      <c r="AE704" s="64"/>
      <c r="AF704" s="41"/>
      <c r="AG704" s="64"/>
      <c r="AH704" s="41"/>
      <c r="AI704" s="41"/>
      <c r="AJ704" s="41"/>
      <c r="AK704" s="41"/>
      <c r="AL704" s="41"/>
      <c r="AM704" s="41"/>
      <c r="AN704" s="41"/>
      <c r="AO704" s="41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5"/>
      <c r="BB704" s="65"/>
      <c r="BC704" s="65"/>
      <c r="BD704" s="65"/>
    </row>
    <row r="705" spans="2:56" ht="16.5" customHeight="1" thickBot="1" x14ac:dyDescent="0.3">
      <c r="B705" s="1" t="s">
        <v>3</v>
      </c>
      <c r="C705" s="15">
        <f t="shared" si="77"/>
        <v>0</v>
      </c>
      <c r="E705" s="1" t="s">
        <v>3</v>
      </c>
      <c r="F705" s="73"/>
      <c r="G705" s="67"/>
      <c r="H705" s="67"/>
      <c r="I705" s="68"/>
      <c r="J705" s="66"/>
      <c r="K705" s="67"/>
      <c r="L705" s="67"/>
      <c r="M705" s="67"/>
      <c r="N705" s="66"/>
      <c r="O705" s="68"/>
      <c r="P705" s="66"/>
      <c r="Q705" s="67"/>
      <c r="R705" s="67"/>
      <c r="S705" s="67"/>
      <c r="T705" s="67"/>
      <c r="U705" s="67"/>
      <c r="V705" s="67"/>
      <c r="W705" s="68"/>
      <c r="X705" s="73"/>
      <c r="Y705" s="67"/>
      <c r="Z705" s="67"/>
      <c r="AA705" s="67"/>
      <c r="AB705" s="66"/>
      <c r="AC705" s="67"/>
      <c r="AD705" s="67"/>
      <c r="AE705" s="68"/>
      <c r="AF705" s="67"/>
      <c r="AG705" s="68"/>
      <c r="AH705" s="67"/>
      <c r="AI705" s="67"/>
      <c r="AJ705" s="67"/>
      <c r="AK705" s="67"/>
      <c r="AL705" s="67"/>
      <c r="AM705" s="67"/>
      <c r="AN705" s="67"/>
      <c r="AO705" s="67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9"/>
      <c r="BB705" s="69"/>
      <c r="BC705" s="69"/>
      <c r="BD705" s="69"/>
    </row>
    <row r="706" spans="2:56" ht="21" customHeight="1" x14ac:dyDescent="0.25">
      <c r="B706" s="2"/>
      <c r="C706" s="8">
        <f>SUM(C702:C705)</f>
        <v>0</v>
      </c>
      <c r="F706" s="74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74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</row>
    <row r="707" spans="2:56" x14ac:dyDescent="0.25"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</row>
    <row r="708" spans="2:56" ht="15.75" x14ac:dyDescent="0.25">
      <c r="F708" s="82" t="s">
        <v>17</v>
      </c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3" t="s">
        <v>16</v>
      </c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79"/>
      <c r="AQ708" s="79"/>
      <c r="AR708" s="79"/>
      <c r="AS708" s="79"/>
      <c r="AT708" s="79"/>
      <c r="AU708" s="41"/>
      <c r="AV708" s="41"/>
      <c r="AW708" s="41"/>
      <c r="AX708" s="41"/>
      <c r="AY708" s="41"/>
      <c r="AZ708" s="41"/>
      <c r="BA708" s="41"/>
    </row>
    <row r="709" spans="2:56" ht="32.25" thickBot="1" x14ac:dyDescent="0.3">
      <c r="F709" s="81" t="s">
        <v>9</v>
      </c>
      <c r="G709" s="81"/>
      <c r="H709" s="81"/>
      <c r="I709" s="81"/>
      <c r="J709" s="81" t="s">
        <v>10</v>
      </c>
      <c r="K709" s="81"/>
      <c r="L709" s="81"/>
      <c r="M709" s="81"/>
      <c r="N709" s="81" t="s">
        <v>49</v>
      </c>
      <c r="O709" s="81"/>
      <c r="P709" s="81" t="s">
        <v>11</v>
      </c>
      <c r="Q709" s="81"/>
      <c r="R709" s="81"/>
      <c r="S709" s="81"/>
      <c r="T709" s="81"/>
      <c r="U709" s="81"/>
      <c r="V709" s="81"/>
      <c r="W709" s="81"/>
      <c r="X709" s="81" t="s">
        <v>9</v>
      </c>
      <c r="Y709" s="81"/>
      <c r="Z709" s="81"/>
      <c r="AA709" s="81"/>
      <c r="AB709" s="81" t="s">
        <v>10</v>
      </c>
      <c r="AC709" s="81"/>
      <c r="AD709" s="81"/>
      <c r="AE709" s="81"/>
      <c r="AF709" s="81" t="s">
        <v>49</v>
      </c>
      <c r="AG709" s="81"/>
      <c r="AH709" s="81" t="s">
        <v>11</v>
      </c>
      <c r="AI709" s="81"/>
      <c r="AJ709" s="81"/>
      <c r="AK709" s="81"/>
      <c r="AL709" s="81"/>
      <c r="AM709" s="81"/>
      <c r="AN709" s="81"/>
      <c r="AO709" s="81"/>
      <c r="AP709" s="70" t="s">
        <v>50</v>
      </c>
      <c r="AQ709" s="70" t="s">
        <v>57</v>
      </c>
      <c r="AR709" s="70" t="s">
        <v>63</v>
      </c>
      <c r="AS709" s="70" t="s">
        <v>64</v>
      </c>
      <c r="AT709" s="70" t="s">
        <v>61</v>
      </c>
      <c r="AU709" s="70" t="s">
        <v>54</v>
      </c>
      <c r="AV709" s="70" t="s">
        <v>19</v>
      </c>
      <c r="AW709" s="70" t="s">
        <v>58</v>
      </c>
      <c r="AX709" s="70" t="s">
        <v>51</v>
      </c>
      <c r="AY709" s="70" t="s">
        <v>53</v>
      </c>
      <c r="AZ709" s="70" t="s">
        <v>52</v>
      </c>
      <c r="BA709" s="70" t="s">
        <v>55</v>
      </c>
      <c r="BB709" s="70" t="s">
        <v>56</v>
      </c>
      <c r="BC709" s="70" t="s">
        <v>59</v>
      </c>
      <c r="BD709" s="70" t="s">
        <v>60</v>
      </c>
    </row>
    <row r="710" spans="2:56" ht="16.5" thickBot="1" x14ac:dyDescent="0.3">
      <c r="B710" s="17">
        <v>0.812500000000002</v>
      </c>
      <c r="C710" s="7" t="s">
        <v>5</v>
      </c>
      <c r="E710" s="11"/>
      <c r="F710" s="75" t="s">
        <v>15</v>
      </c>
      <c r="G710" s="58" t="s">
        <v>12</v>
      </c>
      <c r="H710" s="58" t="s">
        <v>14</v>
      </c>
      <c r="I710" s="58" t="s">
        <v>13</v>
      </c>
      <c r="J710" s="58" t="s">
        <v>42</v>
      </c>
      <c r="K710" s="58" t="s">
        <v>41</v>
      </c>
      <c r="L710" s="58" t="s">
        <v>43</v>
      </c>
      <c r="M710" s="58" t="s">
        <v>44</v>
      </c>
      <c r="N710" s="58" t="s">
        <v>15</v>
      </c>
      <c r="O710" s="58" t="s">
        <v>14</v>
      </c>
      <c r="P710" s="58" t="s">
        <v>45</v>
      </c>
      <c r="Q710" s="58" t="s">
        <v>46</v>
      </c>
      <c r="R710" s="58" t="s">
        <v>42</v>
      </c>
      <c r="S710" s="58" t="s">
        <v>41</v>
      </c>
      <c r="T710" s="58" t="s">
        <v>47</v>
      </c>
      <c r="U710" s="58" t="s">
        <v>48</v>
      </c>
      <c r="V710" s="58" t="s">
        <v>43</v>
      </c>
      <c r="W710" s="58" t="s">
        <v>44</v>
      </c>
      <c r="X710" s="75" t="s">
        <v>15</v>
      </c>
      <c r="Y710" s="58" t="s">
        <v>12</v>
      </c>
      <c r="Z710" s="58" t="s">
        <v>14</v>
      </c>
      <c r="AA710" s="58" t="s">
        <v>13</v>
      </c>
      <c r="AB710" s="58" t="s">
        <v>42</v>
      </c>
      <c r="AC710" s="58" t="s">
        <v>41</v>
      </c>
      <c r="AD710" s="58" t="s">
        <v>43</v>
      </c>
      <c r="AE710" s="58" t="s">
        <v>44</v>
      </c>
      <c r="AF710" s="58" t="s">
        <v>15</v>
      </c>
      <c r="AG710" s="58" t="s">
        <v>14</v>
      </c>
      <c r="AH710" s="58" t="s">
        <v>45</v>
      </c>
      <c r="AI710" s="58" t="s">
        <v>46</v>
      </c>
      <c r="AJ710" s="58" t="s">
        <v>42</v>
      </c>
      <c r="AK710" s="58" t="s">
        <v>41</v>
      </c>
      <c r="AL710" s="58" t="s">
        <v>47</v>
      </c>
      <c r="AM710" s="58" t="s">
        <v>48</v>
      </c>
      <c r="AN710" s="58" t="s">
        <v>43</v>
      </c>
      <c r="AO710" s="58" t="s">
        <v>44</v>
      </c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</row>
    <row r="711" spans="2:56" ht="16.5" customHeight="1" thickBot="1" x14ac:dyDescent="0.3">
      <c r="B711" s="1" t="s">
        <v>0</v>
      </c>
      <c r="C711" s="13">
        <f>SUM(F711:W711)</f>
        <v>2</v>
      </c>
      <c r="E711" s="10" t="s">
        <v>0</v>
      </c>
      <c r="F711" s="71"/>
      <c r="G711" s="60"/>
      <c r="H711" s="60"/>
      <c r="I711" s="61"/>
      <c r="J711" s="59"/>
      <c r="K711" s="60"/>
      <c r="L711" s="60"/>
      <c r="M711" s="60"/>
      <c r="N711" s="59"/>
      <c r="O711" s="61"/>
      <c r="P711" s="59"/>
      <c r="Q711" s="60"/>
      <c r="R711" s="60">
        <v>2</v>
      </c>
      <c r="S711" s="60"/>
      <c r="T711" s="60"/>
      <c r="U711" s="60"/>
      <c r="V711" s="60"/>
      <c r="W711" s="61"/>
      <c r="X711" s="71"/>
      <c r="Y711" s="60"/>
      <c r="Z711" s="60"/>
      <c r="AA711" s="60"/>
      <c r="AB711" s="59"/>
      <c r="AC711" s="60"/>
      <c r="AD711" s="60"/>
      <c r="AE711" s="61"/>
      <c r="AF711" s="60"/>
      <c r="AG711" s="61"/>
      <c r="AH711" s="60"/>
      <c r="AI711" s="60"/>
      <c r="AJ711" s="60"/>
      <c r="AK711" s="60"/>
      <c r="AL711" s="60"/>
      <c r="AM711" s="60"/>
      <c r="AN711" s="60"/>
      <c r="AO711" s="60">
        <v>2</v>
      </c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62"/>
      <c r="BB711" s="62"/>
      <c r="BC711" s="62"/>
      <c r="BD711" s="62"/>
    </row>
    <row r="712" spans="2:56" ht="16.5" customHeight="1" thickBot="1" x14ac:dyDescent="0.3">
      <c r="B712" s="1" t="s">
        <v>1</v>
      </c>
      <c r="C712" s="14">
        <f t="shared" ref="C712:C714" si="78">SUM(F712:W712)</f>
        <v>0</v>
      </c>
      <c r="E712" s="1" t="s">
        <v>1</v>
      </c>
      <c r="F712" s="72"/>
      <c r="G712" s="41"/>
      <c r="H712" s="41"/>
      <c r="I712" s="64"/>
      <c r="J712" s="63"/>
      <c r="K712" s="41"/>
      <c r="L712" s="41"/>
      <c r="M712" s="41"/>
      <c r="N712" s="63"/>
      <c r="O712" s="64"/>
      <c r="P712" s="63"/>
      <c r="Q712" s="41"/>
      <c r="R712" s="41"/>
      <c r="S712" s="41"/>
      <c r="T712" s="41"/>
      <c r="U712" s="41"/>
      <c r="V712" s="41"/>
      <c r="W712" s="64"/>
      <c r="X712" s="72"/>
      <c r="Y712" s="41"/>
      <c r="Z712" s="41"/>
      <c r="AA712" s="41"/>
      <c r="AB712" s="63"/>
      <c r="AC712" s="41"/>
      <c r="AD712" s="41"/>
      <c r="AE712" s="64"/>
      <c r="AF712" s="41"/>
      <c r="AG712" s="64"/>
      <c r="AH712" s="41"/>
      <c r="AI712" s="41"/>
      <c r="AJ712" s="41"/>
      <c r="AK712" s="41"/>
      <c r="AL712" s="41"/>
      <c r="AM712" s="41"/>
      <c r="AN712" s="41"/>
      <c r="AO712" s="41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5"/>
      <c r="BB712" s="65"/>
      <c r="BC712" s="65"/>
      <c r="BD712" s="65"/>
    </row>
    <row r="713" spans="2:56" ht="16.5" customHeight="1" thickBot="1" x14ac:dyDescent="0.3">
      <c r="B713" s="1" t="s">
        <v>2</v>
      </c>
      <c r="C713" s="14">
        <f t="shared" si="78"/>
        <v>0</v>
      </c>
      <c r="E713" s="1" t="s">
        <v>2</v>
      </c>
      <c r="F713" s="72"/>
      <c r="G713" s="41"/>
      <c r="H713" s="41"/>
      <c r="I713" s="64"/>
      <c r="J713" s="63"/>
      <c r="K713" s="41"/>
      <c r="L713" s="41"/>
      <c r="M713" s="41"/>
      <c r="N713" s="63"/>
      <c r="O713" s="64"/>
      <c r="P713" s="63"/>
      <c r="Q713" s="41"/>
      <c r="R713" s="41"/>
      <c r="S713" s="41"/>
      <c r="T713" s="41"/>
      <c r="U713" s="41"/>
      <c r="V713" s="41"/>
      <c r="W713" s="64"/>
      <c r="X713" s="72"/>
      <c r="Y713" s="41"/>
      <c r="Z713" s="41"/>
      <c r="AA713" s="41"/>
      <c r="AB713" s="63"/>
      <c r="AC713" s="41"/>
      <c r="AD713" s="41"/>
      <c r="AE713" s="64"/>
      <c r="AF713" s="41"/>
      <c r="AG713" s="64"/>
      <c r="AH713" s="41"/>
      <c r="AI713" s="41"/>
      <c r="AJ713" s="41"/>
      <c r="AK713" s="41"/>
      <c r="AL713" s="41"/>
      <c r="AM713" s="41"/>
      <c r="AN713" s="41"/>
      <c r="AO713" s="41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5"/>
      <c r="BB713" s="65"/>
      <c r="BC713" s="65"/>
      <c r="BD713" s="65"/>
    </row>
    <row r="714" spans="2:56" ht="16.5" customHeight="1" thickBot="1" x14ac:dyDescent="0.3">
      <c r="B714" s="1" t="s">
        <v>3</v>
      </c>
      <c r="C714" s="15">
        <f t="shared" si="78"/>
        <v>0</v>
      </c>
      <c r="E714" s="1" t="s">
        <v>3</v>
      </c>
      <c r="F714" s="73"/>
      <c r="G714" s="67"/>
      <c r="H714" s="67"/>
      <c r="I714" s="68"/>
      <c r="J714" s="66"/>
      <c r="K714" s="67"/>
      <c r="L714" s="67"/>
      <c r="M714" s="67"/>
      <c r="N714" s="66"/>
      <c r="O714" s="68"/>
      <c r="P714" s="66"/>
      <c r="Q714" s="67"/>
      <c r="R714" s="67"/>
      <c r="S714" s="67"/>
      <c r="T714" s="67"/>
      <c r="U714" s="67"/>
      <c r="V714" s="67"/>
      <c r="W714" s="68"/>
      <c r="X714" s="73"/>
      <c r="Y714" s="67"/>
      <c r="Z714" s="67"/>
      <c r="AA714" s="67"/>
      <c r="AB714" s="66"/>
      <c r="AC714" s="67"/>
      <c r="AD714" s="67"/>
      <c r="AE714" s="68"/>
      <c r="AF714" s="67"/>
      <c r="AG714" s="68"/>
      <c r="AH714" s="67"/>
      <c r="AI714" s="67"/>
      <c r="AJ714" s="67"/>
      <c r="AK714" s="67"/>
      <c r="AL714" s="67"/>
      <c r="AM714" s="67"/>
      <c r="AN714" s="67"/>
      <c r="AO714" s="67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9"/>
      <c r="BB714" s="69"/>
      <c r="BC714" s="69"/>
      <c r="BD714" s="69"/>
    </row>
    <row r="715" spans="2:56" ht="21" customHeight="1" x14ac:dyDescent="0.25">
      <c r="B715" s="2"/>
      <c r="C715" s="8">
        <f>SUM(C711:C714)</f>
        <v>2</v>
      </c>
      <c r="F715" s="74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74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</row>
    <row r="716" spans="2:56" x14ac:dyDescent="0.25"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</row>
    <row r="717" spans="2:56" ht="15.75" x14ac:dyDescent="0.25">
      <c r="F717" s="82" t="s">
        <v>17</v>
      </c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3" t="s">
        <v>16</v>
      </c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79"/>
      <c r="AQ717" s="79"/>
      <c r="AR717" s="79"/>
      <c r="AS717" s="79"/>
      <c r="AT717" s="79"/>
      <c r="AU717" s="41"/>
      <c r="AV717" s="41"/>
      <c r="AW717" s="41"/>
      <c r="AX717" s="41"/>
      <c r="AY717" s="41"/>
      <c r="AZ717" s="41"/>
      <c r="BA717" s="41"/>
    </row>
    <row r="718" spans="2:56" ht="32.25" thickBot="1" x14ac:dyDescent="0.3">
      <c r="F718" s="81" t="s">
        <v>9</v>
      </c>
      <c r="G718" s="81"/>
      <c r="H718" s="81"/>
      <c r="I718" s="81"/>
      <c r="J718" s="81" t="s">
        <v>10</v>
      </c>
      <c r="K718" s="81"/>
      <c r="L718" s="81"/>
      <c r="M718" s="81"/>
      <c r="N718" s="81" t="s">
        <v>49</v>
      </c>
      <c r="O718" s="81"/>
      <c r="P718" s="81" t="s">
        <v>11</v>
      </c>
      <c r="Q718" s="81"/>
      <c r="R718" s="81"/>
      <c r="S718" s="81"/>
      <c r="T718" s="81"/>
      <c r="U718" s="81"/>
      <c r="V718" s="81"/>
      <c r="W718" s="81"/>
      <c r="X718" s="81" t="s">
        <v>9</v>
      </c>
      <c r="Y718" s="81"/>
      <c r="Z718" s="81"/>
      <c r="AA718" s="81"/>
      <c r="AB718" s="81" t="s">
        <v>10</v>
      </c>
      <c r="AC718" s="81"/>
      <c r="AD718" s="81"/>
      <c r="AE718" s="81"/>
      <c r="AF718" s="81" t="s">
        <v>49</v>
      </c>
      <c r="AG718" s="81"/>
      <c r="AH718" s="81" t="s">
        <v>11</v>
      </c>
      <c r="AI718" s="81"/>
      <c r="AJ718" s="81"/>
      <c r="AK718" s="81"/>
      <c r="AL718" s="81"/>
      <c r="AM718" s="81"/>
      <c r="AN718" s="81"/>
      <c r="AO718" s="81"/>
      <c r="AP718" s="70" t="s">
        <v>50</v>
      </c>
      <c r="AQ718" s="70" t="s">
        <v>57</v>
      </c>
      <c r="AR718" s="70" t="s">
        <v>63</v>
      </c>
      <c r="AS718" s="70" t="s">
        <v>64</v>
      </c>
      <c r="AT718" s="70" t="s">
        <v>61</v>
      </c>
      <c r="AU718" s="70" t="s">
        <v>54</v>
      </c>
      <c r="AV718" s="70" t="s">
        <v>19</v>
      </c>
      <c r="AW718" s="70" t="s">
        <v>58</v>
      </c>
      <c r="AX718" s="70" t="s">
        <v>51</v>
      </c>
      <c r="AY718" s="70" t="s">
        <v>53</v>
      </c>
      <c r="AZ718" s="70" t="s">
        <v>52</v>
      </c>
      <c r="BA718" s="70" t="s">
        <v>55</v>
      </c>
      <c r="BB718" s="70" t="s">
        <v>56</v>
      </c>
      <c r="BC718" s="70" t="s">
        <v>59</v>
      </c>
      <c r="BD718" s="70" t="s">
        <v>60</v>
      </c>
    </row>
    <row r="719" spans="2:56" ht="16.5" thickBot="1" x14ac:dyDescent="0.3">
      <c r="B719" s="17">
        <v>0.82291666666666896</v>
      </c>
      <c r="C719" s="7" t="s">
        <v>5</v>
      </c>
      <c r="E719" s="11"/>
      <c r="F719" s="75" t="s">
        <v>15</v>
      </c>
      <c r="G719" s="58" t="s">
        <v>12</v>
      </c>
      <c r="H719" s="58" t="s">
        <v>14</v>
      </c>
      <c r="I719" s="58" t="s">
        <v>13</v>
      </c>
      <c r="J719" s="58" t="s">
        <v>42</v>
      </c>
      <c r="K719" s="58" t="s">
        <v>41</v>
      </c>
      <c r="L719" s="58" t="s">
        <v>43</v>
      </c>
      <c r="M719" s="58" t="s">
        <v>44</v>
      </c>
      <c r="N719" s="58" t="s">
        <v>15</v>
      </c>
      <c r="O719" s="58" t="s">
        <v>14</v>
      </c>
      <c r="P719" s="58" t="s">
        <v>45</v>
      </c>
      <c r="Q719" s="58" t="s">
        <v>46</v>
      </c>
      <c r="R719" s="58" t="s">
        <v>42</v>
      </c>
      <c r="S719" s="58" t="s">
        <v>41</v>
      </c>
      <c r="T719" s="58" t="s">
        <v>47</v>
      </c>
      <c r="U719" s="58" t="s">
        <v>48</v>
      </c>
      <c r="V719" s="58" t="s">
        <v>43</v>
      </c>
      <c r="W719" s="58" t="s">
        <v>44</v>
      </c>
      <c r="X719" s="75" t="s">
        <v>15</v>
      </c>
      <c r="Y719" s="58" t="s">
        <v>12</v>
      </c>
      <c r="Z719" s="58" t="s">
        <v>14</v>
      </c>
      <c r="AA719" s="58" t="s">
        <v>13</v>
      </c>
      <c r="AB719" s="58" t="s">
        <v>42</v>
      </c>
      <c r="AC719" s="58" t="s">
        <v>41</v>
      </c>
      <c r="AD719" s="58" t="s">
        <v>43</v>
      </c>
      <c r="AE719" s="58" t="s">
        <v>44</v>
      </c>
      <c r="AF719" s="58" t="s">
        <v>15</v>
      </c>
      <c r="AG719" s="58" t="s">
        <v>14</v>
      </c>
      <c r="AH719" s="58" t="s">
        <v>45</v>
      </c>
      <c r="AI719" s="58" t="s">
        <v>46</v>
      </c>
      <c r="AJ719" s="58" t="s">
        <v>42</v>
      </c>
      <c r="AK719" s="58" t="s">
        <v>41</v>
      </c>
      <c r="AL719" s="58" t="s">
        <v>47</v>
      </c>
      <c r="AM719" s="58" t="s">
        <v>48</v>
      </c>
      <c r="AN719" s="58" t="s">
        <v>43</v>
      </c>
      <c r="AO719" s="58" t="s">
        <v>44</v>
      </c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</row>
    <row r="720" spans="2:56" ht="16.5" customHeight="1" thickBot="1" x14ac:dyDescent="0.3">
      <c r="B720" s="1" t="s">
        <v>0</v>
      </c>
      <c r="C720" s="13">
        <f>SUM(F720:W720)</f>
        <v>0</v>
      </c>
      <c r="E720" s="10" t="s">
        <v>0</v>
      </c>
      <c r="F720" s="71"/>
      <c r="G720" s="60"/>
      <c r="H720" s="60"/>
      <c r="I720" s="61"/>
      <c r="J720" s="59"/>
      <c r="K720" s="60"/>
      <c r="L720" s="60"/>
      <c r="M720" s="60"/>
      <c r="N720" s="59"/>
      <c r="O720" s="61"/>
      <c r="P720" s="59"/>
      <c r="Q720" s="60"/>
      <c r="R720" s="60"/>
      <c r="S720" s="60"/>
      <c r="T720" s="60"/>
      <c r="U720" s="60"/>
      <c r="V720" s="60"/>
      <c r="W720" s="61"/>
      <c r="X720" s="71"/>
      <c r="Y720" s="60"/>
      <c r="Z720" s="60"/>
      <c r="AA720" s="60"/>
      <c r="AB720" s="59"/>
      <c r="AC720" s="60"/>
      <c r="AD720" s="60"/>
      <c r="AE720" s="61"/>
      <c r="AF720" s="60"/>
      <c r="AG720" s="61"/>
      <c r="AH720" s="60"/>
      <c r="AI720" s="60"/>
      <c r="AJ720" s="60"/>
      <c r="AK720" s="60"/>
      <c r="AL720" s="60"/>
      <c r="AM720" s="60"/>
      <c r="AN720" s="60"/>
      <c r="AO720" s="60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62"/>
      <c r="BB720" s="62"/>
      <c r="BC720" s="62"/>
      <c r="BD720" s="62"/>
    </row>
    <row r="721" spans="2:56" ht="16.5" customHeight="1" thickBot="1" x14ac:dyDescent="0.3">
      <c r="B721" s="1" t="s">
        <v>1</v>
      </c>
      <c r="C721" s="14">
        <f t="shared" ref="C721:C723" si="79">SUM(F721:W721)</f>
        <v>0</v>
      </c>
      <c r="E721" s="1" t="s">
        <v>1</v>
      </c>
      <c r="F721" s="72"/>
      <c r="G721" s="41"/>
      <c r="H721" s="41"/>
      <c r="I721" s="64"/>
      <c r="J721" s="63"/>
      <c r="K721" s="41"/>
      <c r="L721" s="41"/>
      <c r="M721" s="41"/>
      <c r="N721" s="63"/>
      <c r="O721" s="64"/>
      <c r="P721" s="63"/>
      <c r="Q721" s="41"/>
      <c r="R721" s="41"/>
      <c r="S721" s="41"/>
      <c r="T721" s="41"/>
      <c r="U721" s="41"/>
      <c r="V721" s="41"/>
      <c r="W721" s="64"/>
      <c r="X721" s="72"/>
      <c r="Y721" s="41"/>
      <c r="Z721" s="41"/>
      <c r="AA721" s="41"/>
      <c r="AB721" s="63"/>
      <c r="AC721" s="41"/>
      <c r="AD721" s="41"/>
      <c r="AE721" s="64"/>
      <c r="AF721" s="41"/>
      <c r="AG721" s="64"/>
      <c r="AH721" s="41"/>
      <c r="AI721" s="41"/>
      <c r="AJ721" s="41"/>
      <c r="AK721" s="41"/>
      <c r="AL721" s="41"/>
      <c r="AM721" s="41"/>
      <c r="AN721" s="41"/>
      <c r="AO721" s="41"/>
      <c r="AP721" s="63"/>
      <c r="AQ721" s="63"/>
      <c r="AR721" s="63"/>
      <c r="AS721" s="63"/>
      <c r="AT721" s="63"/>
      <c r="AU721" s="63">
        <v>1</v>
      </c>
      <c r="AV721" s="63"/>
      <c r="AW721" s="63"/>
      <c r="AX721" s="63"/>
      <c r="AY721" s="63"/>
      <c r="AZ721" s="63"/>
      <c r="BA721" s="65"/>
      <c r="BB721" s="65"/>
      <c r="BC721" s="65"/>
      <c r="BD721" s="65"/>
    </row>
    <row r="722" spans="2:56" ht="16.5" customHeight="1" thickBot="1" x14ac:dyDescent="0.3">
      <c r="B722" s="1" t="s">
        <v>2</v>
      </c>
      <c r="C722" s="14">
        <f t="shared" si="79"/>
        <v>0</v>
      </c>
      <c r="E722" s="1" t="s">
        <v>2</v>
      </c>
      <c r="F722" s="72"/>
      <c r="G722" s="41"/>
      <c r="H722" s="41"/>
      <c r="I722" s="64"/>
      <c r="J722" s="63"/>
      <c r="K722" s="41"/>
      <c r="L722" s="41"/>
      <c r="M722" s="41"/>
      <c r="N722" s="63"/>
      <c r="O722" s="64"/>
      <c r="P722" s="63"/>
      <c r="Q722" s="41"/>
      <c r="R722" s="41"/>
      <c r="S722" s="41"/>
      <c r="T722" s="41"/>
      <c r="U722" s="41"/>
      <c r="V722" s="41"/>
      <c r="W722" s="64"/>
      <c r="X722" s="72"/>
      <c r="Y722" s="41"/>
      <c r="Z722" s="41"/>
      <c r="AA722" s="41"/>
      <c r="AB722" s="63"/>
      <c r="AC722" s="41"/>
      <c r="AD722" s="41"/>
      <c r="AE722" s="64"/>
      <c r="AF722" s="41"/>
      <c r="AG722" s="64"/>
      <c r="AH722" s="41"/>
      <c r="AI722" s="41"/>
      <c r="AJ722" s="41"/>
      <c r="AK722" s="41"/>
      <c r="AL722" s="41"/>
      <c r="AM722" s="41"/>
      <c r="AN722" s="41"/>
      <c r="AO722" s="41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5"/>
      <c r="BB722" s="65"/>
      <c r="BC722" s="65"/>
      <c r="BD722" s="65"/>
    </row>
    <row r="723" spans="2:56" ht="16.5" customHeight="1" thickBot="1" x14ac:dyDescent="0.3">
      <c r="B723" s="1" t="s">
        <v>3</v>
      </c>
      <c r="C723" s="15">
        <f t="shared" si="79"/>
        <v>0</v>
      </c>
      <c r="E723" s="1" t="s">
        <v>3</v>
      </c>
      <c r="F723" s="73"/>
      <c r="G723" s="67"/>
      <c r="H723" s="67"/>
      <c r="I723" s="68"/>
      <c r="J723" s="66"/>
      <c r="K723" s="67"/>
      <c r="L723" s="67"/>
      <c r="M723" s="67"/>
      <c r="N723" s="66"/>
      <c r="O723" s="68"/>
      <c r="P723" s="66"/>
      <c r="Q723" s="67"/>
      <c r="R723" s="67"/>
      <c r="S723" s="67"/>
      <c r="T723" s="67"/>
      <c r="U723" s="67"/>
      <c r="V723" s="67"/>
      <c r="W723" s="68"/>
      <c r="X723" s="73"/>
      <c r="Y723" s="67"/>
      <c r="Z723" s="67"/>
      <c r="AA723" s="67"/>
      <c r="AB723" s="66"/>
      <c r="AC723" s="67"/>
      <c r="AD723" s="67"/>
      <c r="AE723" s="68"/>
      <c r="AF723" s="67"/>
      <c r="AG723" s="68"/>
      <c r="AH723" s="67"/>
      <c r="AI723" s="67"/>
      <c r="AJ723" s="67"/>
      <c r="AK723" s="67"/>
      <c r="AL723" s="67"/>
      <c r="AM723" s="67"/>
      <c r="AN723" s="67"/>
      <c r="AO723" s="67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9"/>
      <c r="BB723" s="69"/>
      <c r="BC723" s="69"/>
      <c r="BD723" s="69"/>
    </row>
    <row r="724" spans="2:56" ht="21" customHeight="1" x14ac:dyDescent="0.25">
      <c r="B724" s="2"/>
      <c r="C724" s="8">
        <f>SUM(C720:C723)</f>
        <v>0</v>
      </c>
      <c r="F724" s="74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74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</row>
    <row r="725" spans="2:56" x14ac:dyDescent="0.25"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</row>
    <row r="726" spans="2:56" ht="15.75" x14ac:dyDescent="0.25">
      <c r="F726" s="82" t="s">
        <v>17</v>
      </c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3" t="s">
        <v>16</v>
      </c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79"/>
      <c r="AQ726" s="79"/>
      <c r="AR726" s="79"/>
      <c r="AS726" s="79"/>
      <c r="AT726" s="79"/>
      <c r="AU726" s="41"/>
      <c r="AV726" s="41"/>
      <c r="AW726" s="41"/>
      <c r="AX726" s="41"/>
      <c r="AY726" s="41"/>
      <c r="AZ726" s="41"/>
      <c r="BA726" s="41"/>
    </row>
    <row r="727" spans="2:56" ht="32.25" thickBot="1" x14ac:dyDescent="0.3">
      <c r="F727" s="81" t="s">
        <v>9</v>
      </c>
      <c r="G727" s="81"/>
      <c r="H727" s="81"/>
      <c r="I727" s="81"/>
      <c r="J727" s="81" t="s">
        <v>10</v>
      </c>
      <c r="K727" s="81"/>
      <c r="L727" s="81"/>
      <c r="M727" s="81"/>
      <c r="N727" s="81" t="s">
        <v>49</v>
      </c>
      <c r="O727" s="81"/>
      <c r="P727" s="81" t="s">
        <v>11</v>
      </c>
      <c r="Q727" s="81"/>
      <c r="R727" s="81"/>
      <c r="S727" s="81"/>
      <c r="T727" s="81"/>
      <c r="U727" s="81"/>
      <c r="V727" s="81"/>
      <c r="W727" s="81"/>
      <c r="X727" s="81" t="s">
        <v>9</v>
      </c>
      <c r="Y727" s="81"/>
      <c r="Z727" s="81"/>
      <c r="AA727" s="81"/>
      <c r="AB727" s="81" t="s">
        <v>10</v>
      </c>
      <c r="AC727" s="81"/>
      <c r="AD727" s="81"/>
      <c r="AE727" s="81"/>
      <c r="AF727" s="81" t="s">
        <v>49</v>
      </c>
      <c r="AG727" s="81"/>
      <c r="AH727" s="81" t="s">
        <v>11</v>
      </c>
      <c r="AI727" s="81"/>
      <c r="AJ727" s="81"/>
      <c r="AK727" s="81"/>
      <c r="AL727" s="81"/>
      <c r="AM727" s="81"/>
      <c r="AN727" s="81"/>
      <c r="AO727" s="81"/>
      <c r="AP727" s="70" t="s">
        <v>50</v>
      </c>
      <c r="AQ727" s="70" t="s">
        <v>57</v>
      </c>
      <c r="AR727" s="70" t="s">
        <v>63</v>
      </c>
      <c r="AS727" s="70" t="s">
        <v>64</v>
      </c>
      <c r="AT727" s="70" t="s">
        <v>61</v>
      </c>
      <c r="AU727" s="70" t="s">
        <v>54</v>
      </c>
      <c r="AV727" s="70" t="s">
        <v>19</v>
      </c>
      <c r="AW727" s="70" t="s">
        <v>58</v>
      </c>
      <c r="AX727" s="70" t="s">
        <v>51</v>
      </c>
      <c r="AY727" s="70" t="s">
        <v>53</v>
      </c>
      <c r="AZ727" s="70" t="s">
        <v>52</v>
      </c>
      <c r="BA727" s="70" t="s">
        <v>55</v>
      </c>
      <c r="BB727" s="70" t="s">
        <v>56</v>
      </c>
      <c r="BC727" s="70" t="s">
        <v>59</v>
      </c>
      <c r="BD727" s="70" t="s">
        <v>60</v>
      </c>
    </row>
    <row r="728" spans="2:56" ht="16.5" thickBot="1" x14ac:dyDescent="0.3">
      <c r="B728" s="16">
        <v>0.83333333333333603</v>
      </c>
      <c r="C728" s="7" t="s">
        <v>5</v>
      </c>
      <c r="E728" s="11"/>
      <c r="F728" s="75" t="s">
        <v>15</v>
      </c>
      <c r="G728" s="58" t="s">
        <v>12</v>
      </c>
      <c r="H728" s="58" t="s">
        <v>14</v>
      </c>
      <c r="I728" s="58" t="s">
        <v>13</v>
      </c>
      <c r="J728" s="58" t="s">
        <v>42</v>
      </c>
      <c r="K728" s="58" t="s">
        <v>41</v>
      </c>
      <c r="L728" s="58" t="s">
        <v>43</v>
      </c>
      <c r="M728" s="58" t="s">
        <v>44</v>
      </c>
      <c r="N728" s="58" t="s">
        <v>15</v>
      </c>
      <c r="O728" s="58" t="s">
        <v>14</v>
      </c>
      <c r="P728" s="58" t="s">
        <v>45</v>
      </c>
      <c r="Q728" s="58" t="s">
        <v>46</v>
      </c>
      <c r="R728" s="58" t="s">
        <v>42</v>
      </c>
      <c r="S728" s="58" t="s">
        <v>41</v>
      </c>
      <c r="T728" s="58" t="s">
        <v>47</v>
      </c>
      <c r="U728" s="58" t="s">
        <v>48</v>
      </c>
      <c r="V728" s="58" t="s">
        <v>43</v>
      </c>
      <c r="W728" s="58" t="s">
        <v>44</v>
      </c>
      <c r="X728" s="75" t="s">
        <v>15</v>
      </c>
      <c r="Y728" s="58" t="s">
        <v>12</v>
      </c>
      <c r="Z728" s="58" t="s">
        <v>14</v>
      </c>
      <c r="AA728" s="58" t="s">
        <v>13</v>
      </c>
      <c r="AB728" s="58" t="s">
        <v>42</v>
      </c>
      <c r="AC728" s="58" t="s">
        <v>41</v>
      </c>
      <c r="AD728" s="58" t="s">
        <v>43</v>
      </c>
      <c r="AE728" s="58" t="s">
        <v>44</v>
      </c>
      <c r="AF728" s="58" t="s">
        <v>15</v>
      </c>
      <c r="AG728" s="58" t="s">
        <v>14</v>
      </c>
      <c r="AH728" s="58" t="s">
        <v>45</v>
      </c>
      <c r="AI728" s="58" t="s">
        <v>46</v>
      </c>
      <c r="AJ728" s="58" t="s">
        <v>42</v>
      </c>
      <c r="AK728" s="58" t="s">
        <v>41</v>
      </c>
      <c r="AL728" s="58" t="s">
        <v>47</v>
      </c>
      <c r="AM728" s="58" t="s">
        <v>48</v>
      </c>
      <c r="AN728" s="58" t="s">
        <v>43</v>
      </c>
      <c r="AO728" s="58" t="s">
        <v>44</v>
      </c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</row>
    <row r="729" spans="2:56" ht="16.5" customHeight="1" thickBot="1" x14ac:dyDescent="0.3">
      <c r="B729" s="1" t="s">
        <v>0</v>
      </c>
      <c r="C729" s="13">
        <f>SUM(F729:W729)</f>
        <v>0</v>
      </c>
      <c r="E729" s="10" t="s">
        <v>0</v>
      </c>
      <c r="F729" s="71"/>
      <c r="G729" s="60"/>
      <c r="H729" s="60"/>
      <c r="I729" s="61"/>
      <c r="J729" s="59"/>
      <c r="K729" s="60"/>
      <c r="L729" s="60"/>
      <c r="M729" s="60"/>
      <c r="N729" s="59"/>
      <c r="O729" s="61"/>
      <c r="P729" s="59"/>
      <c r="Q729" s="60"/>
      <c r="R729" s="60"/>
      <c r="S729" s="60"/>
      <c r="T729" s="60"/>
      <c r="U729" s="60"/>
      <c r="V729" s="60"/>
      <c r="W729" s="61"/>
      <c r="X729" s="71"/>
      <c r="Y729" s="60"/>
      <c r="Z729" s="60"/>
      <c r="AA729" s="60"/>
      <c r="AB729" s="59"/>
      <c r="AC729" s="60"/>
      <c r="AD729" s="60"/>
      <c r="AE729" s="61"/>
      <c r="AF729" s="60"/>
      <c r="AG729" s="61"/>
      <c r="AH729" s="60"/>
      <c r="AI729" s="60"/>
      <c r="AJ729" s="60"/>
      <c r="AK729" s="60"/>
      <c r="AL729" s="60"/>
      <c r="AM729" s="60"/>
      <c r="AN729" s="60"/>
      <c r="AO729" s="60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62"/>
      <c r="BB729" s="62"/>
      <c r="BC729" s="62"/>
      <c r="BD729" s="62"/>
    </row>
    <row r="730" spans="2:56" ht="16.5" customHeight="1" thickBot="1" x14ac:dyDescent="0.3">
      <c r="B730" s="1" t="s">
        <v>1</v>
      </c>
      <c r="C730" s="14">
        <f t="shared" ref="C730:C732" si="80">SUM(F730:W730)</f>
        <v>1</v>
      </c>
      <c r="E730" s="1" t="s">
        <v>1</v>
      </c>
      <c r="F730" s="72"/>
      <c r="G730" s="41"/>
      <c r="H730" s="41"/>
      <c r="I730" s="64"/>
      <c r="J730" s="63"/>
      <c r="K730" s="41"/>
      <c r="L730" s="41"/>
      <c r="M730" s="41"/>
      <c r="N730" s="63"/>
      <c r="O730" s="64">
        <v>1</v>
      </c>
      <c r="P730" s="63"/>
      <c r="Q730" s="41"/>
      <c r="R730" s="41"/>
      <c r="S730" s="41"/>
      <c r="T730" s="41"/>
      <c r="U730" s="41"/>
      <c r="V730" s="41"/>
      <c r="W730" s="64"/>
      <c r="X730" s="72"/>
      <c r="Y730" s="41"/>
      <c r="Z730" s="41"/>
      <c r="AA730" s="41"/>
      <c r="AB730" s="63"/>
      <c r="AC730" s="41"/>
      <c r="AD730" s="41"/>
      <c r="AE730" s="64"/>
      <c r="AF730" s="41">
        <v>1</v>
      </c>
      <c r="AG730" s="64"/>
      <c r="AH730" s="41"/>
      <c r="AI730" s="41"/>
      <c r="AJ730" s="41"/>
      <c r="AK730" s="41"/>
      <c r="AL730" s="41"/>
      <c r="AM730" s="41"/>
      <c r="AN730" s="41"/>
      <c r="AO730" s="41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5"/>
      <c r="BB730" s="65"/>
      <c r="BC730" s="65"/>
      <c r="BD730" s="65"/>
    </row>
    <row r="731" spans="2:56" ht="16.5" customHeight="1" thickBot="1" x14ac:dyDescent="0.3">
      <c r="B731" s="1" t="s">
        <v>2</v>
      </c>
      <c r="C731" s="14">
        <f t="shared" si="80"/>
        <v>0</v>
      </c>
      <c r="E731" s="1" t="s">
        <v>2</v>
      </c>
      <c r="F731" s="72"/>
      <c r="G731" s="41"/>
      <c r="H731" s="41"/>
      <c r="I731" s="64"/>
      <c r="J731" s="63"/>
      <c r="K731" s="41"/>
      <c r="L731" s="41"/>
      <c r="M731" s="41"/>
      <c r="N731" s="63"/>
      <c r="O731" s="64"/>
      <c r="P731" s="63"/>
      <c r="Q731" s="41"/>
      <c r="R731" s="41"/>
      <c r="S731" s="41"/>
      <c r="T731" s="41"/>
      <c r="U731" s="41"/>
      <c r="V731" s="41"/>
      <c r="W731" s="64"/>
      <c r="X731" s="72"/>
      <c r="Y731" s="41"/>
      <c r="Z731" s="41"/>
      <c r="AA731" s="41"/>
      <c r="AB731" s="63"/>
      <c r="AC731" s="41"/>
      <c r="AD731" s="41"/>
      <c r="AE731" s="64"/>
      <c r="AF731" s="41"/>
      <c r="AG731" s="64"/>
      <c r="AH731" s="41"/>
      <c r="AI731" s="41"/>
      <c r="AJ731" s="41"/>
      <c r="AK731" s="41"/>
      <c r="AL731" s="41"/>
      <c r="AM731" s="41"/>
      <c r="AN731" s="41"/>
      <c r="AO731" s="41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5"/>
      <c r="BB731" s="65"/>
      <c r="BC731" s="65"/>
      <c r="BD731" s="65"/>
    </row>
    <row r="732" spans="2:56" ht="16.5" customHeight="1" thickBot="1" x14ac:dyDescent="0.3">
      <c r="B732" s="1" t="s">
        <v>3</v>
      </c>
      <c r="C732" s="15">
        <f t="shared" si="80"/>
        <v>0</v>
      </c>
      <c r="E732" s="1" t="s">
        <v>3</v>
      </c>
      <c r="F732" s="73"/>
      <c r="G732" s="67"/>
      <c r="H732" s="67"/>
      <c r="I732" s="68"/>
      <c r="J732" s="66"/>
      <c r="K732" s="67"/>
      <c r="L732" s="67"/>
      <c r="M732" s="67"/>
      <c r="N732" s="66"/>
      <c r="O732" s="68"/>
      <c r="P732" s="66"/>
      <c r="Q732" s="67"/>
      <c r="R732" s="67"/>
      <c r="S732" s="67"/>
      <c r="T732" s="67"/>
      <c r="U732" s="67"/>
      <c r="V732" s="67"/>
      <c r="W732" s="68"/>
      <c r="X732" s="73"/>
      <c r="Y732" s="67"/>
      <c r="Z732" s="67"/>
      <c r="AA732" s="67"/>
      <c r="AB732" s="66"/>
      <c r="AC732" s="67"/>
      <c r="AD732" s="67"/>
      <c r="AE732" s="68"/>
      <c r="AF732" s="67"/>
      <c r="AG732" s="68"/>
      <c r="AH732" s="67"/>
      <c r="AI732" s="67"/>
      <c r="AJ732" s="67"/>
      <c r="AK732" s="67"/>
      <c r="AL732" s="67"/>
      <c r="AM732" s="67"/>
      <c r="AN732" s="67"/>
      <c r="AO732" s="67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9"/>
      <c r="BB732" s="69"/>
      <c r="BC732" s="69"/>
      <c r="BD732" s="69"/>
    </row>
    <row r="733" spans="2:56" ht="21" customHeight="1" x14ac:dyDescent="0.25">
      <c r="B733" s="2"/>
      <c r="C733" s="8">
        <f>SUM(C729:C732)</f>
        <v>1</v>
      </c>
      <c r="F733" s="74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74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</row>
    <row r="734" spans="2:56" x14ac:dyDescent="0.25"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</row>
    <row r="735" spans="2:56" ht="15.75" x14ac:dyDescent="0.25">
      <c r="F735" s="82" t="s">
        <v>17</v>
      </c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3" t="s">
        <v>16</v>
      </c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79"/>
      <c r="AQ735" s="79"/>
      <c r="AR735" s="79"/>
      <c r="AS735" s="79"/>
      <c r="AT735" s="79"/>
      <c r="AU735" s="41"/>
      <c r="AV735" s="41"/>
      <c r="AW735" s="41"/>
      <c r="AX735" s="41"/>
      <c r="AY735" s="41"/>
      <c r="AZ735" s="41"/>
      <c r="BA735" s="41"/>
    </row>
    <row r="736" spans="2:56" ht="32.25" thickBot="1" x14ac:dyDescent="0.3">
      <c r="F736" s="81" t="s">
        <v>9</v>
      </c>
      <c r="G736" s="81"/>
      <c r="H736" s="81"/>
      <c r="I736" s="81"/>
      <c r="J736" s="81" t="s">
        <v>10</v>
      </c>
      <c r="K736" s="81"/>
      <c r="L736" s="81"/>
      <c r="M736" s="81"/>
      <c r="N736" s="81" t="s">
        <v>49</v>
      </c>
      <c r="O736" s="81"/>
      <c r="P736" s="81" t="s">
        <v>11</v>
      </c>
      <c r="Q736" s="81"/>
      <c r="R736" s="81"/>
      <c r="S736" s="81"/>
      <c r="T736" s="81"/>
      <c r="U736" s="81"/>
      <c r="V736" s="81"/>
      <c r="W736" s="81"/>
      <c r="X736" s="81" t="s">
        <v>9</v>
      </c>
      <c r="Y736" s="81"/>
      <c r="Z736" s="81"/>
      <c r="AA736" s="81"/>
      <c r="AB736" s="81" t="s">
        <v>10</v>
      </c>
      <c r="AC736" s="81"/>
      <c r="AD736" s="81"/>
      <c r="AE736" s="81"/>
      <c r="AF736" s="81" t="s">
        <v>49</v>
      </c>
      <c r="AG736" s="81"/>
      <c r="AH736" s="81" t="s">
        <v>11</v>
      </c>
      <c r="AI736" s="81"/>
      <c r="AJ736" s="81"/>
      <c r="AK736" s="81"/>
      <c r="AL736" s="81"/>
      <c r="AM736" s="81"/>
      <c r="AN736" s="81"/>
      <c r="AO736" s="81"/>
      <c r="AP736" s="70" t="s">
        <v>50</v>
      </c>
      <c r="AQ736" s="70" t="s">
        <v>57</v>
      </c>
      <c r="AR736" s="70" t="s">
        <v>63</v>
      </c>
      <c r="AS736" s="70" t="s">
        <v>64</v>
      </c>
      <c r="AT736" s="70" t="s">
        <v>61</v>
      </c>
      <c r="AU736" s="70" t="s">
        <v>54</v>
      </c>
      <c r="AV736" s="70" t="s">
        <v>19</v>
      </c>
      <c r="AW736" s="70" t="s">
        <v>58</v>
      </c>
      <c r="AX736" s="70" t="s">
        <v>51</v>
      </c>
      <c r="AY736" s="70" t="s">
        <v>53</v>
      </c>
      <c r="AZ736" s="70" t="s">
        <v>52</v>
      </c>
      <c r="BA736" s="70" t="s">
        <v>55</v>
      </c>
      <c r="BB736" s="70" t="s">
        <v>56</v>
      </c>
      <c r="BC736" s="70" t="s">
        <v>59</v>
      </c>
      <c r="BD736" s="70" t="s">
        <v>60</v>
      </c>
    </row>
    <row r="737" spans="2:56" ht="16.5" thickBot="1" x14ac:dyDescent="0.3">
      <c r="B737" s="16">
        <v>0.843750000000002</v>
      </c>
      <c r="C737" s="7" t="s">
        <v>5</v>
      </c>
      <c r="E737" s="11"/>
      <c r="F737" s="75" t="s">
        <v>15</v>
      </c>
      <c r="G737" s="58" t="s">
        <v>12</v>
      </c>
      <c r="H737" s="58" t="s">
        <v>14</v>
      </c>
      <c r="I737" s="58" t="s">
        <v>13</v>
      </c>
      <c r="J737" s="58" t="s">
        <v>42</v>
      </c>
      <c r="K737" s="58" t="s">
        <v>41</v>
      </c>
      <c r="L737" s="58" t="s">
        <v>43</v>
      </c>
      <c r="M737" s="58" t="s">
        <v>44</v>
      </c>
      <c r="N737" s="58" t="s">
        <v>15</v>
      </c>
      <c r="O737" s="58" t="s">
        <v>14</v>
      </c>
      <c r="P737" s="58" t="s">
        <v>45</v>
      </c>
      <c r="Q737" s="58" t="s">
        <v>46</v>
      </c>
      <c r="R737" s="58" t="s">
        <v>42</v>
      </c>
      <c r="S737" s="58" t="s">
        <v>41</v>
      </c>
      <c r="T737" s="58" t="s">
        <v>47</v>
      </c>
      <c r="U737" s="58" t="s">
        <v>48</v>
      </c>
      <c r="V737" s="58" t="s">
        <v>43</v>
      </c>
      <c r="W737" s="58" t="s">
        <v>44</v>
      </c>
      <c r="X737" s="75" t="s">
        <v>15</v>
      </c>
      <c r="Y737" s="58" t="s">
        <v>12</v>
      </c>
      <c r="Z737" s="58" t="s">
        <v>14</v>
      </c>
      <c r="AA737" s="58" t="s">
        <v>13</v>
      </c>
      <c r="AB737" s="58" t="s">
        <v>42</v>
      </c>
      <c r="AC737" s="58" t="s">
        <v>41</v>
      </c>
      <c r="AD737" s="58" t="s">
        <v>43</v>
      </c>
      <c r="AE737" s="58" t="s">
        <v>44</v>
      </c>
      <c r="AF737" s="58" t="s">
        <v>15</v>
      </c>
      <c r="AG737" s="58" t="s">
        <v>14</v>
      </c>
      <c r="AH737" s="58" t="s">
        <v>45</v>
      </c>
      <c r="AI737" s="58" t="s">
        <v>46</v>
      </c>
      <c r="AJ737" s="58" t="s">
        <v>42</v>
      </c>
      <c r="AK737" s="58" t="s">
        <v>41</v>
      </c>
      <c r="AL737" s="58" t="s">
        <v>47</v>
      </c>
      <c r="AM737" s="58" t="s">
        <v>48</v>
      </c>
      <c r="AN737" s="58" t="s">
        <v>43</v>
      </c>
      <c r="AO737" s="58" t="s">
        <v>44</v>
      </c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</row>
    <row r="738" spans="2:56" ht="16.5" customHeight="1" thickBot="1" x14ac:dyDescent="0.3">
      <c r="B738" s="1" t="s">
        <v>0</v>
      </c>
      <c r="C738" s="13">
        <f>SUM(F738:W738)</f>
        <v>0</v>
      </c>
      <c r="E738" s="10" t="s">
        <v>0</v>
      </c>
      <c r="F738" s="71"/>
      <c r="G738" s="60"/>
      <c r="H738" s="60"/>
      <c r="I738" s="61"/>
      <c r="J738" s="59"/>
      <c r="K738" s="60"/>
      <c r="L738" s="60"/>
      <c r="M738" s="60"/>
      <c r="N738" s="59"/>
      <c r="O738" s="61"/>
      <c r="P738" s="59"/>
      <c r="Q738" s="60"/>
      <c r="R738" s="60"/>
      <c r="S738" s="60"/>
      <c r="T738" s="60"/>
      <c r="U738" s="60"/>
      <c r="V738" s="60"/>
      <c r="W738" s="61"/>
      <c r="X738" s="71"/>
      <c r="Y738" s="60"/>
      <c r="Z738" s="60"/>
      <c r="AA738" s="60"/>
      <c r="AB738" s="59"/>
      <c r="AC738" s="60"/>
      <c r="AD738" s="60"/>
      <c r="AE738" s="61"/>
      <c r="AF738" s="60"/>
      <c r="AG738" s="61"/>
      <c r="AH738" s="60"/>
      <c r="AI738" s="60"/>
      <c r="AJ738" s="60"/>
      <c r="AK738" s="60"/>
      <c r="AL738" s="60"/>
      <c r="AM738" s="60"/>
      <c r="AN738" s="60"/>
      <c r="AO738" s="60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62"/>
      <c r="BB738" s="62"/>
      <c r="BC738" s="62"/>
      <c r="BD738" s="62"/>
    </row>
    <row r="739" spans="2:56" ht="16.5" customHeight="1" thickBot="1" x14ac:dyDescent="0.3">
      <c r="B739" s="1" t="s">
        <v>1</v>
      </c>
      <c r="C739" s="14">
        <f t="shared" ref="C739:C741" si="81">SUM(F739:W739)</f>
        <v>0</v>
      </c>
      <c r="E739" s="1" t="s">
        <v>1</v>
      </c>
      <c r="F739" s="72"/>
      <c r="G739" s="41"/>
      <c r="H739" s="41"/>
      <c r="I739" s="64"/>
      <c r="J739" s="63"/>
      <c r="K739" s="41"/>
      <c r="L739" s="41"/>
      <c r="M739" s="41"/>
      <c r="N739" s="63"/>
      <c r="O739" s="64"/>
      <c r="P739" s="63"/>
      <c r="Q739" s="41"/>
      <c r="R739" s="41"/>
      <c r="S739" s="41"/>
      <c r="T739" s="41"/>
      <c r="U739" s="41"/>
      <c r="V739" s="41"/>
      <c r="W739" s="64"/>
      <c r="X739" s="72"/>
      <c r="Y739" s="41"/>
      <c r="Z739" s="41"/>
      <c r="AA739" s="41"/>
      <c r="AB739" s="63"/>
      <c r="AC739" s="41"/>
      <c r="AD739" s="41"/>
      <c r="AE739" s="64"/>
      <c r="AF739" s="41"/>
      <c r="AG739" s="64"/>
      <c r="AH739" s="41"/>
      <c r="AI739" s="41"/>
      <c r="AJ739" s="41"/>
      <c r="AK739" s="41"/>
      <c r="AL739" s="41"/>
      <c r="AM739" s="41"/>
      <c r="AN739" s="41"/>
      <c r="AO739" s="41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5"/>
      <c r="BB739" s="65"/>
      <c r="BC739" s="65"/>
      <c r="BD739" s="65"/>
    </row>
    <row r="740" spans="2:56" ht="16.5" customHeight="1" thickBot="1" x14ac:dyDescent="0.3">
      <c r="B740" s="1" t="s">
        <v>2</v>
      </c>
      <c r="C740" s="14">
        <f t="shared" si="81"/>
        <v>0</v>
      </c>
      <c r="E740" s="1" t="s">
        <v>2</v>
      </c>
      <c r="F740" s="72"/>
      <c r="G740" s="41"/>
      <c r="H740" s="41"/>
      <c r="I740" s="64"/>
      <c r="J740" s="63"/>
      <c r="K740" s="41"/>
      <c r="L740" s="41"/>
      <c r="M740" s="41"/>
      <c r="N740" s="63"/>
      <c r="O740" s="64"/>
      <c r="P740" s="63"/>
      <c r="Q740" s="41"/>
      <c r="R740" s="41"/>
      <c r="S740" s="41"/>
      <c r="T740" s="41"/>
      <c r="U740" s="41"/>
      <c r="V740" s="41"/>
      <c r="W740" s="64"/>
      <c r="X740" s="72"/>
      <c r="Y740" s="41"/>
      <c r="Z740" s="41"/>
      <c r="AA740" s="41"/>
      <c r="AB740" s="63"/>
      <c r="AC740" s="41"/>
      <c r="AD740" s="41"/>
      <c r="AE740" s="64"/>
      <c r="AF740" s="41"/>
      <c r="AG740" s="64"/>
      <c r="AH740" s="41"/>
      <c r="AI740" s="41"/>
      <c r="AJ740" s="41"/>
      <c r="AK740" s="41"/>
      <c r="AL740" s="41"/>
      <c r="AM740" s="41"/>
      <c r="AN740" s="41"/>
      <c r="AO740" s="41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5"/>
      <c r="BB740" s="65"/>
      <c r="BC740" s="65"/>
      <c r="BD740" s="65"/>
    </row>
    <row r="741" spans="2:56" ht="16.5" customHeight="1" thickBot="1" x14ac:dyDescent="0.3">
      <c r="B741" s="1" t="s">
        <v>3</v>
      </c>
      <c r="C741" s="15">
        <f t="shared" si="81"/>
        <v>0</v>
      </c>
      <c r="E741" s="1" t="s">
        <v>3</v>
      </c>
      <c r="F741" s="73"/>
      <c r="G741" s="67"/>
      <c r="H741" s="67"/>
      <c r="I741" s="68"/>
      <c r="J741" s="66"/>
      <c r="K741" s="67"/>
      <c r="L741" s="67"/>
      <c r="M741" s="67"/>
      <c r="N741" s="66"/>
      <c r="O741" s="68"/>
      <c r="P741" s="66"/>
      <c r="Q741" s="67"/>
      <c r="R741" s="67"/>
      <c r="S741" s="67"/>
      <c r="T741" s="67"/>
      <c r="U741" s="67"/>
      <c r="V741" s="67"/>
      <c r="W741" s="68"/>
      <c r="X741" s="73"/>
      <c r="Y741" s="67"/>
      <c r="Z741" s="67"/>
      <c r="AA741" s="67"/>
      <c r="AB741" s="66"/>
      <c r="AC741" s="67"/>
      <c r="AD741" s="67"/>
      <c r="AE741" s="68"/>
      <c r="AF741" s="67"/>
      <c r="AG741" s="68"/>
      <c r="AH741" s="67"/>
      <c r="AI741" s="67"/>
      <c r="AJ741" s="67"/>
      <c r="AK741" s="67"/>
      <c r="AL741" s="67"/>
      <c r="AM741" s="67"/>
      <c r="AN741" s="67"/>
      <c r="AO741" s="67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9"/>
      <c r="BB741" s="69"/>
      <c r="BC741" s="69"/>
      <c r="BD741" s="69"/>
    </row>
    <row r="742" spans="2:56" ht="21" customHeight="1" x14ac:dyDescent="0.25">
      <c r="B742" s="2"/>
      <c r="C742" s="8">
        <f>SUM(C738:C741)</f>
        <v>0</v>
      </c>
      <c r="F742" s="74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74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</row>
    <row r="743" spans="2:56" x14ac:dyDescent="0.25"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</row>
    <row r="744" spans="2:56" ht="15.75" x14ac:dyDescent="0.25">
      <c r="F744" s="82" t="s">
        <v>17</v>
      </c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3" t="s">
        <v>16</v>
      </c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79"/>
      <c r="AQ744" s="79"/>
      <c r="AR744" s="79"/>
      <c r="AS744" s="79"/>
      <c r="AT744" s="79"/>
      <c r="AU744" s="41"/>
      <c r="AV744" s="41"/>
      <c r="AW744" s="41"/>
      <c r="AX744" s="41"/>
      <c r="AY744" s="41"/>
      <c r="AZ744" s="41"/>
      <c r="BA744" s="41"/>
    </row>
    <row r="745" spans="2:56" ht="32.25" thickBot="1" x14ac:dyDescent="0.3">
      <c r="F745" s="81" t="s">
        <v>9</v>
      </c>
      <c r="G745" s="81"/>
      <c r="H745" s="81"/>
      <c r="I745" s="81"/>
      <c r="J745" s="81" t="s">
        <v>10</v>
      </c>
      <c r="K745" s="81"/>
      <c r="L745" s="81"/>
      <c r="M745" s="81"/>
      <c r="N745" s="81" t="s">
        <v>49</v>
      </c>
      <c r="O745" s="81"/>
      <c r="P745" s="81" t="s">
        <v>11</v>
      </c>
      <c r="Q745" s="81"/>
      <c r="R745" s="81"/>
      <c r="S745" s="81"/>
      <c r="T745" s="81"/>
      <c r="U745" s="81"/>
      <c r="V745" s="81"/>
      <c r="W745" s="81"/>
      <c r="X745" s="81" t="s">
        <v>9</v>
      </c>
      <c r="Y745" s="81"/>
      <c r="Z745" s="81"/>
      <c r="AA745" s="81"/>
      <c r="AB745" s="81" t="s">
        <v>10</v>
      </c>
      <c r="AC745" s="81"/>
      <c r="AD745" s="81"/>
      <c r="AE745" s="81"/>
      <c r="AF745" s="81" t="s">
        <v>49</v>
      </c>
      <c r="AG745" s="81"/>
      <c r="AH745" s="81" t="s">
        <v>11</v>
      </c>
      <c r="AI745" s="81"/>
      <c r="AJ745" s="81"/>
      <c r="AK745" s="81"/>
      <c r="AL745" s="81"/>
      <c r="AM745" s="81"/>
      <c r="AN745" s="81"/>
      <c r="AO745" s="81"/>
      <c r="AP745" s="70" t="s">
        <v>50</v>
      </c>
      <c r="AQ745" s="70" t="s">
        <v>57</v>
      </c>
      <c r="AR745" s="70" t="s">
        <v>63</v>
      </c>
      <c r="AS745" s="70" t="s">
        <v>64</v>
      </c>
      <c r="AT745" s="70" t="s">
        <v>61</v>
      </c>
      <c r="AU745" s="70" t="s">
        <v>54</v>
      </c>
      <c r="AV745" s="70" t="s">
        <v>19</v>
      </c>
      <c r="AW745" s="70" t="s">
        <v>58</v>
      </c>
      <c r="AX745" s="70" t="s">
        <v>51</v>
      </c>
      <c r="AY745" s="70" t="s">
        <v>53</v>
      </c>
      <c r="AZ745" s="70" t="s">
        <v>52</v>
      </c>
      <c r="BA745" s="70" t="s">
        <v>55</v>
      </c>
      <c r="BB745" s="70" t="s">
        <v>56</v>
      </c>
      <c r="BC745" s="70" t="s">
        <v>59</v>
      </c>
      <c r="BD745" s="70" t="s">
        <v>60</v>
      </c>
    </row>
    <row r="746" spans="2:56" ht="16.5" thickBot="1" x14ac:dyDescent="0.3">
      <c r="B746" s="16">
        <v>0.85416666666666896</v>
      </c>
      <c r="C746" s="7" t="s">
        <v>5</v>
      </c>
      <c r="E746" s="11"/>
      <c r="F746" s="75" t="s">
        <v>15</v>
      </c>
      <c r="G746" s="58" t="s">
        <v>12</v>
      </c>
      <c r="H746" s="58" t="s">
        <v>14</v>
      </c>
      <c r="I746" s="58" t="s">
        <v>13</v>
      </c>
      <c r="J746" s="58" t="s">
        <v>42</v>
      </c>
      <c r="K746" s="58" t="s">
        <v>41</v>
      </c>
      <c r="L746" s="58" t="s">
        <v>43</v>
      </c>
      <c r="M746" s="58" t="s">
        <v>44</v>
      </c>
      <c r="N746" s="58" t="s">
        <v>15</v>
      </c>
      <c r="O746" s="58" t="s">
        <v>14</v>
      </c>
      <c r="P746" s="58" t="s">
        <v>45</v>
      </c>
      <c r="Q746" s="58" t="s">
        <v>46</v>
      </c>
      <c r="R746" s="58" t="s">
        <v>42</v>
      </c>
      <c r="S746" s="58" t="s">
        <v>41</v>
      </c>
      <c r="T746" s="58" t="s">
        <v>47</v>
      </c>
      <c r="U746" s="58" t="s">
        <v>48</v>
      </c>
      <c r="V746" s="58" t="s">
        <v>43</v>
      </c>
      <c r="W746" s="58" t="s">
        <v>44</v>
      </c>
      <c r="X746" s="75" t="s">
        <v>15</v>
      </c>
      <c r="Y746" s="58" t="s">
        <v>12</v>
      </c>
      <c r="Z746" s="58" t="s">
        <v>14</v>
      </c>
      <c r="AA746" s="58" t="s">
        <v>13</v>
      </c>
      <c r="AB746" s="58" t="s">
        <v>42</v>
      </c>
      <c r="AC746" s="58" t="s">
        <v>41</v>
      </c>
      <c r="AD746" s="58" t="s">
        <v>43</v>
      </c>
      <c r="AE746" s="58" t="s">
        <v>44</v>
      </c>
      <c r="AF746" s="58" t="s">
        <v>15</v>
      </c>
      <c r="AG746" s="58" t="s">
        <v>14</v>
      </c>
      <c r="AH746" s="58" t="s">
        <v>45</v>
      </c>
      <c r="AI746" s="58" t="s">
        <v>46</v>
      </c>
      <c r="AJ746" s="58" t="s">
        <v>42</v>
      </c>
      <c r="AK746" s="58" t="s">
        <v>41</v>
      </c>
      <c r="AL746" s="58" t="s">
        <v>47</v>
      </c>
      <c r="AM746" s="58" t="s">
        <v>48</v>
      </c>
      <c r="AN746" s="58" t="s">
        <v>43</v>
      </c>
      <c r="AO746" s="58" t="s">
        <v>44</v>
      </c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</row>
    <row r="747" spans="2:56" ht="16.5" customHeight="1" thickBot="1" x14ac:dyDescent="0.3">
      <c r="B747" s="1" t="s">
        <v>0</v>
      </c>
      <c r="C747" s="13">
        <f>SUM(F747:W747)</f>
        <v>0</v>
      </c>
      <c r="E747" s="10" t="s">
        <v>0</v>
      </c>
      <c r="F747" s="71"/>
      <c r="G747" s="60"/>
      <c r="H747" s="60"/>
      <c r="I747" s="61"/>
      <c r="J747" s="59"/>
      <c r="K747" s="60"/>
      <c r="L747" s="60"/>
      <c r="M747" s="60"/>
      <c r="N747" s="59"/>
      <c r="O747" s="61"/>
      <c r="P747" s="59"/>
      <c r="Q747" s="60"/>
      <c r="R747" s="60"/>
      <c r="S747" s="60"/>
      <c r="T747" s="60"/>
      <c r="U747" s="60"/>
      <c r="V747" s="60"/>
      <c r="W747" s="61"/>
      <c r="X747" s="71"/>
      <c r="Y747" s="60"/>
      <c r="Z747" s="60"/>
      <c r="AA747" s="60"/>
      <c r="AB747" s="59"/>
      <c r="AC747" s="60"/>
      <c r="AD747" s="60"/>
      <c r="AE747" s="61"/>
      <c r="AF747" s="60"/>
      <c r="AG747" s="61"/>
      <c r="AH747" s="60"/>
      <c r="AI747" s="60"/>
      <c r="AJ747" s="60"/>
      <c r="AK747" s="60"/>
      <c r="AL747" s="60"/>
      <c r="AM747" s="60"/>
      <c r="AN747" s="60"/>
      <c r="AO747" s="60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62"/>
      <c r="BB747" s="62"/>
      <c r="BC747" s="62"/>
      <c r="BD747" s="62"/>
    </row>
    <row r="748" spans="2:56" ht="16.5" customHeight="1" thickBot="1" x14ac:dyDescent="0.3">
      <c r="B748" s="1" t="s">
        <v>1</v>
      </c>
      <c r="C748" s="14">
        <f t="shared" ref="C748:C750" si="82">SUM(F748:W748)</f>
        <v>0</v>
      </c>
      <c r="E748" s="1" t="s">
        <v>1</v>
      </c>
      <c r="F748" s="72"/>
      <c r="G748" s="41"/>
      <c r="H748" s="41"/>
      <c r="I748" s="64"/>
      <c r="J748" s="63"/>
      <c r="K748" s="41"/>
      <c r="L748" s="41"/>
      <c r="M748" s="41"/>
      <c r="N748" s="63"/>
      <c r="O748" s="64"/>
      <c r="P748" s="63"/>
      <c r="Q748" s="41"/>
      <c r="R748" s="41"/>
      <c r="S748" s="41"/>
      <c r="T748" s="41"/>
      <c r="U748" s="41"/>
      <c r="V748" s="41"/>
      <c r="W748" s="64"/>
      <c r="X748" s="72"/>
      <c r="Y748" s="41"/>
      <c r="Z748" s="41"/>
      <c r="AA748" s="41"/>
      <c r="AB748" s="63"/>
      <c r="AC748" s="41"/>
      <c r="AD748" s="41"/>
      <c r="AE748" s="64"/>
      <c r="AF748" s="41"/>
      <c r="AG748" s="64"/>
      <c r="AH748" s="41"/>
      <c r="AI748" s="41"/>
      <c r="AJ748" s="41"/>
      <c r="AK748" s="41"/>
      <c r="AL748" s="41"/>
      <c r="AM748" s="41"/>
      <c r="AN748" s="41"/>
      <c r="AO748" s="41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5"/>
      <c r="BB748" s="65"/>
      <c r="BC748" s="65"/>
      <c r="BD748" s="65"/>
    </row>
    <row r="749" spans="2:56" ht="16.5" customHeight="1" thickBot="1" x14ac:dyDescent="0.3">
      <c r="B749" s="1" t="s">
        <v>2</v>
      </c>
      <c r="C749" s="14">
        <f t="shared" si="82"/>
        <v>0</v>
      </c>
      <c r="E749" s="1" t="s">
        <v>2</v>
      </c>
      <c r="F749" s="72"/>
      <c r="G749" s="41"/>
      <c r="H749" s="41"/>
      <c r="I749" s="64"/>
      <c r="J749" s="63"/>
      <c r="K749" s="41"/>
      <c r="L749" s="41"/>
      <c r="M749" s="41"/>
      <c r="N749" s="63"/>
      <c r="O749" s="64"/>
      <c r="P749" s="63"/>
      <c r="Q749" s="41"/>
      <c r="R749" s="41"/>
      <c r="S749" s="41"/>
      <c r="T749" s="41"/>
      <c r="U749" s="41"/>
      <c r="V749" s="41"/>
      <c r="W749" s="64"/>
      <c r="X749" s="72"/>
      <c r="Y749" s="41"/>
      <c r="Z749" s="41"/>
      <c r="AA749" s="41"/>
      <c r="AB749" s="63"/>
      <c r="AC749" s="41"/>
      <c r="AD749" s="41"/>
      <c r="AE749" s="64"/>
      <c r="AF749" s="41"/>
      <c r="AG749" s="64"/>
      <c r="AH749" s="41"/>
      <c r="AI749" s="41"/>
      <c r="AJ749" s="41"/>
      <c r="AK749" s="41"/>
      <c r="AL749" s="41"/>
      <c r="AM749" s="41"/>
      <c r="AN749" s="41"/>
      <c r="AO749" s="41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5"/>
      <c r="BB749" s="65"/>
      <c r="BC749" s="65"/>
      <c r="BD749" s="65"/>
    </row>
    <row r="750" spans="2:56" ht="16.5" customHeight="1" thickBot="1" x14ac:dyDescent="0.3">
      <c r="B750" s="1" t="s">
        <v>3</v>
      </c>
      <c r="C750" s="15">
        <f t="shared" si="82"/>
        <v>0</v>
      </c>
      <c r="E750" s="1" t="s">
        <v>3</v>
      </c>
      <c r="F750" s="73"/>
      <c r="G750" s="67"/>
      <c r="H750" s="67"/>
      <c r="I750" s="68"/>
      <c r="J750" s="66"/>
      <c r="K750" s="67"/>
      <c r="L750" s="67"/>
      <c r="M750" s="67"/>
      <c r="N750" s="66"/>
      <c r="O750" s="68"/>
      <c r="P750" s="66"/>
      <c r="Q750" s="67"/>
      <c r="R750" s="67"/>
      <c r="S750" s="67"/>
      <c r="T750" s="67"/>
      <c r="U750" s="67"/>
      <c r="V750" s="67"/>
      <c r="W750" s="68"/>
      <c r="X750" s="73"/>
      <c r="Y750" s="67"/>
      <c r="Z750" s="67"/>
      <c r="AA750" s="67"/>
      <c r="AB750" s="66"/>
      <c r="AC750" s="67"/>
      <c r="AD750" s="67"/>
      <c r="AE750" s="68"/>
      <c r="AF750" s="67"/>
      <c r="AG750" s="68"/>
      <c r="AH750" s="67"/>
      <c r="AI750" s="67"/>
      <c r="AJ750" s="67"/>
      <c r="AK750" s="67"/>
      <c r="AL750" s="67"/>
      <c r="AM750" s="67"/>
      <c r="AN750" s="67"/>
      <c r="AO750" s="67"/>
      <c r="AP750" s="66"/>
      <c r="AQ750" s="66"/>
      <c r="AR750" s="66"/>
      <c r="AS750" s="66"/>
      <c r="AT750" s="66"/>
      <c r="AU750" s="66"/>
      <c r="AV750" s="66"/>
      <c r="AW750" s="66"/>
      <c r="AX750" s="66"/>
      <c r="AY750" s="66"/>
      <c r="AZ750" s="66"/>
      <c r="BA750" s="69"/>
      <c r="BB750" s="69"/>
      <c r="BC750" s="69"/>
      <c r="BD750" s="69"/>
    </row>
    <row r="751" spans="2:56" ht="21" customHeight="1" x14ac:dyDescent="0.25">
      <c r="B751" s="2"/>
      <c r="C751" s="8">
        <f>SUM(C747:C750)</f>
        <v>0</v>
      </c>
      <c r="F751" s="74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74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</row>
    <row r="752" spans="2:56" x14ac:dyDescent="0.25"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</row>
    <row r="753" spans="2:56" ht="15.75" x14ac:dyDescent="0.25">
      <c r="F753" s="82" t="s">
        <v>17</v>
      </c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3" t="s">
        <v>16</v>
      </c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79"/>
      <c r="AQ753" s="79"/>
      <c r="AR753" s="79"/>
      <c r="AS753" s="79"/>
      <c r="AT753" s="79"/>
      <c r="AU753" s="41"/>
      <c r="AV753" s="41"/>
      <c r="AW753" s="41"/>
      <c r="AX753" s="41"/>
      <c r="AY753" s="41"/>
      <c r="AZ753" s="41"/>
      <c r="BA753" s="41"/>
    </row>
    <row r="754" spans="2:56" ht="32.25" thickBot="1" x14ac:dyDescent="0.3">
      <c r="F754" s="81" t="s">
        <v>9</v>
      </c>
      <c r="G754" s="81"/>
      <c r="H754" s="81"/>
      <c r="I754" s="81"/>
      <c r="J754" s="81" t="s">
        <v>10</v>
      </c>
      <c r="K754" s="81"/>
      <c r="L754" s="81"/>
      <c r="M754" s="81"/>
      <c r="N754" s="81" t="s">
        <v>49</v>
      </c>
      <c r="O754" s="81"/>
      <c r="P754" s="81" t="s">
        <v>11</v>
      </c>
      <c r="Q754" s="81"/>
      <c r="R754" s="81"/>
      <c r="S754" s="81"/>
      <c r="T754" s="81"/>
      <c r="U754" s="81"/>
      <c r="V754" s="81"/>
      <c r="W754" s="81"/>
      <c r="X754" s="81" t="s">
        <v>9</v>
      </c>
      <c r="Y754" s="81"/>
      <c r="Z754" s="81"/>
      <c r="AA754" s="81"/>
      <c r="AB754" s="81" t="s">
        <v>10</v>
      </c>
      <c r="AC754" s="81"/>
      <c r="AD754" s="81"/>
      <c r="AE754" s="81"/>
      <c r="AF754" s="81" t="s">
        <v>49</v>
      </c>
      <c r="AG754" s="81"/>
      <c r="AH754" s="81" t="s">
        <v>11</v>
      </c>
      <c r="AI754" s="81"/>
      <c r="AJ754" s="81"/>
      <c r="AK754" s="81"/>
      <c r="AL754" s="81"/>
      <c r="AM754" s="81"/>
      <c r="AN754" s="81"/>
      <c r="AO754" s="81"/>
      <c r="AP754" s="70" t="s">
        <v>50</v>
      </c>
      <c r="AQ754" s="70" t="s">
        <v>57</v>
      </c>
      <c r="AR754" s="70" t="s">
        <v>63</v>
      </c>
      <c r="AS754" s="70" t="s">
        <v>64</v>
      </c>
      <c r="AT754" s="70" t="s">
        <v>61</v>
      </c>
      <c r="AU754" s="70" t="s">
        <v>54</v>
      </c>
      <c r="AV754" s="70" t="s">
        <v>19</v>
      </c>
      <c r="AW754" s="70" t="s">
        <v>58</v>
      </c>
      <c r="AX754" s="70" t="s">
        <v>51</v>
      </c>
      <c r="AY754" s="70" t="s">
        <v>53</v>
      </c>
      <c r="AZ754" s="70" t="s">
        <v>52</v>
      </c>
      <c r="BA754" s="70" t="s">
        <v>55</v>
      </c>
      <c r="BB754" s="70" t="s">
        <v>56</v>
      </c>
      <c r="BC754" s="70" t="s">
        <v>59</v>
      </c>
      <c r="BD754" s="70" t="s">
        <v>60</v>
      </c>
    </row>
    <row r="755" spans="2:56" ht="16.5" thickBot="1" x14ac:dyDescent="0.3">
      <c r="B755" s="16">
        <v>0.86458333333333603</v>
      </c>
      <c r="C755" s="7" t="s">
        <v>5</v>
      </c>
      <c r="E755" s="11"/>
      <c r="F755" s="75" t="s">
        <v>15</v>
      </c>
      <c r="G755" s="58" t="s">
        <v>12</v>
      </c>
      <c r="H755" s="58" t="s">
        <v>14</v>
      </c>
      <c r="I755" s="58" t="s">
        <v>13</v>
      </c>
      <c r="J755" s="58" t="s">
        <v>42</v>
      </c>
      <c r="K755" s="58" t="s">
        <v>41</v>
      </c>
      <c r="L755" s="58" t="s">
        <v>43</v>
      </c>
      <c r="M755" s="58" t="s">
        <v>44</v>
      </c>
      <c r="N755" s="58" t="s">
        <v>15</v>
      </c>
      <c r="O755" s="58" t="s">
        <v>14</v>
      </c>
      <c r="P755" s="58" t="s">
        <v>45</v>
      </c>
      <c r="Q755" s="58" t="s">
        <v>46</v>
      </c>
      <c r="R755" s="58" t="s">
        <v>42</v>
      </c>
      <c r="S755" s="58" t="s">
        <v>41</v>
      </c>
      <c r="T755" s="58" t="s">
        <v>47</v>
      </c>
      <c r="U755" s="58" t="s">
        <v>48</v>
      </c>
      <c r="V755" s="58" t="s">
        <v>43</v>
      </c>
      <c r="W755" s="58" t="s">
        <v>44</v>
      </c>
      <c r="X755" s="75" t="s">
        <v>15</v>
      </c>
      <c r="Y755" s="58" t="s">
        <v>12</v>
      </c>
      <c r="Z755" s="58" t="s">
        <v>14</v>
      </c>
      <c r="AA755" s="58" t="s">
        <v>13</v>
      </c>
      <c r="AB755" s="58" t="s">
        <v>42</v>
      </c>
      <c r="AC755" s="58" t="s">
        <v>41</v>
      </c>
      <c r="AD755" s="58" t="s">
        <v>43</v>
      </c>
      <c r="AE755" s="58" t="s">
        <v>44</v>
      </c>
      <c r="AF755" s="58" t="s">
        <v>15</v>
      </c>
      <c r="AG755" s="58" t="s">
        <v>14</v>
      </c>
      <c r="AH755" s="58" t="s">
        <v>45</v>
      </c>
      <c r="AI755" s="58" t="s">
        <v>46</v>
      </c>
      <c r="AJ755" s="58" t="s">
        <v>42</v>
      </c>
      <c r="AK755" s="58" t="s">
        <v>41</v>
      </c>
      <c r="AL755" s="58" t="s">
        <v>47</v>
      </c>
      <c r="AM755" s="58" t="s">
        <v>48</v>
      </c>
      <c r="AN755" s="58" t="s">
        <v>43</v>
      </c>
      <c r="AO755" s="58" t="s">
        <v>44</v>
      </c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</row>
    <row r="756" spans="2:56" ht="16.5" customHeight="1" thickBot="1" x14ac:dyDescent="0.3">
      <c r="B756" s="1" t="s">
        <v>0</v>
      </c>
      <c r="C756" s="13">
        <f>SUM(F756:W756)</f>
        <v>0</v>
      </c>
      <c r="E756" s="10" t="s">
        <v>0</v>
      </c>
      <c r="F756" s="71"/>
      <c r="G756" s="60"/>
      <c r="H756" s="60"/>
      <c r="I756" s="61"/>
      <c r="J756" s="59"/>
      <c r="K756" s="60"/>
      <c r="L756" s="60"/>
      <c r="M756" s="60"/>
      <c r="N756" s="59"/>
      <c r="O756" s="61"/>
      <c r="P756" s="59"/>
      <c r="Q756" s="60"/>
      <c r="R756" s="60"/>
      <c r="S756" s="60"/>
      <c r="T756" s="60"/>
      <c r="U756" s="60"/>
      <c r="V756" s="60"/>
      <c r="W756" s="61"/>
      <c r="X756" s="71"/>
      <c r="Y756" s="60"/>
      <c r="Z756" s="60"/>
      <c r="AA756" s="60"/>
      <c r="AB756" s="59"/>
      <c r="AC756" s="60"/>
      <c r="AD756" s="60"/>
      <c r="AE756" s="61"/>
      <c r="AF756" s="60"/>
      <c r="AG756" s="61"/>
      <c r="AH756" s="60"/>
      <c r="AI756" s="60"/>
      <c r="AJ756" s="60"/>
      <c r="AK756" s="60"/>
      <c r="AL756" s="60"/>
      <c r="AM756" s="60"/>
      <c r="AN756" s="60"/>
      <c r="AO756" s="60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62"/>
      <c r="BB756" s="62"/>
      <c r="BC756" s="62"/>
      <c r="BD756" s="62"/>
    </row>
    <row r="757" spans="2:56" ht="16.5" customHeight="1" thickBot="1" x14ac:dyDescent="0.3">
      <c r="B757" s="1" t="s">
        <v>1</v>
      </c>
      <c r="C757" s="14">
        <f t="shared" ref="C757:C759" si="83">SUM(F757:W757)</f>
        <v>0</v>
      </c>
      <c r="E757" s="1" t="s">
        <v>1</v>
      </c>
      <c r="F757" s="72"/>
      <c r="G757" s="41"/>
      <c r="H757" s="41"/>
      <c r="I757" s="64"/>
      <c r="J757" s="63"/>
      <c r="K757" s="41"/>
      <c r="L757" s="41"/>
      <c r="M757" s="41"/>
      <c r="N757" s="63"/>
      <c r="O757" s="64"/>
      <c r="P757" s="63"/>
      <c r="Q757" s="41"/>
      <c r="R757" s="41"/>
      <c r="S757" s="41"/>
      <c r="T757" s="41"/>
      <c r="U757" s="41"/>
      <c r="V757" s="41"/>
      <c r="W757" s="64"/>
      <c r="X757" s="72"/>
      <c r="Y757" s="41"/>
      <c r="Z757" s="41"/>
      <c r="AA757" s="41"/>
      <c r="AB757" s="63"/>
      <c r="AC757" s="41"/>
      <c r="AD757" s="41"/>
      <c r="AE757" s="64"/>
      <c r="AF757" s="41"/>
      <c r="AG757" s="64"/>
      <c r="AH757" s="41"/>
      <c r="AI757" s="41"/>
      <c r="AJ757" s="41"/>
      <c r="AK757" s="41"/>
      <c r="AL757" s="41"/>
      <c r="AM757" s="41"/>
      <c r="AN757" s="41"/>
      <c r="AO757" s="41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5"/>
      <c r="BB757" s="65"/>
      <c r="BC757" s="65"/>
      <c r="BD757" s="65"/>
    </row>
    <row r="758" spans="2:56" ht="16.5" customHeight="1" thickBot="1" x14ac:dyDescent="0.3">
      <c r="B758" s="1" t="s">
        <v>2</v>
      </c>
      <c r="C758" s="14">
        <f t="shared" si="83"/>
        <v>0</v>
      </c>
      <c r="E758" s="1" t="s">
        <v>2</v>
      </c>
      <c r="F758" s="72"/>
      <c r="G758" s="41"/>
      <c r="H758" s="41"/>
      <c r="I758" s="64"/>
      <c r="J758" s="63"/>
      <c r="K758" s="41"/>
      <c r="L758" s="41"/>
      <c r="M758" s="41"/>
      <c r="N758" s="63"/>
      <c r="O758" s="64"/>
      <c r="P758" s="63"/>
      <c r="Q758" s="41"/>
      <c r="R758" s="41"/>
      <c r="S758" s="41"/>
      <c r="T758" s="41"/>
      <c r="U758" s="41"/>
      <c r="V758" s="41"/>
      <c r="W758" s="64"/>
      <c r="X758" s="72"/>
      <c r="Y758" s="41"/>
      <c r="Z758" s="41"/>
      <c r="AA758" s="41"/>
      <c r="AB758" s="63"/>
      <c r="AC758" s="41"/>
      <c r="AD758" s="41"/>
      <c r="AE758" s="64"/>
      <c r="AF758" s="41"/>
      <c r="AG758" s="64"/>
      <c r="AH758" s="41"/>
      <c r="AI758" s="41"/>
      <c r="AJ758" s="41"/>
      <c r="AK758" s="41"/>
      <c r="AL758" s="41"/>
      <c r="AM758" s="41"/>
      <c r="AN758" s="41"/>
      <c r="AO758" s="41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5"/>
      <c r="BB758" s="65"/>
      <c r="BC758" s="65"/>
      <c r="BD758" s="65"/>
    </row>
    <row r="759" spans="2:56" ht="16.5" customHeight="1" thickBot="1" x14ac:dyDescent="0.3">
      <c r="B759" s="1" t="s">
        <v>3</v>
      </c>
      <c r="C759" s="15">
        <f t="shared" si="83"/>
        <v>0</v>
      </c>
      <c r="E759" s="1" t="s">
        <v>3</v>
      </c>
      <c r="F759" s="73"/>
      <c r="G759" s="67"/>
      <c r="H759" s="67"/>
      <c r="I759" s="68"/>
      <c r="J759" s="66"/>
      <c r="K759" s="67"/>
      <c r="L759" s="67"/>
      <c r="M759" s="67"/>
      <c r="N759" s="66"/>
      <c r="O759" s="68"/>
      <c r="P759" s="66"/>
      <c r="Q759" s="67"/>
      <c r="R759" s="67"/>
      <c r="S759" s="67"/>
      <c r="T759" s="67"/>
      <c r="U759" s="67"/>
      <c r="V759" s="67"/>
      <c r="W759" s="68"/>
      <c r="X759" s="73"/>
      <c r="Y759" s="67"/>
      <c r="Z759" s="67"/>
      <c r="AA759" s="67"/>
      <c r="AB759" s="66"/>
      <c r="AC759" s="67"/>
      <c r="AD759" s="67"/>
      <c r="AE759" s="68"/>
      <c r="AF759" s="67"/>
      <c r="AG759" s="68"/>
      <c r="AH759" s="67"/>
      <c r="AI759" s="67"/>
      <c r="AJ759" s="67"/>
      <c r="AK759" s="67"/>
      <c r="AL759" s="67"/>
      <c r="AM759" s="67"/>
      <c r="AN759" s="67"/>
      <c r="AO759" s="67"/>
      <c r="AP759" s="66"/>
      <c r="AQ759" s="66"/>
      <c r="AR759" s="66"/>
      <c r="AS759" s="66"/>
      <c r="AT759" s="66"/>
      <c r="AU759" s="66"/>
      <c r="AV759" s="66"/>
      <c r="AW759" s="66"/>
      <c r="AX759" s="66"/>
      <c r="AY759" s="66"/>
      <c r="AZ759" s="66"/>
      <c r="BA759" s="69"/>
      <c r="BB759" s="69"/>
      <c r="BC759" s="69"/>
      <c r="BD759" s="69"/>
    </row>
    <row r="760" spans="2:56" ht="21" customHeight="1" x14ac:dyDescent="0.25">
      <c r="B760" s="2"/>
      <c r="C760" s="8">
        <f>SUM(C756:C759)</f>
        <v>0</v>
      </c>
      <c r="F760" s="74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74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</row>
    <row r="761" spans="2:56" x14ac:dyDescent="0.25"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</row>
    <row r="762" spans="2:56" ht="15.75" x14ac:dyDescent="0.25">
      <c r="F762" s="82" t="s">
        <v>17</v>
      </c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3" t="s">
        <v>16</v>
      </c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79"/>
      <c r="AQ762" s="79"/>
      <c r="AR762" s="79"/>
      <c r="AS762" s="79"/>
      <c r="AT762" s="79"/>
      <c r="AU762" s="41"/>
      <c r="AV762" s="41"/>
      <c r="AW762" s="41"/>
      <c r="AX762" s="41"/>
      <c r="AY762" s="41"/>
      <c r="AZ762" s="41"/>
      <c r="BA762" s="41"/>
    </row>
    <row r="763" spans="2:56" ht="32.25" thickBot="1" x14ac:dyDescent="0.3">
      <c r="F763" s="81" t="s">
        <v>9</v>
      </c>
      <c r="G763" s="81"/>
      <c r="H763" s="81"/>
      <c r="I763" s="81"/>
      <c r="J763" s="81" t="s">
        <v>10</v>
      </c>
      <c r="K763" s="81"/>
      <c r="L763" s="81"/>
      <c r="M763" s="81"/>
      <c r="N763" s="81" t="s">
        <v>49</v>
      </c>
      <c r="O763" s="81"/>
      <c r="P763" s="81" t="s">
        <v>11</v>
      </c>
      <c r="Q763" s="81"/>
      <c r="R763" s="81"/>
      <c r="S763" s="81"/>
      <c r="T763" s="81"/>
      <c r="U763" s="81"/>
      <c r="V763" s="81"/>
      <c r="W763" s="81"/>
      <c r="X763" s="81" t="s">
        <v>9</v>
      </c>
      <c r="Y763" s="81"/>
      <c r="Z763" s="81"/>
      <c r="AA763" s="81"/>
      <c r="AB763" s="81" t="s">
        <v>10</v>
      </c>
      <c r="AC763" s="81"/>
      <c r="AD763" s="81"/>
      <c r="AE763" s="81"/>
      <c r="AF763" s="81" t="s">
        <v>49</v>
      </c>
      <c r="AG763" s="81"/>
      <c r="AH763" s="81" t="s">
        <v>11</v>
      </c>
      <c r="AI763" s="81"/>
      <c r="AJ763" s="81"/>
      <c r="AK763" s="81"/>
      <c r="AL763" s="81"/>
      <c r="AM763" s="81"/>
      <c r="AN763" s="81"/>
      <c r="AO763" s="81"/>
      <c r="AP763" s="70" t="s">
        <v>50</v>
      </c>
      <c r="AQ763" s="70" t="s">
        <v>57</v>
      </c>
      <c r="AR763" s="70" t="s">
        <v>63</v>
      </c>
      <c r="AS763" s="70" t="s">
        <v>64</v>
      </c>
      <c r="AT763" s="70" t="s">
        <v>61</v>
      </c>
      <c r="AU763" s="70" t="s">
        <v>54</v>
      </c>
      <c r="AV763" s="70" t="s">
        <v>19</v>
      </c>
      <c r="AW763" s="70" t="s">
        <v>58</v>
      </c>
      <c r="AX763" s="70" t="s">
        <v>51</v>
      </c>
      <c r="AY763" s="70" t="s">
        <v>53</v>
      </c>
      <c r="AZ763" s="70" t="s">
        <v>52</v>
      </c>
      <c r="BA763" s="70" t="s">
        <v>55</v>
      </c>
      <c r="BB763" s="70" t="s">
        <v>56</v>
      </c>
      <c r="BC763" s="70" t="s">
        <v>59</v>
      </c>
      <c r="BD763" s="70" t="s">
        <v>60</v>
      </c>
    </row>
    <row r="764" spans="2:56" ht="16.5" thickBot="1" x14ac:dyDescent="0.3">
      <c r="B764" s="17">
        <v>0.875000000000003</v>
      </c>
      <c r="C764" s="7" t="s">
        <v>5</v>
      </c>
      <c r="E764" s="11"/>
      <c r="F764" s="75" t="s">
        <v>15</v>
      </c>
      <c r="G764" s="58" t="s">
        <v>12</v>
      </c>
      <c r="H764" s="58" t="s">
        <v>14</v>
      </c>
      <c r="I764" s="58" t="s">
        <v>13</v>
      </c>
      <c r="J764" s="58" t="s">
        <v>42</v>
      </c>
      <c r="K764" s="58" t="s">
        <v>41</v>
      </c>
      <c r="L764" s="58" t="s">
        <v>43</v>
      </c>
      <c r="M764" s="58" t="s">
        <v>44</v>
      </c>
      <c r="N764" s="58" t="s">
        <v>15</v>
      </c>
      <c r="O764" s="58" t="s">
        <v>14</v>
      </c>
      <c r="P764" s="58" t="s">
        <v>45</v>
      </c>
      <c r="Q764" s="58" t="s">
        <v>46</v>
      </c>
      <c r="R764" s="58" t="s">
        <v>42</v>
      </c>
      <c r="S764" s="58" t="s">
        <v>41</v>
      </c>
      <c r="T764" s="58" t="s">
        <v>47</v>
      </c>
      <c r="U764" s="58" t="s">
        <v>48</v>
      </c>
      <c r="V764" s="58" t="s">
        <v>43</v>
      </c>
      <c r="W764" s="58" t="s">
        <v>44</v>
      </c>
      <c r="X764" s="75" t="s">
        <v>15</v>
      </c>
      <c r="Y764" s="58" t="s">
        <v>12</v>
      </c>
      <c r="Z764" s="58" t="s">
        <v>14</v>
      </c>
      <c r="AA764" s="58" t="s">
        <v>13</v>
      </c>
      <c r="AB764" s="58" t="s">
        <v>42</v>
      </c>
      <c r="AC764" s="58" t="s">
        <v>41</v>
      </c>
      <c r="AD764" s="58" t="s">
        <v>43</v>
      </c>
      <c r="AE764" s="58" t="s">
        <v>44</v>
      </c>
      <c r="AF764" s="58" t="s">
        <v>15</v>
      </c>
      <c r="AG764" s="58" t="s">
        <v>14</v>
      </c>
      <c r="AH764" s="58" t="s">
        <v>45</v>
      </c>
      <c r="AI764" s="58" t="s">
        <v>46</v>
      </c>
      <c r="AJ764" s="58" t="s">
        <v>42</v>
      </c>
      <c r="AK764" s="58" t="s">
        <v>41</v>
      </c>
      <c r="AL764" s="58" t="s">
        <v>47</v>
      </c>
      <c r="AM764" s="58" t="s">
        <v>48</v>
      </c>
      <c r="AN764" s="58" t="s">
        <v>43</v>
      </c>
      <c r="AO764" s="58" t="s">
        <v>44</v>
      </c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</row>
    <row r="765" spans="2:56" ht="16.5" customHeight="1" thickBot="1" x14ac:dyDescent="0.3">
      <c r="B765" s="1" t="s">
        <v>0</v>
      </c>
      <c r="C765" s="13">
        <f>SUM(F765:W765)</f>
        <v>0</v>
      </c>
      <c r="E765" s="10" t="s">
        <v>0</v>
      </c>
      <c r="F765" s="71"/>
      <c r="G765" s="60"/>
      <c r="H765" s="60"/>
      <c r="I765" s="61"/>
      <c r="J765" s="59"/>
      <c r="K765" s="60"/>
      <c r="L765" s="60"/>
      <c r="M765" s="60"/>
      <c r="N765" s="59"/>
      <c r="O765" s="61"/>
      <c r="P765" s="59"/>
      <c r="Q765" s="60"/>
      <c r="R765" s="60"/>
      <c r="S765" s="60"/>
      <c r="T765" s="60"/>
      <c r="U765" s="60"/>
      <c r="V765" s="60"/>
      <c r="W765" s="61"/>
      <c r="X765" s="71"/>
      <c r="Y765" s="60"/>
      <c r="Z765" s="60"/>
      <c r="AA765" s="60"/>
      <c r="AB765" s="59"/>
      <c r="AC765" s="60"/>
      <c r="AD765" s="60"/>
      <c r="AE765" s="61"/>
      <c r="AF765" s="60"/>
      <c r="AG765" s="61"/>
      <c r="AH765" s="60"/>
      <c r="AI765" s="60"/>
      <c r="AJ765" s="60"/>
      <c r="AK765" s="60"/>
      <c r="AL765" s="60"/>
      <c r="AM765" s="60"/>
      <c r="AN765" s="60"/>
      <c r="AO765" s="60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62"/>
      <c r="BB765" s="62"/>
      <c r="BC765" s="62"/>
      <c r="BD765" s="62"/>
    </row>
    <row r="766" spans="2:56" ht="16.5" customHeight="1" thickBot="1" x14ac:dyDescent="0.3">
      <c r="B766" s="1" t="s">
        <v>1</v>
      </c>
      <c r="C766" s="14">
        <f t="shared" ref="C766:C768" si="84">SUM(F766:W766)</f>
        <v>0</v>
      </c>
      <c r="E766" s="1" t="s">
        <v>1</v>
      </c>
      <c r="F766" s="72"/>
      <c r="G766" s="41"/>
      <c r="H766" s="41"/>
      <c r="I766" s="64"/>
      <c r="J766" s="63"/>
      <c r="K766" s="41"/>
      <c r="L766" s="41"/>
      <c r="M766" s="41"/>
      <c r="N766" s="63"/>
      <c r="O766" s="64"/>
      <c r="P766" s="63"/>
      <c r="Q766" s="41"/>
      <c r="R766" s="41"/>
      <c r="S766" s="41"/>
      <c r="T766" s="41"/>
      <c r="U766" s="41"/>
      <c r="V766" s="41"/>
      <c r="W766" s="64"/>
      <c r="X766" s="72"/>
      <c r="Y766" s="41"/>
      <c r="Z766" s="41"/>
      <c r="AA766" s="41"/>
      <c r="AB766" s="63"/>
      <c r="AC766" s="41"/>
      <c r="AD766" s="41"/>
      <c r="AE766" s="64"/>
      <c r="AF766" s="41"/>
      <c r="AG766" s="64"/>
      <c r="AH766" s="41"/>
      <c r="AI766" s="41"/>
      <c r="AJ766" s="41"/>
      <c r="AK766" s="41"/>
      <c r="AL766" s="41"/>
      <c r="AM766" s="41"/>
      <c r="AN766" s="41"/>
      <c r="AO766" s="41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5"/>
      <c r="BB766" s="65"/>
      <c r="BC766" s="65"/>
      <c r="BD766" s="65"/>
    </row>
    <row r="767" spans="2:56" ht="16.5" customHeight="1" thickBot="1" x14ac:dyDescent="0.3">
      <c r="B767" s="1" t="s">
        <v>2</v>
      </c>
      <c r="C767" s="14">
        <f t="shared" si="84"/>
        <v>0</v>
      </c>
      <c r="E767" s="1" t="s">
        <v>2</v>
      </c>
      <c r="F767" s="72"/>
      <c r="G767" s="41"/>
      <c r="H767" s="41"/>
      <c r="I767" s="64"/>
      <c r="J767" s="63"/>
      <c r="K767" s="41"/>
      <c r="L767" s="41"/>
      <c r="M767" s="41"/>
      <c r="N767" s="63"/>
      <c r="O767" s="64"/>
      <c r="P767" s="63"/>
      <c r="Q767" s="41"/>
      <c r="R767" s="41"/>
      <c r="S767" s="41"/>
      <c r="T767" s="41"/>
      <c r="U767" s="41"/>
      <c r="V767" s="41"/>
      <c r="W767" s="64"/>
      <c r="X767" s="72"/>
      <c r="Y767" s="41"/>
      <c r="Z767" s="41"/>
      <c r="AA767" s="41"/>
      <c r="AB767" s="63"/>
      <c r="AC767" s="41"/>
      <c r="AD767" s="41"/>
      <c r="AE767" s="64"/>
      <c r="AF767" s="41"/>
      <c r="AG767" s="64"/>
      <c r="AH767" s="41"/>
      <c r="AI767" s="41"/>
      <c r="AJ767" s="41"/>
      <c r="AK767" s="41"/>
      <c r="AL767" s="41"/>
      <c r="AM767" s="41"/>
      <c r="AN767" s="41"/>
      <c r="AO767" s="41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5"/>
      <c r="BB767" s="65"/>
      <c r="BC767" s="65"/>
      <c r="BD767" s="65"/>
    </row>
    <row r="768" spans="2:56" ht="16.5" customHeight="1" thickBot="1" x14ac:dyDescent="0.3">
      <c r="B768" s="1" t="s">
        <v>3</v>
      </c>
      <c r="C768" s="15">
        <f t="shared" si="84"/>
        <v>0</v>
      </c>
      <c r="E768" s="1" t="s">
        <v>3</v>
      </c>
      <c r="F768" s="73"/>
      <c r="G768" s="67"/>
      <c r="H768" s="67"/>
      <c r="I768" s="68"/>
      <c r="J768" s="66"/>
      <c r="K768" s="67"/>
      <c r="L768" s="67"/>
      <c r="M768" s="67"/>
      <c r="N768" s="66"/>
      <c r="O768" s="68"/>
      <c r="P768" s="66"/>
      <c r="Q768" s="67"/>
      <c r="R768" s="67"/>
      <c r="S768" s="67"/>
      <c r="T768" s="67"/>
      <c r="U768" s="67"/>
      <c r="V768" s="67"/>
      <c r="W768" s="68"/>
      <c r="X768" s="73"/>
      <c r="Y768" s="67"/>
      <c r="Z768" s="67"/>
      <c r="AA768" s="67"/>
      <c r="AB768" s="66"/>
      <c r="AC768" s="67"/>
      <c r="AD768" s="67"/>
      <c r="AE768" s="68"/>
      <c r="AF768" s="67"/>
      <c r="AG768" s="68"/>
      <c r="AH768" s="67"/>
      <c r="AI768" s="67"/>
      <c r="AJ768" s="67"/>
      <c r="AK768" s="67"/>
      <c r="AL768" s="67"/>
      <c r="AM768" s="67"/>
      <c r="AN768" s="67"/>
      <c r="AO768" s="67"/>
      <c r="AP768" s="66"/>
      <c r="AQ768" s="66"/>
      <c r="AR768" s="66"/>
      <c r="AS768" s="66"/>
      <c r="AT768" s="66"/>
      <c r="AU768" s="66"/>
      <c r="AV768" s="66"/>
      <c r="AW768" s="66"/>
      <c r="AX768" s="66"/>
      <c r="AY768" s="66"/>
      <c r="AZ768" s="66"/>
      <c r="BA768" s="69"/>
      <c r="BB768" s="69"/>
      <c r="BC768" s="69"/>
      <c r="BD768" s="69"/>
    </row>
    <row r="769" spans="2:56" ht="21" customHeight="1" x14ac:dyDescent="0.25">
      <c r="B769" s="2"/>
      <c r="C769" s="8">
        <f>SUM(C765:C768)</f>
        <v>0</v>
      </c>
      <c r="F769" s="74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74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</row>
    <row r="770" spans="2:56" x14ac:dyDescent="0.25"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</row>
    <row r="771" spans="2:56" ht="15.75" x14ac:dyDescent="0.25">
      <c r="F771" s="82" t="s">
        <v>17</v>
      </c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3" t="s">
        <v>16</v>
      </c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79"/>
      <c r="AQ771" s="79"/>
      <c r="AR771" s="79"/>
      <c r="AS771" s="79"/>
      <c r="AT771" s="79"/>
      <c r="AU771" s="41"/>
      <c r="AV771" s="41"/>
      <c r="AW771" s="41"/>
      <c r="AX771" s="41"/>
      <c r="AY771" s="41"/>
      <c r="AZ771" s="41"/>
      <c r="BA771" s="41"/>
    </row>
    <row r="772" spans="2:56" ht="32.25" thickBot="1" x14ac:dyDescent="0.3">
      <c r="F772" s="81" t="s">
        <v>9</v>
      </c>
      <c r="G772" s="81"/>
      <c r="H772" s="81"/>
      <c r="I772" s="81"/>
      <c r="J772" s="81" t="s">
        <v>10</v>
      </c>
      <c r="K772" s="81"/>
      <c r="L772" s="81"/>
      <c r="M772" s="81"/>
      <c r="N772" s="81" t="s">
        <v>49</v>
      </c>
      <c r="O772" s="81"/>
      <c r="P772" s="81" t="s">
        <v>11</v>
      </c>
      <c r="Q772" s="81"/>
      <c r="R772" s="81"/>
      <c r="S772" s="81"/>
      <c r="T772" s="81"/>
      <c r="U772" s="81"/>
      <c r="V772" s="81"/>
      <c r="W772" s="81"/>
      <c r="X772" s="81" t="s">
        <v>9</v>
      </c>
      <c r="Y772" s="81"/>
      <c r="Z772" s="81"/>
      <c r="AA772" s="81"/>
      <c r="AB772" s="81" t="s">
        <v>10</v>
      </c>
      <c r="AC772" s="81"/>
      <c r="AD772" s="81"/>
      <c r="AE772" s="81"/>
      <c r="AF772" s="81" t="s">
        <v>49</v>
      </c>
      <c r="AG772" s="81"/>
      <c r="AH772" s="81" t="s">
        <v>11</v>
      </c>
      <c r="AI772" s="81"/>
      <c r="AJ772" s="81"/>
      <c r="AK772" s="81"/>
      <c r="AL772" s="81"/>
      <c r="AM772" s="81"/>
      <c r="AN772" s="81"/>
      <c r="AO772" s="81"/>
      <c r="AP772" s="70" t="s">
        <v>50</v>
      </c>
      <c r="AQ772" s="70" t="s">
        <v>57</v>
      </c>
      <c r="AR772" s="70" t="s">
        <v>63</v>
      </c>
      <c r="AS772" s="70" t="s">
        <v>64</v>
      </c>
      <c r="AT772" s="70" t="s">
        <v>61</v>
      </c>
      <c r="AU772" s="70" t="s">
        <v>54</v>
      </c>
      <c r="AV772" s="70" t="s">
        <v>19</v>
      </c>
      <c r="AW772" s="70" t="s">
        <v>58</v>
      </c>
      <c r="AX772" s="70" t="s">
        <v>51</v>
      </c>
      <c r="AY772" s="70" t="s">
        <v>53</v>
      </c>
      <c r="AZ772" s="70" t="s">
        <v>52</v>
      </c>
      <c r="BA772" s="70" t="s">
        <v>55</v>
      </c>
      <c r="BB772" s="70" t="s">
        <v>56</v>
      </c>
      <c r="BC772" s="70" t="s">
        <v>59</v>
      </c>
      <c r="BD772" s="70" t="s">
        <v>60</v>
      </c>
    </row>
    <row r="773" spans="2:56" ht="16.5" thickBot="1" x14ac:dyDescent="0.3">
      <c r="B773" s="17">
        <v>0.88541666666666896</v>
      </c>
      <c r="C773" s="7" t="s">
        <v>5</v>
      </c>
      <c r="E773" s="11"/>
      <c r="F773" s="75" t="s">
        <v>15</v>
      </c>
      <c r="G773" s="58" t="s">
        <v>12</v>
      </c>
      <c r="H773" s="58" t="s">
        <v>14</v>
      </c>
      <c r="I773" s="58" t="s">
        <v>13</v>
      </c>
      <c r="J773" s="58" t="s">
        <v>42</v>
      </c>
      <c r="K773" s="58" t="s">
        <v>41</v>
      </c>
      <c r="L773" s="58" t="s">
        <v>43</v>
      </c>
      <c r="M773" s="58" t="s">
        <v>44</v>
      </c>
      <c r="N773" s="58" t="s">
        <v>15</v>
      </c>
      <c r="O773" s="58" t="s">
        <v>14</v>
      </c>
      <c r="P773" s="58" t="s">
        <v>45</v>
      </c>
      <c r="Q773" s="58" t="s">
        <v>46</v>
      </c>
      <c r="R773" s="58" t="s">
        <v>42</v>
      </c>
      <c r="S773" s="58" t="s">
        <v>41</v>
      </c>
      <c r="T773" s="58" t="s">
        <v>47</v>
      </c>
      <c r="U773" s="58" t="s">
        <v>48</v>
      </c>
      <c r="V773" s="58" t="s">
        <v>43</v>
      </c>
      <c r="W773" s="58" t="s">
        <v>44</v>
      </c>
      <c r="X773" s="75" t="s">
        <v>15</v>
      </c>
      <c r="Y773" s="58" t="s">
        <v>12</v>
      </c>
      <c r="Z773" s="58" t="s">
        <v>14</v>
      </c>
      <c r="AA773" s="58" t="s">
        <v>13</v>
      </c>
      <c r="AB773" s="58" t="s">
        <v>42</v>
      </c>
      <c r="AC773" s="58" t="s">
        <v>41</v>
      </c>
      <c r="AD773" s="58" t="s">
        <v>43</v>
      </c>
      <c r="AE773" s="58" t="s">
        <v>44</v>
      </c>
      <c r="AF773" s="58" t="s">
        <v>15</v>
      </c>
      <c r="AG773" s="58" t="s">
        <v>14</v>
      </c>
      <c r="AH773" s="58" t="s">
        <v>45</v>
      </c>
      <c r="AI773" s="58" t="s">
        <v>46</v>
      </c>
      <c r="AJ773" s="58" t="s">
        <v>42</v>
      </c>
      <c r="AK773" s="58" t="s">
        <v>41</v>
      </c>
      <c r="AL773" s="58" t="s">
        <v>47</v>
      </c>
      <c r="AM773" s="58" t="s">
        <v>48</v>
      </c>
      <c r="AN773" s="58" t="s">
        <v>43</v>
      </c>
      <c r="AO773" s="58" t="s">
        <v>44</v>
      </c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</row>
    <row r="774" spans="2:56" ht="16.5" customHeight="1" thickBot="1" x14ac:dyDescent="0.3">
      <c r="B774" s="1" t="s">
        <v>0</v>
      </c>
      <c r="C774" s="13">
        <f>SUM(F774:W774)</f>
        <v>0</v>
      </c>
      <c r="E774" s="10" t="s">
        <v>0</v>
      </c>
      <c r="F774" s="71"/>
      <c r="G774" s="60"/>
      <c r="H774" s="60"/>
      <c r="I774" s="61"/>
      <c r="J774" s="59"/>
      <c r="K774" s="60"/>
      <c r="L774" s="60"/>
      <c r="M774" s="60"/>
      <c r="N774" s="59"/>
      <c r="O774" s="61"/>
      <c r="P774" s="59"/>
      <c r="Q774" s="60"/>
      <c r="R774" s="60"/>
      <c r="S774" s="60"/>
      <c r="T774" s="60"/>
      <c r="U774" s="60"/>
      <c r="V774" s="60"/>
      <c r="W774" s="61"/>
      <c r="X774" s="71"/>
      <c r="Y774" s="60"/>
      <c r="Z774" s="60"/>
      <c r="AA774" s="60"/>
      <c r="AB774" s="59"/>
      <c r="AC774" s="60"/>
      <c r="AD774" s="60"/>
      <c r="AE774" s="61"/>
      <c r="AF774" s="60"/>
      <c r="AG774" s="61"/>
      <c r="AH774" s="60"/>
      <c r="AI774" s="60"/>
      <c r="AJ774" s="60"/>
      <c r="AK774" s="60"/>
      <c r="AL774" s="60"/>
      <c r="AM774" s="60"/>
      <c r="AN774" s="60"/>
      <c r="AO774" s="60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62"/>
      <c r="BB774" s="62"/>
      <c r="BC774" s="62"/>
      <c r="BD774" s="62"/>
    </row>
    <row r="775" spans="2:56" ht="16.5" customHeight="1" thickBot="1" x14ac:dyDescent="0.3">
      <c r="B775" s="1" t="s">
        <v>1</v>
      </c>
      <c r="C775" s="14">
        <f t="shared" ref="C775:C777" si="85">SUM(F775:W775)</f>
        <v>0</v>
      </c>
      <c r="E775" s="1" t="s">
        <v>1</v>
      </c>
      <c r="F775" s="72"/>
      <c r="G775" s="41"/>
      <c r="H775" s="41"/>
      <c r="I775" s="64"/>
      <c r="J775" s="63"/>
      <c r="K775" s="41"/>
      <c r="L775" s="41"/>
      <c r="M775" s="41"/>
      <c r="N775" s="63"/>
      <c r="O775" s="64"/>
      <c r="P775" s="63"/>
      <c r="Q775" s="41"/>
      <c r="R775" s="41"/>
      <c r="S775" s="41"/>
      <c r="T775" s="41"/>
      <c r="U775" s="41"/>
      <c r="V775" s="41"/>
      <c r="W775" s="64"/>
      <c r="X775" s="72"/>
      <c r="Y775" s="41"/>
      <c r="Z775" s="41"/>
      <c r="AA775" s="41"/>
      <c r="AB775" s="63"/>
      <c r="AC775" s="41"/>
      <c r="AD775" s="41"/>
      <c r="AE775" s="64"/>
      <c r="AF775" s="41"/>
      <c r="AG775" s="64"/>
      <c r="AH775" s="41"/>
      <c r="AI775" s="41"/>
      <c r="AJ775" s="41"/>
      <c r="AK775" s="41"/>
      <c r="AL775" s="41"/>
      <c r="AM775" s="41"/>
      <c r="AN775" s="41"/>
      <c r="AO775" s="41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5"/>
      <c r="BB775" s="65"/>
      <c r="BC775" s="65"/>
      <c r="BD775" s="65"/>
    </row>
    <row r="776" spans="2:56" ht="16.5" customHeight="1" thickBot="1" x14ac:dyDescent="0.3">
      <c r="B776" s="1" t="s">
        <v>2</v>
      </c>
      <c r="C776" s="14">
        <f t="shared" si="85"/>
        <v>0</v>
      </c>
      <c r="E776" s="1" t="s">
        <v>2</v>
      </c>
      <c r="F776" s="72"/>
      <c r="G776" s="41"/>
      <c r="H776" s="41"/>
      <c r="I776" s="64"/>
      <c r="J776" s="63"/>
      <c r="K776" s="41"/>
      <c r="L776" s="41"/>
      <c r="M776" s="41"/>
      <c r="N776" s="63"/>
      <c r="O776" s="64"/>
      <c r="P776" s="63"/>
      <c r="Q776" s="41"/>
      <c r="R776" s="41"/>
      <c r="S776" s="41"/>
      <c r="T776" s="41"/>
      <c r="U776" s="41"/>
      <c r="V776" s="41"/>
      <c r="W776" s="64"/>
      <c r="X776" s="72"/>
      <c r="Y776" s="41"/>
      <c r="Z776" s="41"/>
      <c r="AA776" s="41"/>
      <c r="AB776" s="63"/>
      <c r="AC776" s="41"/>
      <c r="AD776" s="41"/>
      <c r="AE776" s="64"/>
      <c r="AF776" s="41"/>
      <c r="AG776" s="64"/>
      <c r="AH776" s="41"/>
      <c r="AI776" s="41"/>
      <c r="AJ776" s="41"/>
      <c r="AK776" s="41"/>
      <c r="AL776" s="41"/>
      <c r="AM776" s="41"/>
      <c r="AN776" s="41"/>
      <c r="AO776" s="41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5"/>
      <c r="BB776" s="65"/>
      <c r="BC776" s="65"/>
      <c r="BD776" s="65"/>
    </row>
    <row r="777" spans="2:56" ht="16.5" customHeight="1" thickBot="1" x14ac:dyDescent="0.3">
      <c r="B777" s="1" t="s">
        <v>3</v>
      </c>
      <c r="C777" s="15">
        <f t="shared" si="85"/>
        <v>0</v>
      </c>
      <c r="E777" s="1" t="s">
        <v>3</v>
      </c>
      <c r="F777" s="73"/>
      <c r="G777" s="67"/>
      <c r="H777" s="67"/>
      <c r="I777" s="68"/>
      <c r="J777" s="66"/>
      <c r="K777" s="67"/>
      <c r="L777" s="67"/>
      <c r="M777" s="67"/>
      <c r="N777" s="66"/>
      <c r="O777" s="68"/>
      <c r="P777" s="66"/>
      <c r="Q777" s="67"/>
      <c r="R777" s="67"/>
      <c r="S777" s="67"/>
      <c r="T777" s="67"/>
      <c r="U777" s="67"/>
      <c r="V777" s="67"/>
      <c r="W777" s="68"/>
      <c r="X777" s="73"/>
      <c r="Y777" s="67"/>
      <c r="Z777" s="67"/>
      <c r="AA777" s="67"/>
      <c r="AB777" s="66"/>
      <c r="AC777" s="67"/>
      <c r="AD777" s="67"/>
      <c r="AE777" s="68"/>
      <c r="AF777" s="67"/>
      <c r="AG777" s="68"/>
      <c r="AH777" s="67"/>
      <c r="AI777" s="67"/>
      <c r="AJ777" s="67"/>
      <c r="AK777" s="67"/>
      <c r="AL777" s="67"/>
      <c r="AM777" s="67"/>
      <c r="AN777" s="67"/>
      <c r="AO777" s="67"/>
      <c r="AP777" s="66"/>
      <c r="AQ777" s="66"/>
      <c r="AR777" s="66"/>
      <c r="AS777" s="66"/>
      <c r="AT777" s="66"/>
      <c r="AU777" s="66"/>
      <c r="AV777" s="66"/>
      <c r="AW777" s="66"/>
      <c r="AX777" s="66"/>
      <c r="AY777" s="66"/>
      <c r="AZ777" s="66"/>
      <c r="BA777" s="69"/>
      <c r="BB777" s="69"/>
      <c r="BC777" s="69"/>
      <c r="BD777" s="69"/>
    </row>
    <row r="778" spans="2:56" ht="21" customHeight="1" x14ac:dyDescent="0.25">
      <c r="B778" s="2"/>
      <c r="C778" s="8">
        <f>SUM(C774:C777)</f>
        <v>0</v>
      </c>
      <c r="F778" s="74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74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</row>
    <row r="779" spans="2:56" x14ac:dyDescent="0.25"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</row>
    <row r="780" spans="2:56" ht="15.75" x14ac:dyDescent="0.25">
      <c r="F780" s="82" t="s">
        <v>17</v>
      </c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3" t="s">
        <v>16</v>
      </c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79"/>
      <c r="AQ780" s="79"/>
      <c r="AR780" s="79"/>
      <c r="AS780" s="79"/>
      <c r="AT780" s="79"/>
      <c r="AU780" s="41"/>
      <c r="AV780" s="41"/>
      <c r="AW780" s="41"/>
      <c r="AX780" s="41"/>
      <c r="AY780" s="41"/>
      <c r="AZ780" s="41"/>
      <c r="BA780" s="41"/>
    </row>
    <row r="781" spans="2:56" ht="32.25" thickBot="1" x14ac:dyDescent="0.3">
      <c r="F781" s="81" t="s">
        <v>9</v>
      </c>
      <c r="G781" s="81"/>
      <c r="H781" s="81"/>
      <c r="I781" s="81"/>
      <c r="J781" s="81" t="s">
        <v>10</v>
      </c>
      <c r="K781" s="81"/>
      <c r="L781" s="81"/>
      <c r="M781" s="81"/>
      <c r="N781" s="81" t="s">
        <v>49</v>
      </c>
      <c r="O781" s="81"/>
      <c r="P781" s="81" t="s">
        <v>11</v>
      </c>
      <c r="Q781" s="81"/>
      <c r="R781" s="81"/>
      <c r="S781" s="81"/>
      <c r="T781" s="81"/>
      <c r="U781" s="81"/>
      <c r="V781" s="81"/>
      <c r="W781" s="81"/>
      <c r="X781" s="81" t="s">
        <v>9</v>
      </c>
      <c r="Y781" s="81"/>
      <c r="Z781" s="81"/>
      <c r="AA781" s="81"/>
      <c r="AB781" s="81" t="s">
        <v>10</v>
      </c>
      <c r="AC781" s="81"/>
      <c r="AD781" s="81"/>
      <c r="AE781" s="81"/>
      <c r="AF781" s="81" t="s">
        <v>49</v>
      </c>
      <c r="AG781" s="81"/>
      <c r="AH781" s="81" t="s">
        <v>11</v>
      </c>
      <c r="AI781" s="81"/>
      <c r="AJ781" s="81"/>
      <c r="AK781" s="81"/>
      <c r="AL781" s="81"/>
      <c r="AM781" s="81"/>
      <c r="AN781" s="81"/>
      <c r="AO781" s="81"/>
      <c r="AP781" s="70" t="s">
        <v>50</v>
      </c>
      <c r="AQ781" s="70" t="s">
        <v>57</v>
      </c>
      <c r="AR781" s="70" t="s">
        <v>63</v>
      </c>
      <c r="AS781" s="70" t="s">
        <v>64</v>
      </c>
      <c r="AT781" s="70" t="s">
        <v>61</v>
      </c>
      <c r="AU781" s="70" t="s">
        <v>54</v>
      </c>
      <c r="AV781" s="70" t="s">
        <v>19</v>
      </c>
      <c r="AW781" s="70" t="s">
        <v>58</v>
      </c>
      <c r="AX781" s="70" t="s">
        <v>51</v>
      </c>
      <c r="AY781" s="70" t="s">
        <v>53</v>
      </c>
      <c r="AZ781" s="70" t="s">
        <v>52</v>
      </c>
      <c r="BA781" s="70" t="s">
        <v>55</v>
      </c>
      <c r="BB781" s="70" t="s">
        <v>56</v>
      </c>
      <c r="BC781" s="70" t="s">
        <v>59</v>
      </c>
      <c r="BD781" s="70" t="s">
        <v>60</v>
      </c>
    </row>
    <row r="782" spans="2:56" ht="16.5" thickBot="1" x14ac:dyDescent="0.3">
      <c r="B782" s="17">
        <v>0.89583333333333603</v>
      </c>
      <c r="C782" s="7" t="s">
        <v>5</v>
      </c>
      <c r="E782" s="11"/>
      <c r="F782" s="75" t="s">
        <v>15</v>
      </c>
      <c r="G782" s="58" t="s">
        <v>12</v>
      </c>
      <c r="H782" s="58" t="s">
        <v>14</v>
      </c>
      <c r="I782" s="58" t="s">
        <v>13</v>
      </c>
      <c r="J782" s="58" t="s">
        <v>42</v>
      </c>
      <c r="K782" s="58" t="s">
        <v>41</v>
      </c>
      <c r="L782" s="58" t="s">
        <v>43</v>
      </c>
      <c r="M782" s="58" t="s">
        <v>44</v>
      </c>
      <c r="N782" s="58" t="s">
        <v>15</v>
      </c>
      <c r="O782" s="58" t="s">
        <v>14</v>
      </c>
      <c r="P782" s="58" t="s">
        <v>45</v>
      </c>
      <c r="Q782" s="58" t="s">
        <v>46</v>
      </c>
      <c r="R782" s="58" t="s">
        <v>42</v>
      </c>
      <c r="S782" s="58" t="s">
        <v>41</v>
      </c>
      <c r="T782" s="58" t="s">
        <v>47</v>
      </c>
      <c r="U782" s="58" t="s">
        <v>48</v>
      </c>
      <c r="V782" s="58" t="s">
        <v>43</v>
      </c>
      <c r="W782" s="58" t="s">
        <v>44</v>
      </c>
      <c r="X782" s="75" t="s">
        <v>15</v>
      </c>
      <c r="Y782" s="58" t="s">
        <v>12</v>
      </c>
      <c r="Z782" s="58" t="s">
        <v>14</v>
      </c>
      <c r="AA782" s="58" t="s">
        <v>13</v>
      </c>
      <c r="AB782" s="58" t="s">
        <v>42</v>
      </c>
      <c r="AC782" s="58" t="s">
        <v>41</v>
      </c>
      <c r="AD782" s="58" t="s">
        <v>43</v>
      </c>
      <c r="AE782" s="58" t="s">
        <v>44</v>
      </c>
      <c r="AF782" s="58" t="s">
        <v>15</v>
      </c>
      <c r="AG782" s="58" t="s">
        <v>14</v>
      </c>
      <c r="AH782" s="58" t="s">
        <v>45</v>
      </c>
      <c r="AI782" s="58" t="s">
        <v>46</v>
      </c>
      <c r="AJ782" s="58" t="s">
        <v>42</v>
      </c>
      <c r="AK782" s="58" t="s">
        <v>41</v>
      </c>
      <c r="AL782" s="58" t="s">
        <v>47</v>
      </c>
      <c r="AM782" s="58" t="s">
        <v>48</v>
      </c>
      <c r="AN782" s="58" t="s">
        <v>43</v>
      </c>
      <c r="AO782" s="58" t="s">
        <v>44</v>
      </c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</row>
    <row r="783" spans="2:56" ht="16.5" customHeight="1" thickBot="1" x14ac:dyDescent="0.3">
      <c r="B783" s="1" t="s">
        <v>0</v>
      </c>
      <c r="C783" s="13">
        <f>SUM(F783:W783)</f>
        <v>0</v>
      </c>
      <c r="E783" s="10" t="s">
        <v>0</v>
      </c>
      <c r="F783" s="71"/>
      <c r="G783" s="60"/>
      <c r="H783" s="60"/>
      <c r="I783" s="61"/>
      <c r="J783" s="59"/>
      <c r="K783" s="60"/>
      <c r="L783" s="60"/>
      <c r="M783" s="60"/>
      <c r="N783" s="59"/>
      <c r="O783" s="61"/>
      <c r="P783" s="59"/>
      <c r="Q783" s="60"/>
      <c r="R783" s="60"/>
      <c r="S783" s="60"/>
      <c r="T783" s="60"/>
      <c r="U783" s="60"/>
      <c r="V783" s="60"/>
      <c r="W783" s="61"/>
      <c r="X783" s="71"/>
      <c r="Y783" s="60"/>
      <c r="Z783" s="60"/>
      <c r="AA783" s="60"/>
      <c r="AB783" s="59"/>
      <c r="AC783" s="60"/>
      <c r="AD783" s="60"/>
      <c r="AE783" s="61"/>
      <c r="AF783" s="60"/>
      <c r="AG783" s="61"/>
      <c r="AH783" s="60"/>
      <c r="AI783" s="60"/>
      <c r="AJ783" s="60"/>
      <c r="AK783" s="60"/>
      <c r="AL783" s="60"/>
      <c r="AM783" s="60"/>
      <c r="AN783" s="60"/>
      <c r="AO783" s="60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62"/>
      <c r="BB783" s="62"/>
      <c r="BC783" s="62"/>
      <c r="BD783" s="62"/>
    </row>
    <row r="784" spans="2:56" ht="16.5" customHeight="1" thickBot="1" x14ac:dyDescent="0.3">
      <c r="B784" s="1" t="s">
        <v>1</v>
      </c>
      <c r="C784" s="14">
        <f t="shared" ref="C784:C786" si="86">SUM(F784:W784)</f>
        <v>0</v>
      </c>
      <c r="E784" s="1" t="s">
        <v>1</v>
      </c>
      <c r="F784" s="72"/>
      <c r="G784" s="41"/>
      <c r="H784" s="41"/>
      <c r="I784" s="64"/>
      <c r="J784" s="63"/>
      <c r="K784" s="41"/>
      <c r="L784" s="41"/>
      <c r="M784" s="41"/>
      <c r="N784" s="63"/>
      <c r="O784" s="64"/>
      <c r="P784" s="63"/>
      <c r="Q784" s="41"/>
      <c r="R784" s="41"/>
      <c r="S784" s="41"/>
      <c r="T784" s="41"/>
      <c r="U784" s="41"/>
      <c r="V784" s="41"/>
      <c r="W784" s="64"/>
      <c r="X784" s="72"/>
      <c r="Y784" s="41"/>
      <c r="Z784" s="41"/>
      <c r="AA784" s="41"/>
      <c r="AB784" s="63"/>
      <c r="AC784" s="41"/>
      <c r="AD784" s="41"/>
      <c r="AE784" s="64"/>
      <c r="AF784" s="41"/>
      <c r="AG784" s="64"/>
      <c r="AH784" s="41"/>
      <c r="AI784" s="41"/>
      <c r="AJ784" s="41"/>
      <c r="AK784" s="41"/>
      <c r="AL784" s="41"/>
      <c r="AM784" s="41"/>
      <c r="AN784" s="41"/>
      <c r="AO784" s="41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5"/>
      <c r="BB784" s="65"/>
      <c r="BC784" s="65"/>
      <c r="BD784" s="65"/>
    </row>
    <row r="785" spans="2:56" ht="16.5" customHeight="1" thickBot="1" x14ac:dyDescent="0.3">
      <c r="B785" s="1" t="s">
        <v>2</v>
      </c>
      <c r="C785" s="14">
        <f t="shared" si="86"/>
        <v>0</v>
      </c>
      <c r="E785" s="1" t="s">
        <v>2</v>
      </c>
      <c r="F785" s="72"/>
      <c r="G785" s="41"/>
      <c r="H785" s="41"/>
      <c r="I785" s="64"/>
      <c r="J785" s="63"/>
      <c r="K785" s="41"/>
      <c r="L785" s="41"/>
      <c r="M785" s="41"/>
      <c r="N785" s="63"/>
      <c r="O785" s="64"/>
      <c r="P785" s="63"/>
      <c r="Q785" s="41"/>
      <c r="R785" s="41"/>
      <c r="S785" s="41"/>
      <c r="T785" s="41"/>
      <c r="U785" s="41"/>
      <c r="V785" s="41"/>
      <c r="W785" s="64"/>
      <c r="X785" s="72"/>
      <c r="Y785" s="41"/>
      <c r="Z785" s="41"/>
      <c r="AA785" s="41"/>
      <c r="AB785" s="63"/>
      <c r="AC785" s="41"/>
      <c r="AD785" s="41"/>
      <c r="AE785" s="64"/>
      <c r="AF785" s="41"/>
      <c r="AG785" s="64"/>
      <c r="AH785" s="41"/>
      <c r="AI785" s="41"/>
      <c r="AJ785" s="41"/>
      <c r="AK785" s="41"/>
      <c r="AL785" s="41"/>
      <c r="AM785" s="41"/>
      <c r="AN785" s="41"/>
      <c r="AO785" s="41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5"/>
      <c r="BB785" s="65"/>
      <c r="BC785" s="65"/>
      <c r="BD785" s="65"/>
    </row>
    <row r="786" spans="2:56" ht="16.5" customHeight="1" thickBot="1" x14ac:dyDescent="0.3">
      <c r="B786" s="1" t="s">
        <v>3</v>
      </c>
      <c r="C786" s="15">
        <f t="shared" si="86"/>
        <v>0</v>
      </c>
      <c r="E786" s="1" t="s">
        <v>3</v>
      </c>
      <c r="F786" s="73"/>
      <c r="G786" s="67"/>
      <c r="H786" s="67"/>
      <c r="I786" s="68"/>
      <c r="J786" s="66"/>
      <c r="K786" s="67"/>
      <c r="L786" s="67"/>
      <c r="M786" s="67"/>
      <c r="N786" s="66"/>
      <c r="O786" s="68"/>
      <c r="P786" s="66"/>
      <c r="Q786" s="67"/>
      <c r="R786" s="67"/>
      <c r="S786" s="67"/>
      <c r="T786" s="67"/>
      <c r="U786" s="67"/>
      <c r="V786" s="67"/>
      <c r="W786" s="68"/>
      <c r="X786" s="73"/>
      <c r="Y786" s="67"/>
      <c r="Z786" s="67"/>
      <c r="AA786" s="67"/>
      <c r="AB786" s="66"/>
      <c r="AC786" s="67"/>
      <c r="AD786" s="67"/>
      <c r="AE786" s="68"/>
      <c r="AF786" s="67"/>
      <c r="AG786" s="68"/>
      <c r="AH786" s="67"/>
      <c r="AI786" s="67"/>
      <c r="AJ786" s="67"/>
      <c r="AK786" s="67"/>
      <c r="AL786" s="67"/>
      <c r="AM786" s="67"/>
      <c r="AN786" s="67"/>
      <c r="AO786" s="67"/>
      <c r="AP786" s="66"/>
      <c r="AQ786" s="66"/>
      <c r="AR786" s="66"/>
      <c r="AS786" s="66"/>
      <c r="AT786" s="66"/>
      <c r="AU786" s="66"/>
      <c r="AV786" s="66"/>
      <c r="AW786" s="66"/>
      <c r="AX786" s="66"/>
      <c r="AY786" s="66"/>
      <c r="AZ786" s="66"/>
      <c r="BA786" s="69"/>
      <c r="BB786" s="69"/>
      <c r="BC786" s="69"/>
      <c r="BD786" s="69"/>
    </row>
    <row r="787" spans="2:56" ht="21" customHeight="1" x14ac:dyDescent="0.25">
      <c r="B787" s="2"/>
      <c r="C787" s="8">
        <f>SUM(C783:C786)</f>
        <v>0</v>
      </c>
      <c r="F787" s="74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74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</row>
    <row r="788" spans="2:56" x14ac:dyDescent="0.25"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</row>
    <row r="789" spans="2:56" ht="15.75" x14ac:dyDescent="0.25">
      <c r="F789" s="82" t="s">
        <v>17</v>
      </c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3" t="s">
        <v>16</v>
      </c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79"/>
      <c r="AQ789" s="79"/>
      <c r="AR789" s="79"/>
      <c r="AS789" s="79"/>
      <c r="AT789" s="79"/>
      <c r="AU789" s="41"/>
      <c r="AV789" s="41"/>
      <c r="AW789" s="41"/>
      <c r="AX789" s="41"/>
      <c r="AY789" s="41"/>
      <c r="AZ789" s="41"/>
      <c r="BA789" s="41"/>
    </row>
    <row r="790" spans="2:56" ht="32.25" thickBot="1" x14ac:dyDescent="0.3">
      <c r="F790" s="81" t="s">
        <v>9</v>
      </c>
      <c r="G790" s="81"/>
      <c r="H790" s="81"/>
      <c r="I790" s="81"/>
      <c r="J790" s="81" t="s">
        <v>10</v>
      </c>
      <c r="K790" s="81"/>
      <c r="L790" s="81"/>
      <c r="M790" s="81"/>
      <c r="N790" s="81" t="s">
        <v>49</v>
      </c>
      <c r="O790" s="81"/>
      <c r="P790" s="81" t="s">
        <v>11</v>
      </c>
      <c r="Q790" s="81"/>
      <c r="R790" s="81"/>
      <c r="S790" s="81"/>
      <c r="T790" s="81"/>
      <c r="U790" s="81"/>
      <c r="V790" s="81"/>
      <c r="W790" s="81"/>
      <c r="X790" s="81" t="s">
        <v>9</v>
      </c>
      <c r="Y790" s="81"/>
      <c r="Z790" s="81"/>
      <c r="AA790" s="81"/>
      <c r="AB790" s="81" t="s">
        <v>10</v>
      </c>
      <c r="AC790" s="81"/>
      <c r="AD790" s="81"/>
      <c r="AE790" s="81"/>
      <c r="AF790" s="81" t="s">
        <v>49</v>
      </c>
      <c r="AG790" s="81"/>
      <c r="AH790" s="81" t="s">
        <v>11</v>
      </c>
      <c r="AI790" s="81"/>
      <c r="AJ790" s="81"/>
      <c r="AK790" s="81"/>
      <c r="AL790" s="81"/>
      <c r="AM790" s="81"/>
      <c r="AN790" s="81"/>
      <c r="AO790" s="81"/>
      <c r="AP790" s="70" t="s">
        <v>50</v>
      </c>
      <c r="AQ790" s="70" t="s">
        <v>57</v>
      </c>
      <c r="AR790" s="70" t="s">
        <v>63</v>
      </c>
      <c r="AS790" s="70" t="s">
        <v>64</v>
      </c>
      <c r="AT790" s="70" t="s">
        <v>61</v>
      </c>
      <c r="AU790" s="70" t="s">
        <v>54</v>
      </c>
      <c r="AV790" s="70" t="s">
        <v>19</v>
      </c>
      <c r="AW790" s="70" t="s">
        <v>58</v>
      </c>
      <c r="AX790" s="70" t="s">
        <v>51</v>
      </c>
      <c r="AY790" s="70" t="s">
        <v>53</v>
      </c>
      <c r="AZ790" s="70" t="s">
        <v>52</v>
      </c>
      <c r="BA790" s="70" t="s">
        <v>55</v>
      </c>
      <c r="BB790" s="70" t="s">
        <v>56</v>
      </c>
      <c r="BC790" s="70" t="s">
        <v>59</v>
      </c>
      <c r="BD790" s="70" t="s">
        <v>60</v>
      </c>
    </row>
    <row r="791" spans="2:56" ht="16.5" thickBot="1" x14ac:dyDescent="0.3">
      <c r="B791" s="17">
        <v>0.906250000000003</v>
      </c>
      <c r="C791" s="7" t="s">
        <v>5</v>
      </c>
      <c r="E791" s="11"/>
      <c r="F791" s="75" t="s">
        <v>15</v>
      </c>
      <c r="G791" s="58" t="s">
        <v>12</v>
      </c>
      <c r="H791" s="58" t="s">
        <v>14</v>
      </c>
      <c r="I791" s="58" t="s">
        <v>13</v>
      </c>
      <c r="J791" s="58" t="s">
        <v>42</v>
      </c>
      <c r="K791" s="58" t="s">
        <v>41</v>
      </c>
      <c r="L791" s="58" t="s">
        <v>43</v>
      </c>
      <c r="M791" s="58" t="s">
        <v>44</v>
      </c>
      <c r="N791" s="58" t="s">
        <v>15</v>
      </c>
      <c r="O791" s="58" t="s">
        <v>14</v>
      </c>
      <c r="P791" s="58" t="s">
        <v>45</v>
      </c>
      <c r="Q791" s="58" t="s">
        <v>46</v>
      </c>
      <c r="R791" s="58" t="s">
        <v>42</v>
      </c>
      <c r="S791" s="58" t="s">
        <v>41</v>
      </c>
      <c r="T791" s="58" t="s">
        <v>47</v>
      </c>
      <c r="U791" s="58" t="s">
        <v>48</v>
      </c>
      <c r="V791" s="58" t="s">
        <v>43</v>
      </c>
      <c r="W791" s="58" t="s">
        <v>44</v>
      </c>
      <c r="X791" s="75" t="s">
        <v>15</v>
      </c>
      <c r="Y791" s="58" t="s">
        <v>12</v>
      </c>
      <c r="Z791" s="58" t="s">
        <v>14</v>
      </c>
      <c r="AA791" s="58" t="s">
        <v>13</v>
      </c>
      <c r="AB791" s="58" t="s">
        <v>42</v>
      </c>
      <c r="AC791" s="58" t="s">
        <v>41</v>
      </c>
      <c r="AD791" s="58" t="s">
        <v>43</v>
      </c>
      <c r="AE791" s="58" t="s">
        <v>44</v>
      </c>
      <c r="AF791" s="58" t="s">
        <v>15</v>
      </c>
      <c r="AG791" s="58" t="s">
        <v>14</v>
      </c>
      <c r="AH791" s="58" t="s">
        <v>45</v>
      </c>
      <c r="AI791" s="58" t="s">
        <v>46</v>
      </c>
      <c r="AJ791" s="58" t="s">
        <v>42</v>
      </c>
      <c r="AK791" s="58" t="s">
        <v>41</v>
      </c>
      <c r="AL791" s="58" t="s">
        <v>47</v>
      </c>
      <c r="AM791" s="58" t="s">
        <v>48</v>
      </c>
      <c r="AN791" s="58" t="s">
        <v>43</v>
      </c>
      <c r="AO791" s="58" t="s">
        <v>44</v>
      </c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</row>
    <row r="792" spans="2:56" ht="16.5" customHeight="1" thickBot="1" x14ac:dyDescent="0.3">
      <c r="B792" s="1" t="s">
        <v>0</v>
      </c>
      <c r="C792" s="13">
        <f>SUM(F792:W792)</f>
        <v>2</v>
      </c>
      <c r="E792" s="10" t="s">
        <v>0</v>
      </c>
      <c r="F792" s="71"/>
      <c r="G792" s="60"/>
      <c r="H792" s="60"/>
      <c r="I792" s="61"/>
      <c r="J792" s="59"/>
      <c r="K792" s="60"/>
      <c r="L792" s="60"/>
      <c r="M792" s="60"/>
      <c r="N792" s="59"/>
      <c r="O792" s="61">
        <v>1</v>
      </c>
      <c r="P792" s="59"/>
      <c r="Q792" s="60"/>
      <c r="R792" s="60"/>
      <c r="S792" s="60"/>
      <c r="T792" s="60">
        <v>1</v>
      </c>
      <c r="U792" s="60"/>
      <c r="V792" s="60"/>
      <c r="W792" s="61"/>
      <c r="X792" s="71"/>
      <c r="Y792" s="60"/>
      <c r="Z792" s="60"/>
      <c r="AA792" s="60"/>
      <c r="AB792" s="59"/>
      <c r="AC792" s="60"/>
      <c r="AD792" s="60"/>
      <c r="AE792" s="61"/>
      <c r="AF792" s="60">
        <v>1</v>
      </c>
      <c r="AG792" s="61"/>
      <c r="AH792" s="60"/>
      <c r="AI792" s="60">
        <v>1</v>
      </c>
      <c r="AJ792" s="60"/>
      <c r="AK792" s="60"/>
      <c r="AL792" s="60"/>
      <c r="AM792" s="60"/>
      <c r="AN792" s="60"/>
      <c r="AO792" s="60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62"/>
      <c r="BB792" s="62"/>
      <c r="BC792" s="62"/>
      <c r="BD792" s="62"/>
    </row>
    <row r="793" spans="2:56" ht="16.5" customHeight="1" thickBot="1" x14ac:dyDescent="0.3">
      <c r="B793" s="1" t="s">
        <v>1</v>
      </c>
      <c r="C793" s="14">
        <f t="shared" ref="C793:C795" si="87">SUM(F793:W793)</f>
        <v>0</v>
      </c>
      <c r="E793" s="1" t="s">
        <v>1</v>
      </c>
      <c r="F793" s="72"/>
      <c r="G793" s="41"/>
      <c r="H793" s="41"/>
      <c r="I793" s="64"/>
      <c r="J793" s="63"/>
      <c r="K793" s="41"/>
      <c r="L793" s="41"/>
      <c r="M793" s="41"/>
      <c r="N793" s="63"/>
      <c r="O793" s="64"/>
      <c r="P793" s="63"/>
      <c r="Q793" s="41"/>
      <c r="R793" s="41"/>
      <c r="S793" s="41"/>
      <c r="T793" s="41"/>
      <c r="U793" s="41"/>
      <c r="V793" s="41"/>
      <c r="W793" s="64"/>
      <c r="X793" s="72"/>
      <c r="Y793" s="41"/>
      <c r="Z793" s="41"/>
      <c r="AA793" s="41"/>
      <c r="AB793" s="63"/>
      <c r="AC793" s="41"/>
      <c r="AD793" s="41"/>
      <c r="AE793" s="64"/>
      <c r="AF793" s="41"/>
      <c r="AG793" s="64"/>
      <c r="AH793" s="41"/>
      <c r="AI793" s="41"/>
      <c r="AJ793" s="41"/>
      <c r="AK793" s="41"/>
      <c r="AL793" s="41"/>
      <c r="AM793" s="41"/>
      <c r="AN793" s="41"/>
      <c r="AO793" s="41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5"/>
      <c r="BB793" s="65"/>
      <c r="BC793" s="65"/>
      <c r="BD793" s="65"/>
    </row>
    <row r="794" spans="2:56" ht="16.5" customHeight="1" thickBot="1" x14ac:dyDescent="0.3">
      <c r="B794" s="1" t="s">
        <v>2</v>
      </c>
      <c r="C794" s="14">
        <f t="shared" si="87"/>
        <v>0</v>
      </c>
      <c r="E794" s="1" t="s">
        <v>2</v>
      </c>
      <c r="F794" s="72"/>
      <c r="G794" s="41"/>
      <c r="H794" s="41"/>
      <c r="I794" s="64"/>
      <c r="J794" s="63"/>
      <c r="K794" s="41"/>
      <c r="L794" s="41"/>
      <c r="M794" s="41"/>
      <c r="N794" s="63"/>
      <c r="O794" s="64"/>
      <c r="P794" s="63"/>
      <c r="Q794" s="41"/>
      <c r="R794" s="41"/>
      <c r="S794" s="41"/>
      <c r="T794" s="41"/>
      <c r="U794" s="41"/>
      <c r="V794" s="41"/>
      <c r="W794" s="64"/>
      <c r="X794" s="72"/>
      <c r="Y794" s="41"/>
      <c r="Z794" s="41"/>
      <c r="AA794" s="41"/>
      <c r="AB794" s="63"/>
      <c r="AC794" s="41"/>
      <c r="AD794" s="41"/>
      <c r="AE794" s="64"/>
      <c r="AF794" s="41"/>
      <c r="AG794" s="64"/>
      <c r="AH794" s="41"/>
      <c r="AI794" s="41"/>
      <c r="AJ794" s="41"/>
      <c r="AK794" s="41"/>
      <c r="AL794" s="41"/>
      <c r="AM794" s="41"/>
      <c r="AN794" s="41"/>
      <c r="AO794" s="41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5"/>
      <c r="BB794" s="65"/>
      <c r="BC794" s="65"/>
      <c r="BD794" s="65"/>
    </row>
    <row r="795" spans="2:56" ht="16.5" customHeight="1" thickBot="1" x14ac:dyDescent="0.3">
      <c r="B795" s="1" t="s">
        <v>3</v>
      </c>
      <c r="C795" s="15">
        <f t="shared" si="87"/>
        <v>0</v>
      </c>
      <c r="E795" s="1" t="s">
        <v>3</v>
      </c>
      <c r="F795" s="73"/>
      <c r="G795" s="67"/>
      <c r="H795" s="67"/>
      <c r="I795" s="68"/>
      <c r="J795" s="66"/>
      <c r="K795" s="67"/>
      <c r="L795" s="67"/>
      <c r="M795" s="67"/>
      <c r="N795" s="66"/>
      <c r="O795" s="68"/>
      <c r="P795" s="66"/>
      <c r="Q795" s="67"/>
      <c r="R795" s="67"/>
      <c r="S795" s="67"/>
      <c r="T795" s="67"/>
      <c r="U795" s="67"/>
      <c r="V795" s="67"/>
      <c r="W795" s="68"/>
      <c r="X795" s="73"/>
      <c r="Y795" s="67"/>
      <c r="Z795" s="67"/>
      <c r="AA795" s="67"/>
      <c r="AB795" s="66"/>
      <c r="AC795" s="67"/>
      <c r="AD795" s="67"/>
      <c r="AE795" s="68"/>
      <c r="AF795" s="67"/>
      <c r="AG795" s="68"/>
      <c r="AH795" s="67"/>
      <c r="AI795" s="67"/>
      <c r="AJ795" s="67"/>
      <c r="AK795" s="67"/>
      <c r="AL795" s="67"/>
      <c r="AM795" s="67"/>
      <c r="AN795" s="67"/>
      <c r="AO795" s="67"/>
      <c r="AP795" s="66"/>
      <c r="AQ795" s="66"/>
      <c r="AR795" s="66"/>
      <c r="AS795" s="66"/>
      <c r="AT795" s="66"/>
      <c r="AU795" s="66"/>
      <c r="AV795" s="66"/>
      <c r="AW795" s="66"/>
      <c r="AX795" s="66"/>
      <c r="AY795" s="66"/>
      <c r="AZ795" s="66"/>
      <c r="BA795" s="69"/>
      <c r="BB795" s="69"/>
      <c r="BC795" s="69"/>
      <c r="BD795" s="69"/>
    </row>
    <row r="796" spans="2:56" ht="21" customHeight="1" x14ac:dyDescent="0.25">
      <c r="B796" s="2"/>
      <c r="C796" s="8">
        <f>SUM(C792:C795)</f>
        <v>2</v>
      </c>
      <c r="F796" s="74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74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</row>
    <row r="797" spans="2:56" x14ac:dyDescent="0.25"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</row>
    <row r="798" spans="2:56" ht="15.75" x14ac:dyDescent="0.25">
      <c r="F798" s="82" t="s">
        <v>17</v>
      </c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3" t="s">
        <v>16</v>
      </c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79"/>
      <c r="AQ798" s="79"/>
      <c r="AR798" s="79"/>
      <c r="AS798" s="79"/>
      <c r="AT798" s="79"/>
      <c r="AU798" s="41"/>
      <c r="AV798" s="41"/>
      <c r="AW798" s="41"/>
      <c r="AX798" s="41"/>
      <c r="AY798" s="41"/>
      <c r="AZ798" s="41"/>
      <c r="BA798" s="41"/>
    </row>
    <row r="799" spans="2:56" ht="32.25" thickBot="1" x14ac:dyDescent="0.3">
      <c r="F799" s="81" t="s">
        <v>9</v>
      </c>
      <c r="G799" s="81"/>
      <c r="H799" s="81"/>
      <c r="I799" s="81"/>
      <c r="J799" s="81" t="s">
        <v>10</v>
      </c>
      <c r="K799" s="81"/>
      <c r="L799" s="81"/>
      <c r="M799" s="81"/>
      <c r="N799" s="81" t="s">
        <v>49</v>
      </c>
      <c r="O799" s="81"/>
      <c r="P799" s="81" t="s">
        <v>11</v>
      </c>
      <c r="Q799" s="81"/>
      <c r="R799" s="81"/>
      <c r="S799" s="81"/>
      <c r="T799" s="81"/>
      <c r="U799" s="81"/>
      <c r="V799" s="81"/>
      <c r="W799" s="81"/>
      <c r="X799" s="81" t="s">
        <v>9</v>
      </c>
      <c r="Y799" s="81"/>
      <c r="Z799" s="81"/>
      <c r="AA799" s="81"/>
      <c r="AB799" s="81" t="s">
        <v>10</v>
      </c>
      <c r="AC799" s="81"/>
      <c r="AD799" s="81"/>
      <c r="AE799" s="81"/>
      <c r="AF799" s="81" t="s">
        <v>49</v>
      </c>
      <c r="AG799" s="81"/>
      <c r="AH799" s="81" t="s">
        <v>11</v>
      </c>
      <c r="AI799" s="81"/>
      <c r="AJ799" s="81"/>
      <c r="AK799" s="81"/>
      <c r="AL799" s="81"/>
      <c r="AM799" s="81"/>
      <c r="AN799" s="81"/>
      <c r="AO799" s="81"/>
      <c r="AP799" s="70" t="s">
        <v>50</v>
      </c>
      <c r="AQ799" s="70" t="s">
        <v>57</v>
      </c>
      <c r="AR799" s="70" t="s">
        <v>63</v>
      </c>
      <c r="AS799" s="70" t="s">
        <v>64</v>
      </c>
      <c r="AT799" s="70" t="s">
        <v>61</v>
      </c>
      <c r="AU799" s="70" t="s">
        <v>54</v>
      </c>
      <c r="AV799" s="70" t="s">
        <v>19</v>
      </c>
      <c r="AW799" s="70" t="s">
        <v>58</v>
      </c>
      <c r="AX799" s="70" t="s">
        <v>51</v>
      </c>
      <c r="AY799" s="70" t="s">
        <v>53</v>
      </c>
      <c r="AZ799" s="70" t="s">
        <v>52</v>
      </c>
      <c r="BA799" s="70" t="s">
        <v>55</v>
      </c>
      <c r="BB799" s="70" t="s">
        <v>56</v>
      </c>
      <c r="BC799" s="70" t="s">
        <v>59</v>
      </c>
      <c r="BD799" s="70" t="s">
        <v>60</v>
      </c>
    </row>
    <row r="800" spans="2:56" ht="16.5" thickBot="1" x14ac:dyDescent="0.3">
      <c r="B800" s="16">
        <v>0.91666666666666996</v>
      </c>
      <c r="C800" s="7" t="s">
        <v>5</v>
      </c>
      <c r="E800" s="11"/>
      <c r="F800" s="75" t="s">
        <v>15</v>
      </c>
      <c r="G800" s="58" t="s">
        <v>12</v>
      </c>
      <c r="H800" s="58" t="s">
        <v>14</v>
      </c>
      <c r="I800" s="58" t="s">
        <v>13</v>
      </c>
      <c r="J800" s="58" t="s">
        <v>42</v>
      </c>
      <c r="K800" s="58" t="s">
        <v>41</v>
      </c>
      <c r="L800" s="58" t="s">
        <v>43</v>
      </c>
      <c r="M800" s="58" t="s">
        <v>44</v>
      </c>
      <c r="N800" s="58" t="s">
        <v>15</v>
      </c>
      <c r="O800" s="58" t="s">
        <v>14</v>
      </c>
      <c r="P800" s="58" t="s">
        <v>45</v>
      </c>
      <c r="Q800" s="58" t="s">
        <v>46</v>
      </c>
      <c r="R800" s="58" t="s">
        <v>42</v>
      </c>
      <c r="S800" s="58" t="s">
        <v>41</v>
      </c>
      <c r="T800" s="58" t="s">
        <v>47</v>
      </c>
      <c r="U800" s="58" t="s">
        <v>48</v>
      </c>
      <c r="V800" s="58" t="s">
        <v>43</v>
      </c>
      <c r="W800" s="58" t="s">
        <v>44</v>
      </c>
      <c r="X800" s="75" t="s">
        <v>15</v>
      </c>
      <c r="Y800" s="58" t="s">
        <v>12</v>
      </c>
      <c r="Z800" s="58" t="s">
        <v>14</v>
      </c>
      <c r="AA800" s="58" t="s">
        <v>13</v>
      </c>
      <c r="AB800" s="58" t="s">
        <v>42</v>
      </c>
      <c r="AC800" s="58" t="s">
        <v>41</v>
      </c>
      <c r="AD800" s="58" t="s">
        <v>43</v>
      </c>
      <c r="AE800" s="58" t="s">
        <v>44</v>
      </c>
      <c r="AF800" s="58" t="s">
        <v>15</v>
      </c>
      <c r="AG800" s="58" t="s">
        <v>14</v>
      </c>
      <c r="AH800" s="58" t="s">
        <v>45</v>
      </c>
      <c r="AI800" s="58" t="s">
        <v>46</v>
      </c>
      <c r="AJ800" s="58" t="s">
        <v>42</v>
      </c>
      <c r="AK800" s="58" t="s">
        <v>41</v>
      </c>
      <c r="AL800" s="58" t="s">
        <v>47</v>
      </c>
      <c r="AM800" s="58" t="s">
        <v>48</v>
      </c>
      <c r="AN800" s="58" t="s">
        <v>43</v>
      </c>
      <c r="AO800" s="58" t="s">
        <v>44</v>
      </c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</row>
    <row r="801" spans="2:56" ht="16.5" customHeight="1" thickBot="1" x14ac:dyDescent="0.3">
      <c r="B801" s="1" t="s">
        <v>0</v>
      </c>
      <c r="C801" s="13">
        <f>SUM(F801:W801)</f>
        <v>0</v>
      </c>
      <c r="E801" s="10" t="s">
        <v>0</v>
      </c>
      <c r="F801" s="71"/>
      <c r="G801" s="60"/>
      <c r="H801" s="60"/>
      <c r="I801" s="61"/>
      <c r="J801" s="59"/>
      <c r="K801" s="60"/>
      <c r="L801" s="60"/>
      <c r="M801" s="60"/>
      <c r="N801" s="59"/>
      <c r="O801" s="61"/>
      <c r="P801" s="59"/>
      <c r="Q801" s="60"/>
      <c r="R801" s="60"/>
      <c r="S801" s="60"/>
      <c r="T801" s="60"/>
      <c r="U801" s="60"/>
      <c r="V801" s="60"/>
      <c r="W801" s="61"/>
      <c r="X801" s="71"/>
      <c r="Y801" s="60"/>
      <c r="Z801" s="60"/>
      <c r="AA801" s="60"/>
      <c r="AB801" s="59"/>
      <c r="AC801" s="60"/>
      <c r="AD801" s="60"/>
      <c r="AE801" s="61"/>
      <c r="AF801" s="60"/>
      <c r="AG801" s="61"/>
      <c r="AH801" s="60"/>
      <c r="AI801" s="60"/>
      <c r="AJ801" s="60"/>
      <c r="AK801" s="60"/>
      <c r="AL801" s="60"/>
      <c r="AM801" s="60"/>
      <c r="AN801" s="60"/>
      <c r="AO801" s="60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62"/>
      <c r="BB801" s="62"/>
      <c r="BC801" s="62"/>
      <c r="BD801" s="62"/>
    </row>
    <row r="802" spans="2:56" ht="16.5" customHeight="1" thickBot="1" x14ac:dyDescent="0.3">
      <c r="B802" s="1" t="s">
        <v>1</v>
      </c>
      <c r="C802" s="14">
        <f t="shared" ref="C802:C804" si="88">SUM(F802:W802)</f>
        <v>0</v>
      </c>
      <c r="E802" s="1" t="s">
        <v>1</v>
      </c>
      <c r="F802" s="72"/>
      <c r="G802" s="41"/>
      <c r="H802" s="41"/>
      <c r="I802" s="64"/>
      <c r="J802" s="63"/>
      <c r="K802" s="41"/>
      <c r="L802" s="41"/>
      <c r="M802" s="41"/>
      <c r="N802" s="63"/>
      <c r="O802" s="64"/>
      <c r="P802" s="63"/>
      <c r="Q802" s="41"/>
      <c r="R802" s="41"/>
      <c r="S802" s="41"/>
      <c r="T802" s="41"/>
      <c r="U802" s="41"/>
      <c r="V802" s="41"/>
      <c r="W802" s="64"/>
      <c r="X802" s="72"/>
      <c r="Y802" s="41"/>
      <c r="Z802" s="41"/>
      <c r="AA802" s="41"/>
      <c r="AB802" s="63"/>
      <c r="AC802" s="41"/>
      <c r="AD802" s="41"/>
      <c r="AE802" s="64"/>
      <c r="AF802" s="41"/>
      <c r="AG802" s="64"/>
      <c r="AH802" s="41"/>
      <c r="AI802" s="41"/>
      <c r="AJ802" s="41"/>
      <c r="AK802" s="41"/>
      <c r="AL802" s="41"/>
      <c r="AM802" s="41"/>
      <c r="AN802" s="41"/>
      <c r="AO802" s="41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5"/>
      <c r="BB802" s="65"/>
      <c r="BC802" s="65"/>
      <c r="BD802" s="65"/>
    </row>
    <row r="803" spans="2:56" ht="16.5" customHeight="1" thickBot="1" x14ac:dyDescent="0.3">
      <c r="B803" s="1" t="s">
        <v>2</v>
      </c>
      <c r="C803" s="14">
        <f t="shared" si="88"/>
        <v>2</v>
      </c>
      <c r="E803" s="1" t="s">
        <v>2</v>
      </c>
      <c r="F803" s="72"/>
      <c r="G803" s="41"/>
      <c r="H803" s="41">
        <v>1</v>
      </c>
      <c r="I803" s="64"/>
      <c r="J803" s="63"/>
      <c r="K803" s="41">
        <v>1</v>
      </c>
      <c r="L803" s="41"/>
      <c r="M803" s="41"/>
      <c r="N803" s="63"/>
      <c r="O803" s="64"/>
      <c r="P803" s="63"/>
      <c r="Q803" s="41"/>
      <c r="R803" s="41"/>
      <c r="S803" s="41"/>
      <c r="T803" s="41"/>
      <c r="U803" s="41"/>
      <c r="V803" s="41"/>
      <c r="W803" s="64"/>
      <c r="X803" s="72"/>
      <c r="Y803" s="41"/>
      <c r="Z803" s="41"/>
      <c r="AA803" s="41"/>
      <c r="AB803" s="63"/>
      <c r="AC803" s="41">
        <v>1</v>
      </c>
      <c r="AD803" s="41"/>
      <c r="AE803" s="64"/>
      <c r="AF803" s="41"/>
      <c r="AG803" s="64">
        <v>1</v>
      </c>
      <c r="AH803" s="41"/>
      <c r="AI803" s="41"/>
      <c r="AJ803" s="41"/>
      <c r="AK803" s="41"/>
      <c r="AL803" s="41"/>
      <c r="AM803" s="41"/>
      <c r="AN803" s="41"/>
      <c r="AO803" s="41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5"/>
      <c r="BB803" s="65"/>
      <c r="BC803" s="65"/>
      <c r="BD803" s="65"/>
    </row>
    <row r="804" spans="2:56" ht="16.5" customHeight="1" thickBot="1" x14ac:dyDescent="0.3">
      <c r="B804" s="1" t="s">
        <v>3</v>
      </c>
      <c r="C804" s="15">
        <f t="shared" si="88"/>
        <v>0</v>
      </c>
      <c r="E804" s="1" t="s">
        <v>3</v>
      </c>
      <c r="F804" s="73"/>
      <c r="G804" s="67"/>
      <c r="H804" s="67"/>
      <c r="I804" s="68"/>
      <c r="J804" s="66"/>
      <c r="K804" s="67"/>
      <c r="L804" s="67"/>
      <c r="M804" s="67"/>
      <c r="N804" s="66"/>
      <c r="O804" s="68"/>
      <c r="P804" s="66"/>
      <c r="Q804" s="67"/>
      <c r="R804" s="67"/>
      <c r="S804" s="67"/>
      <c r="T804" s="67"/>
      <c r="U804" s="67"/>
      <c r="V804" s="67"/>
      <c r="W804" s="68"/>
      <c r="X804" s="73"/>
      <c r="Y804" s="67"/>
      <c r="Z804" s="67"/>
      <c r="AA804" s="67"/>
      <c r="AB804" s="66"/>
      <c r="AC804" s="67"/>
      <c r="AD804" s="67"/>
      <c r="AE804" s="68"/>
      <c r="AF804" s="67"/>
      <c r="AG804" s="68"/>
      <c r="AH804" s="67"/>
      <c r="AI804" s="67"/>
      <c r="AJ804" s="67"/>
      <c r="AK804" s="67"/>
      <c r="AL804" s="67"/>
      <c r="AM804" s="67"/>
      <c r="AN804" s="67"/>
      <c r="AO804" s="67"/>
      <c r="AP804" s="66"/>
      <c r="AQ804" s="66"/>
      <c r="AR804" s="66"/>
      <c r="AS804" s="66"/>
      <c r="AT804" s="66"/>
      <c r="AU804" s="66"/>
      <c r="AV804" s="66"/>
      <c r="AW804" s="66"/>
      <c r="AX804" s="66"/>
      <c r="AY804" s="66"/>
      <c r="AZ804" s="66"/>
      <c r="BA804" s="69"/>
      <c r="BB804" s="69"/>
      <c r="BC804" s="69"/>
      <c r="BD804" s="69"/>
    </row>
    <row r="805" spans="2:56" ht="21" customHeight="1" x14ac:dyDescent="0.25">
      <c r="B805" s="2"/>
      <c r="C805" s="8">
        <f>SUM(C801:C804)</f>
        <v>2</v>
      </c>
      <c r="F805" s="74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74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</row>
    <row r="806" spans="2:56" x14ac:dyDescent="0.25"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</row>
    <row r="807" spans="2:56" ht="15.75" x14ac:dyDescent="0.25">
      <c r="F807" s="82" t="s">
        <v>17</v>
      </c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3" t="s">
        <v>16</v>
      </c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79"/>
      <c r="AQ807" s="79"/>
      <c r="AR807" s="79"/>
      <c r="AS807" s="79"/>
      <c r="AT807" s="79"/>
      <c r="AU807" s="41"/>
      <c r="AV807" s="41"/>
      <c r="AW807" s="41"/>
      <c r="AX807" s="41"/>
      <c r="AY807" s="41"/>
      <c r="AZ807" s="41"/>
      <c r="BA807" s="41"/>
    </row>
    <row r="808" spans="2:56" ht="32.25" thickBot="1" x14ac:dyDescent="0.3">
      <c r="F808" s="81" t="s">
        <v>9</v>
      </c>
      <c r="G808" s="81"/>
      <c r="H808" s="81"/>
      <c r="I808" s="81"/>
      <c r="J808" s="81" t="s">
        <v>10</v>
      </c>
      <c r="K808" s="81"/>
      <c r="L808" s="81"/>
      <c r="M808" s="81"/>
      <c r="N808" s="81" t="s">
        <v>49</v>
      </c>
      <c r="O808" s="81"/>
      <c r="P808" s="81" t="s">
        <v>11</v>
      </c>
      <c r="Q808" s="81"/>
      <c r="R808" s="81"/>
      <c r="S808" s="81"/>
      <c r="T808" s="81"/>
      <c r="U808" s="81"/>
      <c r="V808" s="81"/>
      <c r="W808" s="81"/>
      <c r="X808" s="81" t="s">
        <v>9</v>
      </c>
      <c r="Y808" s="81"/>
      <c r="Z808" s="81"/>
      <c r="AA808" s="81"/>
      <c r="AB808" s="81" t="s">
        <v>10</v>
      </c>
      <c r="AC808" s="81"/>
      <c r="AD808" s="81"/>
      <c r="AE808" s="81"/>
      <c r="AF808" s="81" t="s">
        <v>49</v>
      </c>
      <c r="AG808" s="81"/>
      <c r="AH808" s="81" t="s">
        <v>11</v>
      </c>
      <c r="AI808" s="81"/>
      <c r="AJ808" s="81"/>
      <c r="AK808" s="81"/>
      <c r="AL808" s="81"/>
      <c r="AM808" s="81"/>
      <c r="AN808" s="81"/>
      <c r="AO808" s="81"/>
      <c r="AP808" s="70" t="s">
        <v>50</v>
      </c>
      <c r="AQ808" s="70" t="s">
        <v>57</v>
      </c>
      <c r="AR808" s="70" t="s">
        <v>63</v>
      </c>
      <c r="AS808" s="70" t="s">
        <v>64</v>
      </c>
      <c r="AT808" s="70" t="s">
        <v>61</v>
      </c>
      <c r="AU808" s="70" t="s">
        <v>54</v>
      </c>
      <c r="AV808" s="70" t="s">
        <v>19</v>
      </c>
      <c r="AW808" s="70" t="s">
        <v>58</v>
      </c>
      <c r="AX808" s="70" t="s">
        <v>51</v>
      </c>
      <c r="AY808" s="70" t="s">
        <v>53</v>
      </c>
      <c r="AZ808" s="70" t="s">
        <v>52</v>
      </c>
      <c r="BA808" s="70" t="s">
        <v>55</v>
      </c>
      <c r="BB808" s="70" t="s">
        <v>56</v>
      </c>
      <c r="BC808" s="70" t="s">
        <v>59</v>
      </c>
      <c r="BD808" s="70" t="s">
        <v>60</v>
      </c>
    </row>
    <row r="809" spans="2:56" ht="16.5" thickBot="1" x14ac:dyDescent="0.3">
      <c r="B809" s="16">
        <v>0.92708333333333603</v>
      </c>
      <c r="C809" s="7" t="s">
        <v>5</v>
      </c>
      <c r="E809" s="11"/>
      <c r="F809" s="75" t="s">
        <v>15</v>
      </c>
      <c r="G809" s="58" t="s">
        <v>12</v>
      </c>
      <c r="H809" s="58" t="s">
        <v>14</v>
      </c>
      <c r="I809" s="58" t="s">
        <v>13</v>
      </c>
      <c r="J809" s="58" t="s">
        <v>42</v>
      </c>
      <c r="K809" s="58" t="s">
        <v>41</v>
      </c>
      <c r="L809" s="58" t="s">
        <v>43</v>
      </c>
      <c r="M809" s="58" t="s">
        <v>44</v>
      </c>
      <c r="N809" s="58" t="s">
        <v>15</v>
      </c>
      <c r="O809" s="58" t="s">
        <v>14</v>
      </c>
      <c r="P809" s="58" t="s">
        <v>45</v>
      </c>
      <c r="Q809" s="58" t="s">
        <v>46</v>
      </c>
      <c r="R809" s="58" t="s">
        <v>42</v>
      </c>
      <c r="S809" s="58" t="s">
        <v>41</v>
      </c>
      <c r="T809" s="58" t="s">
        <v>47</v>
      </c>
      <c r="U809" s="58" t="s">
        <v>48</v>
      </c>
      <c r="V809" s="58" t="s">
        <v>43</v>
      </c>
      <c r="W809" s="58" t="s">
        <v>44</v>
      </c>
      <c r="X809" s="75" t="s">
        <v>15</v>
      </c>
      <c r="Y809" s="58" t="s">
        <v>12</v>
      </c>
      <c r="Z809" s="58" t="s">
        <v>14</v>
      </c>
      <c r="AA809" s="58" t="s">
        <v>13</v>
      </c>
      <c r="AB809" s="58" t="s">
        <v>42</v>
      </c>
      <c r="AC809" s="58" t="s">
        <v>41</v>
      </c>
      <c r="AD809" s="58" t="s">
        <v>43</v>
      </c>
      <c r="AE809" s="58" t="s">
        <v>44</v>
      </c>
      <c r="AF809" s="58" t="s">
        <v>15</v>
      </c>
      <c r="AG809" s="58" t="s">
        <v>14</v>
      </c>
      <c r="AH809" s="58" t="s">
        <v>45</v>
      </c>
      <c r="AI809" s="58" t="s">
        <v>46</v>
      </c>
      <c r="AJ809" s="58" t="s">
        <v>42</v>
      </c>
      <c r="AK809" s="58" t="s">
        <v>41</v>
      </c>
      <c r="AL809" s="58" t="s">
        <v>47</v>
      </c>
      <c r="AM809" s="58" t="s">
        <v>48</v>
      </c>
      <c r="AN809" s="58" t="s">
        <v>43</v>
      </c>
      <c r="AO809" s="58" t="s">
        <v>44</v>
      </c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</row>
    <row r="810" spans="2:56" ht="16.5" customHeight="1" thickBot="1" x14ac:dyDescent="0.3">
      <c r="B810" s="1" t="s">
        <v>0</v>
      </c>
      <c r="C810" s="13">
        <f>SUM(F810:W810)</f>
        <v>0</v>
      </c>
      <c r="E810" s="10" t="s">
        <v>0</v>
      </c>
      <c r="F810" s="71"/>
      <c r="G810" s="60"/>
      <c r="H810" s="60"/>
      <c r="I810" s="61"/>
      <c r="J810" s="59"/>
      <c r="K810" s="60"/>
      <c r="L810" s="60"/>
      <c r="M810" s="60"/>
      <c r="N810" s="59"/>
      <c r="O810" s="61"/>
      <c r="P810" s="59"/>
      <c r="Q810" s="60"/>
      <c r="R810" s="60"/>
      <c r="S810" s="60"/>
      <c r="T810" s="60"/>
      <c r="U810" s="60"/>
      <c r="V810" s="60"/>
      <c r="W810" s="61"/>
      <c r="X810" s="71"/>
      <c r="Y810" s="60"/>
      <c r="Z810" s="60"/>
      <c r="AA810" s="60"/>
      <c r="AB810" s="59"/>
      <c r="AC810" s="60"/>
      <c r="AD810" s="60"/>
      <c r="AE810" s="61"/>
      <c r="AF810" s="60"/>
      <c r="AG810" s="61"/>
      <c r="AH810" s="60"/>
      <c r="AI810" s="60"/>
      <c r="AJ810" s="60"/>
      <c r="AK810" s="60"/>
      <c r="AL810" s="60"/>
      <c r="AM810" s="60"/>
      <c r="AN810" s="60"/>
      <c r="AO810" s="60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62"/>
      <c r="BB810" s="62"/>
      <c r="BC810" s="62"/>
      <c r="BD810" s="62"/>
    </row>
    <row r="811" spans="2:56" ht="16.5" customHeight="1" thickBot="1" x14ac:dyDescent="0.3">
      <c r="B811" s="1" t="s">
        <v>1</v>
      </c>
      <c r="C811" s="14">
        <f t="shared" ref="C811:C813" si="89">SUM(F811:W811)</f>
        <v>0</v>
      </c>
      <c r="E811" s="1" t="s">
        <v>1</v>
      </c>
      <c r="F811" s="72"/>
      <c r="G811" s="41"/>
      <c r="H811" s="41"/>
      <c r="I811" s="64"/>
      <c r="J811" s="63"/>
      <c r="K811" s="41"/>
      <c r="L811" s="41"/>
      <c r="M811" s="41"/>
      <c r="N811" s="63"/>
      <c r="O811" s="64"/>
      <c r="P811" s="63"/>
      <c r="Q811" s="41"/>
      <c r="R811" s="41"/>
      <c r="S811" s="41"/>
      <c r="T811" s="41"/>
      <c r="U811" s="41"/>
      <c r="V811" s="41"/>
      <c r="W811" s="64"/>
      <c r="X811" s="72"/>
      <c r="Y811" s="41"/>
      <c r="Z811" s="41"/>
      <c r="AA811" s="41"/>
      <c r="AB811" s="63"/>
      <c r="AC811" s="41"/>
      <c r="AD811" s="41"/>
      <c r="AE811" s="64"/>
      <c r="AF811" s="41"/>
      <c r="AG811" s="64"/>
      <c r="AH811" s="41"/>
      <c r="AI811" s="41"/>
      <c r="AJ811" s="41"/>
      <c r="AK811" s="41"/>
      <c r="AL811" s="41"/>
      <c r="AM811" s="41"/>
      <c r="AN811" s="41"/>
      <c r="AO811" s="41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5"/>
      <c r="BB811" s="65"/>
      <c r="BC811" s="65"/>
      <c r="BD811" s="65"/>
    </row>
    <row r="812" spans="2:56" ht="16.5" customHeight="1" thickBot="1" x14ac:dyDescent="0.3">
      <c r="B812" s="1" t="s">
        <v>2</v>
      </c>
      <c r="C812" s="14">
        <f t="shared" si="89"/>
        <v>0</v>
      </c>
      <c r="E812" s="1" t="s">
        <v>2</v>
      </c>
      <c r="F812" s="72"/>
      <c r="G812" s="41"/>
      <c r="H812" s="41"/>
      <c r="I812" s="64"/>
      <c r="J812" s="63"/>
      <c r="K812" s="41"/>
      <c r="L812" s="41"/>
      <c r="M812" s="41"/>
      <c r="N812" s="63"/>
      <c r="O812" s="64"/>
      <c r="P812" s="63"/>
      <c r="Q812" s="41"/>
      <c r="R812" s="41"/>
      <c r="S812" s="41"/>
      <c r="T812" s="41"/>
      <c r="U812" s="41"/>
      <c r="V812" s="41"/>
      <c r="W812" s="64"/>
      <c r="X812" s="72"/>
      <c r="Y812" s="41"/>
      <c r="Z812" s="41"/>
      <c r="AA812" s="41"/>
      <c r="AB812" s="63"/>
      <c r="AC812" s="41"/>
      <c r="AD812" s="41"/>
      <c r="AE812" s="64"/>
      <c r="AF812" s="41"/>
      <c r="AG812" s="64"/>
      <c r="AH812" s="41"/>
      <c r="AI812" s="41"/>
      <c r="AJ812" s="41"/>
      <c r="AK812" s="41"/>
      <c r="AL812" s="41"/>
      <c r="AM812" s="41"/>
      <c r="AN812" s="41"/>
      <c r="AO812" s="41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5"/>
      <c r="BB812" s="65"/>
      <c r="BC812" s="65"/>
      <c r="BD812" s="65"/>
    </row>
    <row r="813" spans="2:56" ht="16.5" customHeight="1" thickBot="1" x14ac:dyDescent="0.3">
      <c r="B813" s="1" t="s">
        <v>3</v>
      </c>
      <c r="C813" s="15">
        <f t="shared" si="89"/>
        <v>0</v>
      </c>
      <c r="E813" s="1" t="s">
        <v>3</v>
      </c>
      <c r="F813" s="73"/>
      <c r="G813" s="67"/>
      <c r="H813" s="67"/>
      <c r="I813" s="68"/>
      <c r="J813" s="66"/>
      <c r="K813" s="67"/>
      <c r="L813" s="67"/>
      <c r="M813" s="67"/>
      <c r="N813" s="66"/>
      <c r="O813" s="68"/>
      <c r="P813" s="66"/>
      <c r="Q813" s="67"/>
      <c r="R813" s="67"/>
      <c r="S813" s="67"/>
      <c r="T813" s="67"/>
      <c r="U813" s="67"/>
      <c r="V813" s="67"/>
      <c r="W813" s="68"/>
      <c r="X813" s="73"/>
      <c r="Y813" s="67"/>
      <c r="Z813" s="67"/>
      <c r="AA813" s="67"/>
      <c r="AB813" s="66"/>
      <c r="AC813" s="67"/>
      <c r="AD813" s="67"/>
      <c r="AE813" s="68"/>
      <c r="AF813" s="67"/>
      <c r="AG813" s="68"/>
      <c r="AH813" s="67"/>
      <c r="AI813" s="67"/>
      <c r="AJ813" s="67"/>
      <c r="AK813" s="67"/>
      <c r="AL813" s="67"/>
      <c r="AM813" s="67"/>
      <c r="AN813" s="67"/>
      <c r="AO813" s="67"/>
      <c r="AP813" s="66"/>
      <c r="AQ813" s="66"/>
      <c r="AR813" s="66"/>
      <c r="AS813" s="66"/>
      <c r="AT813" s="66"/>
      <c r="AU813" s="66"/>
      <c r="AV813" s="66"/>
      <c r="AW813" s="66"/>
      <c r="AX813" s="66"/>
      <c r="AY813" s="66"/>
      <c r="AZ813" s="66"/>
      <c r="BA813" s="69"/>
      <c r="BB813" s="69"/>
      <c r="BC813" s="69"/>
      <c r="BD813" s="69"/>
    </row>
    <row r="814" spans="2:56" ht="21" customHeight="1" x14ac:dyDescent="0.25">
      <c r="B814" s="2"/>
      <c r="C814" s="8">
        <f>SUM(C810:C813)</f>
        <v>0</v>
      </c>
      <c r="F814" s="74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74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</row>
    <row r="815" spans="2:56" x14ac:dyDescent="0.25"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</row>
    <row r="816" spans="2:56" ht="15.75" x14ac:dyDescent="0.25">
      <c r="F816" s="82" t="s">
        <v>17</v>
      </c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3" t="s">
        <v>16</v>
      </c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79"/>
      <c r="AQ816" s="79"/>
      <c r="AR816" s="79"/>
      <c r="AS816" s="79"/>
      <c r="AT816" s="79"/>
      <c r="AU816" s="41"/>
      <c r="AV816" s="41"/>
      <c r="AW816" s="41"/>
      <c r="AX816" s="41"/>
      <c r="AY816" s="41"/>
      <c r="AZ816" s="41"/>
      <c r="BA816" s="41"/>
    </row>
    <row r="817" spans="2:56" ht="32.25" thickBot="1" x14ac:dyDescent="0.3">
      <c r="F817" s="81" t="s">
        <v>9</v>
      </c>
      <c r="G817" s="81"/>
      <c r="H817" s="81"/>
      <c r="I817" s="81"/>
      <c r="J817" s="81" t="s">
        <v>10</v>
      </c>
      <c r="K817" s="81"/>
      <c r="L817" s="81"/>
      <c r="M817" s="81"/>
      <c r="N817" s="81" t="s">
        <v>49</v>
      </c>
      <c r="O817" s="81"/>
      <c r="P817" s="81" t="s">
        <v>11</v>
      </c>
      <c r="Q817" s="81"/>
      <c r="R817" s="81"/>
      <c r="S817" s="81"/>
      <c r="T817" s="81"/>
      <c r="U817" s="81"/>
      <c r="V817" s="81"/>
      <c r="W817" s="81"/>
      <c r="X817" s="81" t="s">
        <v>9</v>
      </c>
      <c r="Y817" s="81"/>
      <c r="Z817" s="81"/>
      <c r="AA817" s="81"/>
      <c r="AB817" s="81" t="s">
        <v>10</v>
      </c>
      <c r="AC817" s="81"/>
      <c r="AD817" s="81"/>
      <c r="AE817" s="81"/>
      <c r="AF817" s="81" t="s">
        <v>49</v>
      </c>
      <c r="AG817" s="81"/>
      <c r="AH817" s="81" t="s">
        <v>11</v>
      </c>
      <c r="AI817" s="81"/>
      <c r="AJ817" s="81"/>
      <c r="AK817" s="81"/>
      <c r="AL817" s="81"/>
      <c r="AM817" s="81"/>
      <c r="AN817" s="81"/>
      <c r="AO817" s="81"/>
      <c r="AP817" s="70" t="s">
        <v>50</v>
      </c>
      <c r="AQ817" s="70" t="s">
        <v>57</v>
      </c>
      <c r="AR817" s="70" t="s">
        <v>63</v>
      </c>
      <c r="AS817" s="70" t="s">
        <v>64</v>
      </c>
      <c r="AT817" s="70" t="s">
        <v>61</v>
      </c>
      <c r="AU817" s="70" t="s">
        <v>54</v>
      </c>
      <c r="AV817" s="70" t="s">
        <v>19</v>
      </c>
      <c r="AW817" s="70" t="s">
        <v>58</v>
      </c>
      <c r="AX817" s="70" t="s">
        <v>51</v>
      </c>
      <c r="AY817" s="70" t="s">
        <v>53</v>
      </c>
      <c r="AZ817" s="70" t="s">
        <v>52</v>
      </c>
      <c r="BA817" s="70" t="s">
        <v>55</v>
      </c>
      <c r="BB817" s="70" t="s">
        <v>56</v>
      </c>
      <c r="BC817" s="70" t="s">
        <v>59</v>
      </c>
      <c r="BD817" s="70" t="s">
        <v>60</v>
      </c>
    </row>
    <row r="818" spans="2:56" ht="16.5" thickBot="1" x14ac:dyDescent="0.3">
      <c r="B818" s="16">
        <v>0.937500000000003</v>
      </c>
      <c r="C818" s="7" t="s">
        <v>5</v>
      </c>
      <c r="E818" s="11"/>
      <c r="F818" s="75" t="s">
        <v>15</v>
      </c>
      <c r="G818" s="58" t="s">
        <v>12</v>
      </c>
      <c r="H818" s="58" t="s">
        <v>14</v>
      </c>
      <c r="I818" s="58" t="s">
        <v>13</v>
      </c>
      <c r="J818" s="58" t="s">
        <v>42</v>
      </c>
      <c r="K818" s="58" t="s">
        <v>41</v>
      </c>
      <c r="L818" s="58" t="s">
        <v>43</v>
      </c>
      <c r="M818" s="58" t="s">
        <v>44</v>
      </c>
      <c r="N818" s="58" t="s">
        <v>15</v>
      </c>
      <c r="O818" s="58" t="s">
        <v>14</v>
      </c>
      <c r="P818" s="58" t="s">
        <v>45</v>
      </c>
      <c r="Q818" s="58" t="s">
        <v>46</v>
      </c>
      <c r="R818" s="58" t="s">
        <v>42</v>
      </c>
      <c r="S818" s="58" t="s">
        <v>41</v>
      </c>
      <c r="T818" s="58" t="s">
        <v>47</v>
      </c>
      <c r="U818" s="58" t="s">
        <v>48</v>
      </c>
      <c r="V818" s="58" t="s">
        <v>43</v>
      </c>
      <c r="W818" s="58" t="s">
        <v>44</v>
      </c>
      <c r="X818" s="75" t="s">
        <v>15</v>
      </c>
      <c r="Y818" s="58" t="s">
        <v>12</v>
      </c>
      <c r="Z818" s="58" t="s">
        <v>14</v>
      </c>
      <c r="AA818" s="58" t="s">
        <v>13</v>
      </c>
      <c r="AB818" s="58" t="s">
        <v>42</v>
      </c>
      <c r="AC818" s="58" t="s">
        <v>41</v>
      </c>
      <c r="AD818" s="58" t="s">
        <v>43</v>
      </c>
      <c r="AE818" s="58" t="s">
        <v>44</v>
      </c>
      <c r="AF818" s="58" t="s">
        <v>15</v>
      </c>
      <c r="AG818" s="58" t="s">
        <v>14</v>
      </c>
      <c r="AH818" s="58" t="s">
        <v>45</v>
      </c>
      <c r="AI818" s="58" t="s">
        <v>46</v>
      </c>
      <c r="AJ818" s="58" t="s">
        <v>42</v>
      </c>
      <c r="AK818" s="58" t="s">
        <v>41</v>
      </c>
      <c r="AL818" s="58" t="s">
        <v>47</v>
      </c>
      <c r="AM818" s="58" t="s">
        <v>48</v>
      </c>
      <c r="AN818" s="58" t="s">
        <v>43</v>
      </c>
      <c r="AO818" s="58" t="s">
        <v>44</v>
      </c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</row>
    <row r="819" spans="2:56" ht="16.5" customHeight="1" thickBot="1" x14ac:dyDescent="0.3">
      <c r="B819" s="1" t="s">
        <v>0</v>
      </c>
      <c r="C819" s="13">
        <f>SUM(F819:W819)</f>
        <v>0</v>
      </c>
      <c r="E819" s="10" t="s">
        <v>0</v>
      </c>
      <c r="F819" s="71"/>
      <c r="G819" s="60"/>
      <c r="H819" s="60"/>
      <c r="I819" s="61"/>
      <c r="J819" s="59"/>
      <c r="K819" s="60"/>
      <c r="L819" s="60"/>
      <c r="M819" s="60"/>
      <c r="N819" s="59"/>
      <c r="O819" s="61"/>
      <c r="P819" s="59"/>
      <c r="Q819" s="60"/>
      <c r="R819" s="60"/>
      <c r="S819" s="60"/>
      <c r="T819" s="60"/>
      <c r="U819" s="60"/>
      <c r="V819" s="60"/>
      <c r="W819" s="61"/>
      <c r="X819" s="71"/>
      <c r="Y819" s="60"/>
      <c r="Z819" s="60"/>
      <c r="AA819" s="60"/>
      <c r="AB819" s="59"/>
      <c r="AC819" s="60"/>
      <c r="AD819" s="60"/>
      <c r="AE819" s="61"/>
      <c r="AF819" s="60"/>
      <c r="AG819" s="61"/>
      <c r="AH819" s="60"/>
      <c r="AI819" s="60"/>
      <c r="AJ819" s="60"/>
      <c r="AK819" s="60"/>
      <c r="AL819" s="60"/>
      <c r="AM819" s="60"/>
      <c r="AN819" s="60"/>
      <c r="AO819" s="60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62"/>
      <c r="BB819" s="62"/>
      <c r="BC819" s="62"/>
      <c r="BD819" s="62"/>
    </row>
    <row r="820" spans="2:56" ht="16.5" customHeight="1" thickBot="1" x14ac:dyDescent="0.3">
      <c r="B820" s="1" t="s">
        <v>1</v>
      </c>
      <c r="C820" s="14">
        <f t="shared" ref="C820:C822" si="90">SUM(F820:W820)</f>
        <v>0</v>
      </c>
      <c r="E820" s="1" t="s">
        <v>1</v>
      </c>
      <c r="F820" s="72"/>
      <c r="G820" s="41"/>
      <c r="H820" s="41"/>
      <c r="I820" s="64"/>
      <c r="J820" s="63"/>
      <c r="K820" s="41"/>
      <c r="L820" s="41"/>
      <c r="M820" s="41"/>
      <c r="N820" s="63"/>
      <c r="O820" s="64"/>
      <c r="P820" s="63"/>
      <c r="Q820" s="41"/>
      <c r="R820" s="41"/>
      <c r="S820" s="41"/>
      <c r="T820" s="41"/>
      <c r="U820" s="41"/>
      <c r="V820" s="41"/>
      <c r="W820" s="64"/>
      <c r="X820" s="72"/>
      <c r="Y820" s="41"/>
      <c r="Z820" s="41"/>
      <c r="AA820" s="41"/>
      <c r="AB820" s="63"/>
      <c r="AC820" s="41"/>
      <c r="AD820" s="41"/>
      <c r="AE820" s="64"/>
      <c r="AF820" s="41"/>
      <c r="AG820" s="64"/>
      <c r="AH820" s="41"/>
      <c r="AI820" s="41"/>
      <c r="AJ820" s="41"/>
      <c r="AK820" s="41"/>
      <c r="AL820" s="41"/>
      <c r="AM820" s="41"/>
      <c r="AN820" s="41"/>
      <c r="AO820" s="41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5"/>
      <c r="BB820" s="65"/>
      <c r="BC820" s="65"/>
      <c r="BD820" s="65"/>
    </row>
    <row r="821" spans="2:56" ht="16.5" customHeight="1" thickBot="1" x14ac:dyDescent="0.3">
      <c r="B821" s="1" t="s">
        <v>2</v>
      </c>
      <c r="C821" s="14">
        <f t="shared" si="90"/>
        <v>0</v>
      </c>
      <c r="E821" s="1" t="s">
        <v>2</v>
      </c>
      <c r="F821" s="72"/>
      <c r="G821" s="41"/>
      <c r="H821" s="41"/>
      <c r="I821" s="64"/>
      <c r="J821" s="63"/>
      <c r="K821" s="41"/>
      <c r="L821" s="41"/>
      <c r="M821" s="41"/>
      <c r="N821" s="63"/>
      <c r="O821" s="64"/>
      <c r="P821" s="63"/>
      <c r="Q821" s="41"/>
      <c r="R821" s="41"/>
      <c r="S821" s="41"/>
      <c r="T821" s="41"/>
      <c r="U821" s="41"/>
      <c r="V821" s="41"/>
      <c r="W821" s="64"/>
      <c r="X821" s="72"/>
      <c r="Y821" s="41"/>
      <c r="Z821" s="41"/>
      <c r="AA821" s="41"/>
      <c r="AB821" s="63"/>
      <c r="AC821" s="41"/>
      <c r="AD821" s="41"/>
      <c r="AE821" s="64"/>
      <c r="AF821" s="41"/>
      <c r="AG821" s="64"/>
      <c r="AH821" s="41"/>
      <c r="AI821" s="41"/>
      <c r="AJ821" s="41"/>
      <c r="AK821" s="41"/>
      <c r="AL821" s="41"/>
      <c r="AM821" s="41"/>
      <c r="AN821" s="41"/>
      <c r="AO821" s="41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5"/>
      <c r="BB821" s="65"/>
      <c r="BC821" s="65"/>
      <c r="BD821" s="65"/>
    </row>
    <row r="822" spans="2:56" ht="16.5" customHeight="1" thickBot="1" x14ac:dyDescent="0.3">
      <c r="B822" s="1" t="s">
        <v>3</v>
      </c>
      <c r="C822" s="15">
        <f t="shared" si="90"/>
        <v>0</v>
      </c>
      <c r="E822" s="1" t="s">
        <v>3</v>
      </c>
      <c r="F822" s="73"/>
      <c r="G822" s="67"/>
      <c r="H822" s="67"/>
      <c r="I822" s="68"/>
      <c r="J822" s="66"/>
      <c r="K822" s="67"/>
      <c r="L822" s="67"/>
      <c r="M822" s="67"/>
      <c r="N822" s="66"/>
      <c r="O822" s="68"/>
      <c r="P822" s="66"/>
      <c r="Q822" s="67"/>
      <c r="R822" s="67"/>
      <c r="S822" s="67"/>
      <c r="T822" s="67"/>
      <c r="U822" s="67"/>
      <c r="V822" s="67"/>
      <c r="W822" s="68"/>
      <c r="X822" s="73"/>
      <c r="Y822" s="67"/>
      <c r="Z822" s="67"/>
      <c r="AA822" s="67"/>
      <c r="AB822" s="66"/>
      <c r="AC822" s="67"/>
      <c r="AD822" s="67"/>
      <c r="AE822" s="68"/>
      <c r="AF822" s="67"/>
      <c r="AG822" s="68"/>
      <c r="AH822" s="67"/>
      <c r="AI822" s="67"/>
      <c r="AJ822" s="67"/>
      <c r="AK822" s="67"/>
      <c r="AL822" s="67"/>
      <c r="AM822" s="67"/>
      <c r="AN822" s="67"/>
      <c r="AO822" s="67"/>
      <c r="AP822" s="66"/>
      <c r="AQ822" s="66"/>
      <c r="AR822" s="66"/>
      <c r="AS822" s="66"/>
      <c r="AT822" s="66"/>
      <c r="AU822" s="66"/>
      <c r="AV822" s="66"/>
      <c r="AW822" s="66"/>
      <c r="AX822" s="66"/>
      <c r="AY822" s="66"/>
      <c r="AZ822" s="66"/>
      <c r="BA822" s="69"/>
      <c r="BB822" s="69"/>
      <c r="BC822" s="69"/>
      <c r="BD822" s="69"/>
    </row>
    <row r="823" spans="2:56" ht="21" customHeight="1" x14ac:dyDescent="0.25">
      <c r="B823" s="2"/>
      <c r="C823" s="8">
        <f>SUM(C819:C822)</f>
        <v>0</v>
      </c>
      <c r="F823" s="74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74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</row>
    <row r="824" spans="2:56" x14ac:dyDescent="0.25"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</row>
    <row r="825" spans="2:56" ht="15.75" x14ac:dyDescent="0.25">
      <c r="F825" s="82" t="s">
        <v>17</v>
      </c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3" t="s">
        <v>16</v>
      </c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79"/>
      <c r="AQ825" s="79"/>
      <c r="AR825" s="79"/>
      <c r="AS825" s="79"/>
      <c r="AT825" s="79"/>
      <c r="AU825" s="41"/>
      <c r="AV825" s="41"/>
      <c r="AW825" s="41"/>
      <c r="AX825" s="41"/>
      <c r="AY825" s="41"/>
      <c r="AZ825" s="41"/>
      <c r="BA825" s="41"/>
    </row>
    <row r="826" spans="2:56" ht="32.25" thickBot="1" x14ac:dyDescent="0.3">
      <c r="F826" s="81" t="s">
        <v>9</v>
      </c>
      <c r="G826" s="81"/>
      <c r="H826" s="81"/>
      <c r="I826" s="81"/>
      <c r="J826" s="81" t="s">
        <v>10</v>
      </c>
      <c r="K826" s="81"/>
      <c r="L826" s="81"/>
      <c r="M826" s="81"/>
      <c r="N826" s="81" t="s">
        <v>49</v>
      </c>
      <c r="O826" s="81"/>
      <c r="P826" s="81" t="s">
        <v>11</v>
      </c>
      <c r="Q826" s="81"/>
      <c r="R826" s="81"/>
      <c r="S826" s="81"/>
      <c r="T826" s="81"/>
      <c r="U826" s="81"/>
      <c r="V826" s="81"/>
      <c r="W826" s="81"/>
      <c r="X826" s="81" t="s">
        <v>9</v>
      </c>
      <c r="Y826" s="81"/>
      <c r="Z826" s="81"/>
      <c r="AA826" s="81"/>
      <c r="AB826" s="81" t="s">
        <v>10</v>
      </c>
      <c r="AC826" s="81"/>
      <c r="AD826" s="81"/>
      <c r="AE826" s="81"/>
      <c r="AF826" s="81" t="s">
        <v>49</v>
      </c>
      <c r="AG826" s="81"/>
      <c r="AH826" s="81" t="s">
        <v>11</v>
      </c>
      <c r="AI826" s="81"/>
      <c r="AJ826" s="81"/>
      <c r="AK826" s="81"/>
      <c r="AL826" s="81"/>
      <c r="AM826" s="81"/>
      <c r="AN826" s="81"/>
      <c r="AO826" s="81"/>
      <c r="AP826" s="70" t="s">
        <v>50</v>
      </c>
      <c r="AQ826" s="70" t="s">
        <v>57</v>
      </c>
      <c r="AR826" s="70" t="s">
        <v>63</v>
      </c>
      <c r="AS826" s="70" t="s">
        <v>64</v>
      </c>
      <c r="AT826" s="70" t="s">
        <v>61</v>
      </c>
      <c r="AU826" s="70" t="s">
        <v>54</v>
      </c>
      <c r="AV826" s="70" t="s">
        <v>19</v>
      </c>
      <c r="AW826" s="70" t="s">
        <v>58</v>
      </c>
      <c r="AX826" s="70" t="s">
        <v>51</v>
      </c>
      <c r="AY826" s="70" t="s">
        <v>53</v>
      </c>
      <c r="AZ826" s="70" t="s">
        <v>52</v>
      </c>
      <c r="BA826" s="70" t="s">
        <v>55</v>
      </c>
      <c r="BB826" s="70" t="s">
        <v>56</v>
      </c>
      <c r="BC826" s="70" t="s">
        <v>59</v>
      </c>
      <c r="BD826" s="70" t="s">
        <v>60</v>
      </c>
    </row>
    <row r="827" spans="2:56" ht="16.5" thickBot="1" x14ac:dyDescent="0.3">
      <c r="B827" s="16">
        <v>0.94791666666666996</v>
      </c>
      <c r="C827" s="7" t="s">
        <v>5</v>
      </c>
      <c r="E827" s="11"/>
      <c r="F827" s="75" t="s">
        <v>15</v>
      </c>
      <c r="G827" s="58" t="s">
        <v>12</v>
      </c>
      <c r="H827" s="58" t="s">
        <v>14</v>
      </c>
      <c r="I827" s="58" t="s">
        <v>13</v>
      </c>
      <c r="J827" s="58" t="s">
        <v>42</v>
      </c>
      <c r="K827" s="58" t="s">
        <v>41</v>
      </c>
      <c r="L827" s="58" t="s">
        <v>43</v>
      </c>
      <c r="M827" s="58" t="s">
        <v>44</v>
      </c>
      <c r="N827" s="58" t="s">
        <v>15</v>
      </c>
      <c r="O827" s="58" t="s">
        <v>14</v>
      </c>
      <c r="P827" s="58" t="s">
        <v>45</v>
      </c>
      <c r="Q827" s="58" t="s">
        <v>46</v>
      </c>
      <c r="R827" s="58" t="s">
        <v>42</v>
      </c>
      <c r="S827" s="58" t="s">
        <v>41</v>
      </c>
      <c r="T827" s="58" t="s">
        <v>47</v>
      </c>
      <c r="U827" s="58" t="s">
        <v>48</v>
      </c>
      <c r="V827" s="58" t="s">
        <v>43</v>
      </c>
      <c r="W827" s="58" t="s">
        <v>44</v>
      </c>
      <c r="X827" s="75" t="s">
        <v>15</v>
      </c>
      <c r="Y827" s="58" t="s">
        <v>12</v>
      </c>
      <c r="Z827" s="58" t="s">
        <v>14</v>
      </c>
      <c r="AA827" s="58" t="s">
        <v>13</v>
      </c>
      <c r="AB827" s="58" t="s">
        <v>42</v>
      </c>
      <c r="AC827" s="58" t="s">
        <v>41</v>
      </c>
      <c r="AD827" s="58" t="s">
        <v>43</v>
      </c>
      <c r="AE827" s="58" t="s">
        <v>44</v>
      </c>
      <c r="AF827" s="58" t="s">
        <v>15</v>
      </c>
      <c r="AG827" s="58" t="s">
        <v>14</v>
      </c>
      <c r="AH827" s="58" t="s">
        <v>45</v>
      </c>
      <c r="AI827" s="58" t="s">
        <v>46</v>
      </c>
      <c r="AJ827" s="58" t="s">
        <v>42</v>
      </c>
      <c r="AK827" s="58" t="s">
        <v>41</v>
      </c>
      <c r="AL827" s="58" t="s">
        <v>47</v>
      </c>
      <c r="AM827" s="58" t="s">
        <v>48</v>
      </c>
      <c r="AN827" s="58" t="s">
        <v>43</v>
      </c>
      <c r="AO827" s="58" t="s">
        <v>44</v>
      </c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</row>
    <row r="828" spans="2:56" ht="16.5" customHeight="1" thickBot="1" x14ac:dyDescent="0.3">
      <c r="B828" s="1" t="s">
        <v>0</v>
      </c>
      <c r="C828" s="13">
        <f>SUM(F828:W828)</f>
        <v>0</v>
      </c>
      <c r="E828" s="10" t="s">
        <v>0</v>
      </c>
      <c r="F828" s="71"/>
      <c r="G828" s="60"/>
      <c r="H828" s="60"/>
      <c r="I828" s="61"/>
      <c r="J828" s="59"/>
      <c r="K828" s="60"/>
      <c r="L828" s="60"/>
      <c r="M828" s="60"/>
      <c r="N828" s="59"/>
      <c r="O828" s="61"/>
      <c r="P828" s="59"/>
      <c r="Q828" s="60"/>
      <c r="R828" s="60"/>
      <c r="S828" s="60"/>
      <c r="T828" s="60"/>
      <c r="U828" s="60"/>
      <c r="V828" s="60"/>
      <c r="W828" s="61"/>
      <c r="X828" s="71"/>
      <c r="Y828" s="60"/>
      <c r="Z828" s="60"/>
      <c r="AA828" s="60"/>
      <c r="AB828" s="59"/>
      <c r="AC828" s="60"/>
      <c r="AD828" s="60"/>
      <c r="AE828" s="61"/>
      <c r="AF828" s="60"/>
      <c r="AG828" s="61"/>
      <c r="AH828" s="60"/>
      <c r="AI828" s="60"/>
      <c r="AJ828" s="60"/>
      <c r="AK828" s="60"/>
      <c r="AL828" s="60"/>
      <c r="AM828" s="60"/>
      <c r="AN828" s="60"/>
      <c r="AO828" s="60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62"/>
      <c r="BB828" s="62"/>
      <c r="BC828" s="62"/>
      <c r="BD828" s="62"/>
    </row>
    <row r="829" spans="2:56" ht="16.5" customHeight="1" thickBot="1" x14ac:dyDescent="0.3">
      <c r="B829" s="1" t="s">
        <v>1</v>
      </c>
      <c r="C829" s="14">
        <f t="shared" ref="C829:C831" si="91">SUM(F829:W829)</f>
        <v>0</v>
      </c>
      <c r="E829" s="1" t="s">
        <v>1</v>
      </c>
      <c r="F829" s="72"/>
      <c r="G829" s="41"/>
      <c r="H829" s="41"/>
      <c r="I829" s="64"/>
      <c r="J829" s="63"/>
      <c r="K829" s="41"/>
      <c r="L829" s="41"/>
      <c r="M829" s="41"/>
      <c r="N829" s="63"/>
      <c r="O829" s="64"/>
      <c r="P829" s="63"/>
      <c r="Q829" s="41"/>
      <c r="R829" s="41"/>
      <c r="S829" s="41"/>
      <c r="T829" s="41"/>
      <c r="U829" s="41"/>
      <c r="V829" s="41"/>
      <c r="W829" s="64"/>
      <c r="X829" s="72"/>
      <c r="Y829" s="41"/>
      <c r="Z829" s="41"/>
      <c r="AA829" s="41"/>
      <c r="AB829" s="63"/>
      <c r="AC829" s="41"/>
      <c r="AD829" s="41"/>
      <c r="AE829" s="64"/>
      <c r="AF829" s="41"/>
      <c r="AG829" s="64"/>
      <c r="AH829" s="41"/>
      <c r="AI829" s="41"/>
      <c r="AJ829" s="41"/>
      <c r="AK829" s="41"/>
      <c r="AL829" s="41"/>
      <c r="AM829" s="41"/>
      <c r="AN829" s="41"/>
      <c r="AO829" s="41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5"/>
      <c r="BB829" s="65"/>
      <c r="BC829" s="65"/>
      <c r="BD829" s="65"/>
    </row>
    <row r="830" spans="2:56" ht="16.5" customHeight="1" thickBot="1" x14ac:dyDescent="0.3">
      <c r="B830" s="1" t="s">
        <v>2</v>
      </c>
      <c r="C830" s="14">
        <f t="shared" si="91"/>
        <v>0</v>
      </c>
      <c r="E830" s="1" t="s">
        <v>2</v>
      </c>
      <c r="F830" s="72"/>
      <c r="G830" s="41"/>
      <c r="H830" s="41"/>
      <c r="I830" s="64"/>
      <c r="J830" s="63"/>
      <c r="K830" s="41"/>
      <c r="L830" s="41"/>
      <c r="M830" s="41"/>
      <c r="N830" s="63"/>
      <c r="O830" s="64"/>
      <c r="P830" s="63"/>
      <c r="Q830" s="41"/>
      <c r="R830" s="41"/>
      <c r="S830" s="41"/>
      <c r="T830" s="41"/>
      <c r="U830" s="41"/>
      <c r="V830" s="41"/>
      <c r="W830" s="64"/>
      <c r="X830" s="72"/>
      <c r="Y830" s="41"/>
      <c r="Z830" s="41"/>
      <c r="AA830" s="41"/>
      <c r="AB830" s="63"/>
      <c r="AC830" s="41"/>
      <c r="AD830" s="41"/>
      <c r="AE830" s="64"/>
      <c r="AF830" s="41"/>
      <c r="AG830" s="64"/>
      <c r="AH830" s="41"/>
      <c r="AI830" s="41"/>
      <c r="AJ830" s="41"/>
      <c r="AK830" s="41"/>
      <c r="AL830" s="41"/>
      <c r="AM830" s="41"/>
      <c r="AN830" s="41"/>
      <c r="AO830" s="41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5"/>
      <c r="BB830" s="65"/>
      <c r="BC830" s="65"/>
      <c r="BD830" s="65"/>
    </row>
    <row r="831" spans="2:56" ht="16.5" customHeight="1" thickBot="1" x14ac:dyDescent="0.3">
      <c r="B831" s="1" t="s">
        <v>3</v>
      </c>
      <c r="C831" s="15">
        <f t="shared" si="91"/>
        <v>0</v>
      </c>
      <c r="E831" s="1" t="s">
        <v>3</v>
      </c>
      <c r="F831" s="73"/>
      <c r="G831" s="67"/>
      <c r="H831" s="67"/>
      <c r="I831" s="68"/>
      <c r="J831" s="66"/>
      <c r="K831" s="67"/>
      <c r="L831" s="67"/>
      <c r="M831" s="67"/>
      <c r="N831" s="66"/>
      <c r="O831" s="68"/>
      <c r="P831" s="66"/>
      <c r="Q831" s="67"/>
      <c r="R831" s="67"/>
      <c r="S831" s="67"/>
      <c r="T831" s="67"/>
      <c r="U831" s="67"/>
      <c r="V831" s="67"/>
      <c r="W831" s="68"/>
      <c r="X831" s="73"/>
      <c r="Y831" s="67"/>
      <c r="Z831" s="67"/>
      <c r="AA831" s="67"/>
      <c r="AB831" s="66"/>
      <c r="AC831" s="67"/>
      <c r="AD831" s="67"/>
      <c r="AE831" s="68"/>
      <c r="AF831" s="67"/>
      <c r="AG831" s="68"/>
      <c r="AH831" s="67"/>
      <c r="AI831" s="67"/>
      <c r="AJ831" s="67"/>
      <c r="AK831" s="67"/>
      <c r="AL831" s="67"/>
      <c r="AM831" s="67"/>
      <c r="AN831" s="67"/>
      <c r="AO831" s="67"/>
      <c r="AP831" s="66"/>
      <c r="AQ831" s="66"/>
      <c r="AR831" s="66"/>
      <c r="AS831" s="66"/>
      <c r="AT831" s="66"/>
      <c r="AU831" s="66"/>
      <c r="AV831" s="66"/>
      <c r="AW831" s="66"/>
      <c r="AX831" s="66"/>
      <c r="AY831" s="66"/>
      <c r="AZ831" s="66"/>
      <c r="BA831" s="69"/>
      <c r="BB831" s="69"/>
      <c r="BC831" s="69"/>
      <c r="BD831" s="69"/>
    </row>
    <row r="832" spans="2:56" ht="21" customHeight="1" x14ac:dyDescent="0.25">
      <c r="B832" s="2"/>
      <c r="C832" s="8">
        <f>SUM(C828:C831)</f>
        <v>0</v>
      </c>
      <c r="F832" s="74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74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</row>
    <row r="833" spans="2:57" x14ac:dyDescent="0.25"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</row>
    <row r="834" spans="2:57" ht="15.75" x14ac:dyDescent="0.25">
      <c r="F834" s="82" t="s">
        <v>17</v>
      </c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3" t="s">
        <v>16</v>
      </c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79"/>
      <c r="AQ834" s="79"/>
      <c r="AR834" s="79"/>
      <c r="AS834" s="79"/>
      <c r="AT834" s="79"/>
      <c r="AU834" s="41"/>
      <c r="AV834" s="41"/>
      <c r="AW834" s="41"/>
      <c r="AX834" s="41"/>
      <c r="AY834" s="41"/>
      <c r="AZ834" s="41"/>
      <c r="BA834" s="41"/>
    </row>
    <row r="835" spans="2:57" ht="32.25" thickBot="1" x14ac:dyDescent="0.3">
      <c r="F835" s="81" t="s">
        <v>9</v>
      </c>
      <c r="G835" s="81"/>
      <c r="H835" s="81"/>
      <c r="I835" s="81"/>
      <c r="J835" s="81" t="s">
        <v>10</v>
      </c>
      <c r="K835" s="81"/>
      <c r="L835" s="81"/>
      <c r="M835" s="81"/>
      <c r="N835" s="81" t="s">
        <v>49</v>
      </c>
      <c r="O835" s="81"/>
      <c r="P835" s="81" t="s">
        <v>11</v>
      </c>
      <c r="Q835" s="81"/>
      <c r="R835" s="81"/>
      <c r="S835" s="81"/>
      <c r="T835" s="81"/>
      <c r="U835" s="81"/>
      <c r="V835" s="81"/>
      <c r="W835" s="81"/>
      <c r="X835" s="81" t="s">
        <v>9</v>
      </c>
      <c r="Y835" s="81"/>
      <c r="Z835" s="81"/>
      <c r="AA835" s="81"/>
      <c r="AB835" s="81" t="s">
        <v>10</v>
      </c>
      <c r="AC835" s="81"/>
      <c r="AD835" s="81"/>
      <c r="AE835" s="81"/>
      <c r="AF835" s="81" t="s">
        <v>49</v>
      </c>
      <c r="AG835" s="81"/>
      <c r="AH835" s="81" t="s">
        <v>11</v>
      </c>
      <c r="AI835" s="81"/>
      <c r="AJ835" s="81"/>
      <c r="AK835" s="81"/>
      <c r="AL835" s="81"/>
      <c r="AM835" s="81"/>
      <c r="AN835" s="81"/>
      <c r="AO835" s="81"/>
      <c r="AP835" s="70" t="s">
        <v>50</v>
      </c>
      <c r="AQ835" s="70" t="s">
        <v>57</v>
      </c>
      <c r="AR835" s="70" t="s">
        <v>63</v>
      </c>
      <c r="AS835" s="70" t="s">
        <v>64</v>
      </c>
      <c r="AT835" s="70" t="s">
        <v>61</v>
      </c>
      <c r="AU835" s="70" t="s">
        <v>54</v>
      </c>
      <c r="AV835" s="70" t="s">
        <v>19</v>
      </c>
      <c r="AW835" s="70" t="s">
        <v>58</v>
      </c>
      <c r="AX835" s="70" t="s">
        <v>51</v>
      </c>
      <c r="AY835" s="70" t="s">
        <v>53</v>
      </c>
      <c r="AZ835" s="70" t="s">
        <v>52</v>
      </c>
      <c r="BA835" s="70" t="s">
        <v>55</v>
      </c>
      <c r="BB835" s="70" t="s">
        <v>56</v>
      </c>
      <c r="BC835" s="70" t="s">
        <v>59</v>
      </c>
      <c r="BD835" s="70" t="s">
        <v>60</v>
      </c>
    </row>
    <row r="836" spans="2:57" ht="16.5" thickBot="1" x14ac:dyDescent="0.3">
      <c r="B836" s="17">
        <v>0.95833333333333703</v>
      </c>
      <c r="C836" s="7" t="s">
        <v>5</v>
      </c>
      <c r="E836" s="11"/>
      <c r="F836" s="75" t="s">
        <v>15</v>
      </c>
      <c r="G836" s="58" t="s">
        <v>12</v>
      </c>
      <c r="H836" s="58" t="s">
        <v>14</v>
      </c>
      <c r="I836" s="58" t="s">
        <v>13</v>
      </c>
      <c r="J836" s="58" t="s">
        <v>42</v>
      </c>
      <c r="K836" s="58" t="s">
        <v>41</v>
      </c>
      <c r="L836" s="58" t="s">
        <v>43</v>
      </c>
      <c r="M836" s="58" t="s">
        <v>44</v>
      </c>
      <c r="N836" s="58" t="s">
        <v>15</v>
      </c>
      <c r="O836" s="58" t="s">
        <v>14</v>
      </c>
      <c r="P836" s="58" t="s">
        <v>45</v>
      </c>
      <c r="Q836" s="58" t="s">
        <v>46</v>
      </c>
      <c r="R836" s="58" t="s">
        <v>42</v>
      </c>
      <c r="S836" s="58" t="s">
        <v>41</v>
      </c>
      <c r="T836" s="58" t="s">
        <v>47</v>
      </c>
      <c r="U836" s="58" t="s">
        <v>48</v>
      </c>
      <c r="V836" s="58" t="s">
        <v>43</v>
      </c>
      <c r="W836" s="58" t="s">
        <v>44</v>
      </c>
      <c r="X836" s="75" t="s">
        <v>15</v>
      </c>
      <c r="Y836" s="58" t="s">
        <v>12</v>
      </c>
      <c r="Z836" s="58" t="s">
        <v>14</v>
      </c>
      <c r="AA836" s="58" t="s">
        <v>13</v>
      </c>
      <c r="AB836" s="58" t="s">
        <v>42</v>
      </c>
      <c r="AC836" s="58" t="s">
        <v>41</v>
      </c>
      <c r="AD836" s="58" t="s">
        <v>43</v>
      </c>
      <c r="AE836" s="58" t="s">
        <v>44</v>
      </c>
      <c r="AF836" s="58" t="s">
        <v>15</v>
      </c>
      <c r="AG836" s="58" t="s">
        <v>14</v>
      </c>
      <c r="AH836" s="58" t="s">
        <v>45</v>
      </c>
      <c r="AI836" s="58" t="s">
        <v>46</v>
      </c>
      <c r="AJ836" s="58" t="s">
        <v>42</v>
      </c>
      <c r="AK836" s="58" t="s">
        <v>41</v>
      </c>
      <c r="AL836" s="58" t="s">
        <v>47</v>
      </c>
      <c r="AM836" s="58" t="s">
        <v>48</v>
      </c>
      <c r="AN836" s="58" t="s">
        <v>43</v>
      </c>
      <c r="AO836" s="58" t="s">
        <v>44</v>
      </c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</row>
    <row r="837" spans="2:57" ht="16.5" customHeight="1" thickBot="1" x14ac:dyDescent="0.3">
      <c r="B837" s="1" t="s">
        <v>0</v>
      </c>
      <c r="C837" s="13">
        <f>SUM(F837:W837)</f>
        <v>0</v>
      </c>
      <c r="E837" s="10" t="s">
        <v>0</v>
      </c>
      <c r="F837" s="71"/>
      <c r="G837" s="60"/>
      <c r="H837" s="60"/>
      <c r="I837" s="61"/>
      <c r="J837" s="59"/>
      <c r="K837" s="60"/>
      <c r="L837" s="60"/>
      <c r="M837" s="60"/>
      <c r="N837" s="59"/>
      <c r="O837" s="61"/>
      <c r="P837" s="59"/>
      <c r="Q837" s="60"/>
      <c r="R837" s="60"/>
      <c r="S837" s="60"/>
      <c r="T837" s="60"/>
      <c r="U837" s="60"/>
      <c r="V837" s="60"/>
      <c r="W837" s="61"/>
      <c r="X837" s="71"/>
      <c r="Y837" s="60"/>
      <c r="Z837" s="60"/>
      <c r="AA837" s="60"/>
      <c r="AB837" s="59"/>
      <c r="AC837" s="60"/>
      <c r="AD837" s="60"/>
      <c r="AE837" s="61"/>
      <c r="AF837" s="60"/>
      <c r="AG837" s="61"/>
      <c r="AH837" s="60"/>
      <c r="AI837" s="60"/>
      <c r="AJ837" s="60"/>
      <c r="AK837" s="60"/>
      <c r="AL837" s="60"/>
      <c r="AM837" s="60"/>
      <c r="AN837" s="60"/>
      <c r="AO837" s="60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62"/>
      <c r="BB837" s="62"/>
      <c r="BC837" s="62"/>
      <c r="BD837" s="62"/>
    </row>
    <row r="838" spans="2:57" ht="16.5" customHeight="1" thickBot="1" x14ac:dyDescent="0.3">
      <c r="B838" s="1" t="s">
        <v>1</v>
      </c>
      <c r="C838" s="14">
        <f t="shared" ref="C838:C840" si="92">SUM(F838:W838)</f>
        <v>0</v>
      </c>
      <c r="E838" s="1" t="s">
        <v>1</v>
      </c>
      <c r="F838" s="72"/>
      <c r="G838" s="41"/>
      <c r="H838" s="41"/>
      <c r="I838" s="64"/>
      <c r="J838" s="63"/>
      <c r="K838" s="41"/>
      <c r="L838" s="41"/>
      <c r="M838" s="41"/>
      <c r="N838" s="63"/>
      <c r="O838" s="64"/>
      <c r="P838" s="63"/>
      <c r="Q838" s="41"/>
      <c r="R838" s="41"/>
      <c r="S838" s="41"/>
      <c r="T838" s="41"/>
      <c r="U838" s="41"/>
      <c r="V838" s="41"/>
      <c r="W838" s="64"/>
      <c r="X838" s="72"/>
      <c r="Y838" s="41"/>
      <c r="Z838" s="41"/>
      <c r="AA838" s="41"/>
      <c r="AB838" s="63"/>
      <c r="AC838" s="41"/>
      <c r="AD838" s="41"/>
      <c r="AE838" s="64"/>
      <c r="AF838" s="41"/>
      <c r="AG838" s="64"/>
      <c r="AH838" s="41"/>
      <c r="AI838" s="41"/>
      <c r="AJ838" s="41"/>
      <c r="AK838" s="41"/>
      <c r="AL838" s="41"/>
      <c r="AM838" s="41"/>
      <c r="AN838" s="41"/>
      <c r="AO838" s="41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5"/>
      <c r="BB838" s="65"/>
      <c r="BC838" s="65"/>
      <c r="BD838" s="65"/>
    </row>
    <row r="839" spans="2:57" ht="16.5" customHeight="1" thickBot="1" x14ac:dyDescent="0.3">
      <c r="B839" s="1" t="s">
        <v>2</v>
      </c>
      <c r="C839" s="14">
        <f t="shared" si="92"/>
        <v>0</v>
      </c>
      <c r="E839" s="1" t="s">
        <v>2</v>
      </c>
      <c r="F839" s="72"/>
      <c r="G839" s="41"/>
      <c r="H839" s="41"/>
      <c r="I839" s="64"/>
      <c r="J839" s="63"/>
      <c r="K839" s="41"/>
      <c r="L839" s="41"/>
      <c r="M839" s="41"/>
      <c r="N839" s="63"/>
      <c r="O839" s="64"/>
      <c r="P839" s="63"/>
      <c r="Q839" s="41"/>
      <c r="R839" s="41"/>
      <c r="S839" s="41"/>
      <c r="T839" s="41"/>
      <c r="U839" s="41"/>
      <c r="V839" s="41"/>
      <c r="W839" s="64"/>
      <c r="X839" s="72"/>
      <c r="Y839" s="41"/>
      <c r="Z839" s="41"/>
      <c r="AA839" s="41"/>
      <c r="AB839" s="63"/>
      <c r="AC839" s="41"/>
      <c r="AD839" s="41"/>
      <c r="AE839" s="64"/>
      <c r="AF839" s="41"/>
      <c r="AG839" s="64"/>
      <c r="AH839" s="41"/>
      <c r="AI839" s="41"/>
      <c r="AJ839" s="41"/>
      <c r="AK839" s="41"/>
      <c r="AL839" s="41"/>
      <c r="AM839" s="41"/>
      <c r="AN839" s="41"/>
      <c r="AO839" s="41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5"/>
      <c r="BB839" s="65"/>
      <c r="BC839" s="65"/>
      <c r="BD839" s="65"/>
    </row>
    <row r="840" spans="2:57" ht="16.5" customHeight="1" thickBot="1" x14ac:dyDescent="0.3">
      <c r="B840" s="1" t="s">
        <v>3</v>
      </c>
      <c r="C840" s="15">
        <f t="shared" si="92"/>
        <v>0</v>
      </c>
      <c r="E840" s="1" t="s">
        <v>3</v>
      </c>
      <c r="F840" s="73"/>
      <c r="G840" s="67"/>
      <c r="H840" s="67"/>
      <c r="I840" s="68"/>
      <c r="J840" s="66"/>
      <c r="K840" s="67"/>
      <c r="L840" s="67"/>
      <c r="M840" s="67"/>
      <c r="N840" s="66"/>
      <c r="O840" s="68"/>
      <c r="P840" s="66"/>
      <c r="Q840" s="67"/>
      <c r="R840" s="67"/>
      <c r="S840" s="67"/>
      <c r="T840" s="67"/>
      <c r="U840" s="67"/>
      <c r="V840" s="67"/>
      <c r="W840" s="68"/>
      <c r="X840" s="73"/>
      <c r="Y840" s="67"/>
      <c r="Z840" s="67"/>
      <c r="AA840" s="67"/>
      <c r="AB840" s="66"/>
      <c r="AC840" s="67"/>
      <c r="AD840" s="67"/>
      <c r="AE840" s="68"/>
      <c r="AF840" s="67"/>
      <c r="AG840" s="68"/>
      <c r="AH840" s="67"/>
      <c r="AI840" s="67"/>
      <c r="AJ840" s="67"/>
      <c r="AK840" s="67"/>
      <c r="AL840" s="67"/>
      <c r="AM840" s="67"/>
      <c r="AN840" s="67"/>
      <c r="AO840" s="67"/>
      <c r="AP840" s="66"/>
      <c r="AQ840" s="66"/>
      <c r="AR840" s="66"/>
      <c r="AS840" s="66"/>
      <c r="AT840" s="66"/>
      <c r="AU840" s="66"/>
      <c r="AV840" s="66"/>
      <c r="AW840" s="66"/>
      <c r="AX840" s="66"/>
      <c r="AY840" s="66"/>
      <c r="AZ840" s="66"/>
      <c r="BA840" s="69"/>
      <c r="BB840" s="69"/>
      <c r="BC840" s="69"/>
      <c r="BD840" s="69"/>
    </row>
    <row r="841" spans="2:57" ht="21" customHeight="1" x14ac:dyDescent="0.25">
      <c r="B841" s="2"/>
      <c r="C841" s="8">
        <f>SUM(C837:C840)</f>
        <v>0</v>
      </c>
      <c r="F841" s="74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74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</row>
    <row r="842" spans="2:57" x14ac:dyDescent="0.25"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</row>
    <row r="843" spans="2:57" ht="15.75" x14ac:dyDescent="0.25">
      <c r="F843" s="82" t="s">
        <v>17</v>
      </c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3" t="s">
        <v>16</v>
      </c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79"/>
      <c r="AQ843" s="79"/>
      <c r="AR843" s="79"/>
      <c r="AS843" s="79"/>
      <c r="AT843" s="79"/>
      <c r="AU843" s="41"/>
      <c r="AV843" s="41"/>
      <c r="AW843" s="41"/>
      <c r="AX843" s="41"/>
      <c r="AY843" s="41"/>
      <c r="AZ843" s="41"/>
      <c r="BA843" s="41"/>
    </row>
    <row r="844" spans="2:57" ht="32.25" thickBot="1" x14ac:dyDescent="0.3">
      <c r="F844" s="81" t="s">
        <v>9</v>
      </c>
      <c r="G844" s="81"/>
      <c r="H844" s="81"/>
      <c r="I844" s="81"/>
      <c r="J844" s="81" t="s">
        <v>10</v>
      </c>
      <c r="K844" s="81"/>
      <c r="L844" s="81"/>
      <c r="M844" s="81"/>
      <c r="N844" s="81" t="s">
        <v>49</v>
      </c>
      <c r="O844" s="81"/>
      <c r="P844" s="81" t="s">
        <v>11</v>
      </c>
      <c r="Q844" s="81"/>
      <c r="R844" s="81"/>
      <c r="S844" s="81"/>
      <c r="T844" s="81"/>
      <c r="U844" s="81"/>
      <c r="V844" s="81"/>
      <c r="W844" s="81"/>
      <c r="X844" s="81" t="s">
        <v>9</v>
      </c>
      <c r="Y844" s="81"/>
      <c r="Z844" s="81"/>
      <c r="AA844" s="81"/>
      <c r="AB844" s="81" t="s">
        <v>10</v>
      </c>
      <c r="AC844" s="81"/>
      <c r="AD844" s="81"/>
      <c r="AE844" s="81"/>
      <c r="AF844" s="81" t="s">
        <v>49</v>
      </c>
      <c r="AG844" s="81"/>
      <c r="AH844" s="81" t="s">
        <v>11</v>
      </c>
      <c r="AI844" s="81"/>
      <c r="AJ844" s="81"/>
      <c r="AK844" s="81"/>
      <c r="AL844" s="81"/>
      <c r="AM844" s="81"/>
      <c r="AN844" s="81"/>
      <c r="AO844" s="81"/>
      <c r="AP844" s="70" t="s">
        <v>50</v>
      </c>
      <c r="AQ844" s="70" t="s">
        <v>57</v>
      </c>
      <c r="AR844" s="70" t="s">
        <v>63</v>
      </c>
      <c r="AS844" s="70" t="s">
        <v>64</v>
      </c>
      <c r="AT844" s="70" t="s">
        <v>61</v>
      </c>
      <c r="AU844" s="70" t="s">
        <v>54</v>
      </c>
      <c r="AV844" s="70" t="s">
        <v>19</v>
      </c>
      <c r="AW844" s="70" t="s">
        <v>58</v>
      </c>
      <c r="AX844" s="70" t="s">
        <v>51</v>
      </c>
      <c r="AY844" s="70" t="s">
        <v>53</v>
      </c>
      <c r="AZ844" s="70" t="s">
        <v>52</v>
      </c>
      <c r="BA844" s="70" t="s">
        <v>55</v>
      </c>
      <c r="BB844" s="70" t="s">
        <v>56</v>
      </c>
      <c r="BC844" s="70" t="s">
        <v>59</v>
      </c>
      <c r="BD844" s="70" t="s">
        <v>60</v>
      </c>
    </row>
    <row r="845" spans="2:57" ht="16.5" thickBot="1" x14ac:dyDescent="0.3">
      <c r="B845" s="17">
        <v>0.968750000000003</v>
      </c>
      <c r="C845" s="7" t="s">
        <v>5</v>
      </c>
      <c r="E845" s="11"/>
      <c r="F845" s="75" t="s">
        <v>15</v>
      </c>
      <c r="G845" s="58" t="s">
        <v>12</v>
      </c>
      <c r="H845" s="58" t="s">
        <v>14</v>
      </c>
      <c r="I845" s="58" t="s">
        <v>13</v>
      </c>
      <c r="J845" s="58" t="s">
        <v>42</v>
      </c>
      <c r="K845" s="58" t="s">
        <v>41</v>
      </c>
      <c r="L845" s="58" t="s">
        <v>43</v>
      </c>
      <c r="M845" s="58" t="s">
        <v>44</v>
      </c>
      <c r="N845" s="58" t="s">
        <v>15</v>
      </c>
      <c r="O845" s="58" t="s">
        <v>14</v>
      </c>
      <c r="P845" s="58" t="s">
        <v>45</v>
      </c>
      <c r="Q845" s="58" t="s">
        <v>46</v>
      </c>
      <c r="R845" s="58" t="s">
        <v>42</v>
      </c>
      <c r="S845" s="58" t="s">
        <v>41</v>
      </c>
      <c r="T845" s="58" t="s">
        <v>47</v>
      </c>
      <c r="U845" s="58" t="s">
        <v>48</v>
      </c>
      <c r="V845" s="58" t="s">
        <v>43</v>
      </c>
      <c r="W845" s="58" t="s">
        <v>44</v>
      </c>
      <c r="X845" s="75" t="s">
        <v>15</v>
      </c>
      <c r="Y845" s="58" t="s">
        <v>12</v>
      </c>
      <c r="Z845" s="58" t="s">
        <v>14</v>
      </c>
      <c r="AA845" s="58" t="s">
        <v>13</v>
      </c>
      <c r="AB845" s="58" t="s">
        <v>42</v>
      </c>
      <c r="AC845" s="58" t="s">
        <v>41</v>
      </c>
      <c r="AD845" s="58" t="s">
        <v>43</v>
      </c>
      <c r="AE845" s="58" t="s">
        <v>44</v>
      </c>
      <c r="AF845" s="58" t="s">
        <v>15</v>
      </c>
      <c r="AG845" s="58" t="s">
        <v>14</v>
      </c>
      <c r="AH845" s="58" t="s">
        <v>45</v>
      </c>
      <c r="AI845" s="58" t="s">
        <v>46</v>
      </c>
      <c r="AJ845" s="58" t="s">
        <v>42</v>
      </c>
      <c r="AK845" s="58" t="s">
        <v>41</v>
      </c>
      <c r="AL845" s="58" t="s">
        <v>47</v>
      </c>
      <c r="AM845" s="58" t="s">
        <v>48</v>
      </c>
      <c r="AN845" s="58" t="s">
        <v>43</v>
      </c>
      <c r="AO845" s="58" t="s">
        <v>44</v>
      </c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</row>
    <row r="846" spans="2:57" ht="16.5" customHeight="1" thickBot="1" x14ac:dyDescent="0.3">
      <c r="B846" s="1" t="s">
        <v>0</v>
      </c>
      <c r="C846" s="13">
        <f>SUM(F846:W846)</f>
        <v>1</v>
      </c>
      <c r="E846" s="10" t="s">
        <v>0</v>
      </c>
      <c r="F846" s="71"/>
      <c r="G846" s="60"/>
      <c r="H846" s="60"/>
      <c r="I846" s="61"/>
      <c r="J846" s="59"/>
      <c r="K846" s="60"/>
      <c r="L846" s="60"/>
      <c r="M846" s="60"/>
      <c r="N846" s="59"/>
      <c r="O846" s="61">
        <v>1</v>
      </c>
      <c r="P846" s="59"/>
      <c r="Q846" s="60"/>
      <c r="R846" s="60"/>
      <c r="S846" s="60"/>
      <c r="T846" s="60"/>
      <c r="U846" s="60"/>
      <c r="V846" s="60"/>
      <c r="W846" s="61"/>
      <c r="X846" s="71"/>
      <c r="Y846" s="60"/>
      <c r="Z846" s="60"/>
      <c r="AA846" s="60"/>
      <c r="AB846" s="59"/>
      <c r="AC846" s="60"/>
      <c r="AD846" s="60"/>
      <c r="AE846" s="61"/>
      <c r="AF846" s="60">
        <v>1</v>
      </c>
      <c r="AG846" s="61"/>
      <c r="AH846" s="60"/>
      <c r="AI846" s="60"/>
      <c r="AJ846" s="60"/>
      <c r="AK846" s="60"/>
      <c r="AL846" s="60"/>
      <c r="AM846" s="60"/>
      <c r="AN846" s="60"/>
      <c r="AO846" s="60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62"/>
      <c r="BB846" s="62"/>
      <c r="BC846" s="62"/>
      <c r="BD846" s="62"/>
      <c r="BE846" t="s">
        <v>77</v>
      </c>
    </row>
    <row r="847" spans="2:57" ht="16.5" customHeight="1" thickBot="1" x14ac:dyDescent="0.3">
      <c r="B847" s="1" t="s">
        <v>1</v>
      </c>
      <c r="C847" s="14">
        <f t="shared" ref="C847:C849" si="93">SUM(F847:W847)</f>
        <v>0</v>
      </c>
      <c r="E847" s="1" t="s">
        <v>1</v>
      </c>
      <c r="F847" s="72"/>
      <c r="G847" s="41"/>
      <c r="H847" s="41"/>
      <c r="I847" s="64"/>
      <c r="J847" s="63"/>
      <c r="K847" s="41"/>
      <c r="L847" s="41"/>
      <c r="M847" s="41"/>
      <c r="N847" s="63"/>
      <c r="O847" s="64"/>
      <c r="P847" s="63"/>
      <c r="Q847" s="41"/>
      <c r="R847" s="41"/>
      <c r="S847" s="41"/>
      <c r="T847" s="41"/>
      <c r="U847" s="41"/>
      <c r="V847" s="41"/>
      <c r="W847" s="64"/>
      <c r="X847" s="72"/>
      <c r="Y847" s="41"/>
      <c r="Z847" s="41"/>
      <c r="AA847" s="41"/>
      <c r="AB847" s="63"/>
      <c r="AC847" s="41"/>
      <c r="AD847" s="41"/>
      <c r="AE847" s="64"/>
      <c r="AF847" s="41"/>
      <c r="AG847" s="64"/>
      <c r="AH847" s="41"/>
      <c r="AI847" s="41"/>
      <c r="AJ847" s="41"/>
      <c r="AK847" s="41"/>
      <c r="AL847" s="41"/>
      <c r="AM847" s="41"/>
      <c r="AN847" s="41"/>
      <c r="AO847" s="41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5"/>
      <c r="BB847" s="65"/>
      <c r="BC847" s="65"/>
      <c r="BD847" s="65"/>
    </row>
    <row r="848" spans="2:57" ht="16.5" customHeight="1" thickBot="1" x14ac:dyDescent="0.3">
      <c r="B848" s="1" t="s">
        <v>2</v>
      </c>
      <c r="C848" s="14">
        <f t="shared" si="93"/>
        <v>0</v>
      </c>
      <c r="E848" s="1" t="s">
        <v>2</v>
      </c>
      <c r="F848" s="72"/>
      <c r="G848" s="41"/>
      <c r="H848" s="41"/>
      <c r="I848" s="64"/>
      <c r="J848" s="63"/>
      <c r="K848" s="41"/>
      <c r="L848" s="41"/>
      <c r="M848" s="41"/>
      <c r="N848" s="63"/>
      <c r="O848" s="64"/>
      <c r="P848" s="63"/>
      <c r="Q848" s="41"/>
      <c r="R848" s="41"/>
      <c r="S848" s="41"/>
      <c r="T848" s="41"/>
      <c r="U848" s="41"/>
      <c r="V848" s="41"/>
      <c r="W848" s="64"/>
      <c r="X848" s="72"/>
      <c r="Y848" s="41"/>
      <c r="Z848" s="41"/>
      <c r="AA848" s="41"/>
      <c r="AB848" s="63"/>
      <c r="AC848" s="41"/>
      <c r="AD848" s="41"/>
      <c r="AE848" s="64"/>
      <c r="AF848" s="41"/>
      <c r="AG848" s="64"/>
      <c r="AH848" s="41"/>
      <c r="AI848" s="41"/>
      <c r="AJ848" s="41"/>
      <c r="AK848" s="41"/>
      <c r="AL848" s="41"/>
      <c r="AM848" s="41"/>
      <c r="AN848" s="41"/>
      <c r="AO848" s="41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5"/>
      <c r="BB848" s="65"/>
      <c r="BC848" s="65"/>
      <c r="BD848" s="65"/>
    </row>
    <row r="849" spans="2:56" ht="16.5" customHeight="1" thickBot="1" x14ac:dyDescent="0.3">
      <c r="B849" s="1" t="s">
        <v>3</v>
      </c>
      <c r="C849" s="15">
        <f t="shared" si="93"/>
        <v>0</v>
      </c>
      <c r="E849" s="1" t="s">
        <v>3</v>
      </c>
      <c r="F849" s="73"/>
      <c r="G849" s="67"/>
      <c r="H849" s="67"/>
      <c r="I849" s="68"/>
      <c r="J849" s="66"/>
      <c r="K849" s="67"/>
      <c r="L849" s="67"/>
      <c r="M849" s="67"/>
      <c r="N849" s="66"/>
      <c r="O849" s="68"/>
      <c r="P849" s="66"/>
      <c r="Q849" s="67"/>
      <c r="R849" s="67"/>
      <c r="S849" s="67"/>
      <c r="T849" s="67"/>
      <c r="U849" s="67"/>
      <c r="V849" s="67"/>
      <c r="W849" s="68"/>
      <c r="X849" s="73"/>
      <c r="Y849" s="67"/>
      <c r="Z849" s="67"/>
      <c r="AA849" s="67"/>
      <c r="AB849" s="66"/>
      <c r="AC849" s="67"/>
      <c r="AD849" s="67"/>
      <c r="AE849" s="68"/>
      <c r="AF849" s="67"/>
      <c r="AG849" s="68"/>
      <c r="AH849" s="67"/>
      <c r="AI849" s="67"/>
      <c r="AJ849" s="67"/>
      <c r="AK849" s="67"/>
      <c r="AL849" s="67"/>
      <c r="AM849" s="67"/>
      <c r="AN849" s="67"/>
      <c r="AO849" s="67"/>
      <c r="AP849" s="66"/>
      <c r="AQ849" s="66"/>
      <c r="AR849" s="66"/>
      <c r="AS849" s="66"/>
      <c r="AT849" s="66"/>
      <c r="AU849" s="66"/>
      <c r="AV849" s="66"/>
      <c r="AW849" s="66"/>
      <c r="AX849" s="66"/>
      <c r="AY849" s="66"/>
      <c r="AZ849" s="66"/>
      <c r="BA849" s="69"/>
      <c r="BB849" s="69"/>
      <c r="BC849" s="69"/>
      <c r="BD849" s="69"/>
    </row>
    <row r="850" spans="2:56" ht="21" customHeight="1" x14ac:dyDescent="0.25">
      <c r="B850" s="2"/>
      <c r="C850" s="8">
        <f>SUM(C846:C849)</f>
        <v>1</v>
      </c>
      <c r="F850" s="74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74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</row>
    <row r="851" spans="2:56" x14ac:dyDescent="0.25"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</row>
    <row r="852" spans="2:56" ht="15.75" x14ac:dyDescent="0.25">
      <c r="F852" s="82" t="s">
        <v>17</v>
      </c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3" t="s">
        <v>16</v>
      </c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79"/>
      <c r="AQ852" s="79"/>
      <c r="AR852" s="79"/>
      <c r="AS852" s="79"/>
      <c r="AT852" s="79"/>
      <c r="AU852" s="41"/>
      <c r="AV852" s="41"/>
      <c r="AW852" s="41"/>
      <c r="AX852" s="41"/>
      <c r="AY852" s="41"/>
      <c r="AZ852" s="41"/>
      <c r="BA852" s="41"/>
    </row>
    <row r="853" spans="2:56" ht="32.25" thickBot="1" x14ac:dyDescent="0.3">
      <c r="F853" s="81" t="s">
        <v>9</v>
      </c>
      <c r="G853" s="81"/>
      <c r="H853" s="81"/>
      <c r="I853" s="81"/>
      <c r="J853" s="81" t="s">
        <v>10</v>
      </c>
      <c r="K853" s="81"/>
      <c r="L853" s="81"/>
      <c r="M853" s="81"/>
      <c r="N853" s="81" t="s">
        <v>49</v>
      </c>
      <c r="O853" s="81"/>
      <c r="P853" s="81" t="s">
        <v>11</v>
      </c>
      <c r="Q853" s="81"/>
      <c r="R853" s="81"/>
      <c r="S853" s="81"/>
      <c r="T853" s="81"/>
      <c r="U853" s="81"/>
      <c r="V853" s="81"/>
      <c r="W853" s="81"/>
      <c r="X853" s="81" t="s">
        <v>9</v>
      </c>
      <c r="Y853" s="81"/>
      <c r="Z853" s="81"/>
      <c r="AA853" s="81"/>
      <c r="AB853" s="81" t="s">
        <v>10</v>
      </c>
      <c r="AC853" s="81"/>
      <c r="AD853" s="81"/>
      <c r="AE853" s="81"/>
      <c r="AF853" s="81" t="s">
        <v>49</v>
      </c>
      <c r="AG853" s="81"/>
      <c r="AH853" s="81" t="s">
        <v>11</v>
      </c>
      <c r="AI853" s="81"/>
      <c r="AJ853" s="81"/>
      <c r="AK853" s="81"/>
      <c r="AL853" s="81"/>
      <c r="AM853" s="81"/>
      <c r="AN853" s="81"/>
      <c r="AO853" s="81"/>
      <c r="AP853" s="70" t="s">
        <v>50</v>
      </c>
      <c r="AQ853" s="70" t="s">
        <v>57</v>
      </c>
      <c r="AR853" s="70" t="s">
        <v>63</v>
      </c>
      <c r="AS853" s="70" t="s">
        <v>64</v>
      </c>
      <c r="AT853" s="70" t="s">
        <v>61</v>
      </c>
      <c r="AU853" s="70" t="s">
        <v>54</v>
      </c>
      <c r="AV853" s="70" t="s">
        <v>19</v>
      </c>
      <c r="AW853" s="70" t="s">
        <v>58</v>
      </c>
      <c r="AX853" s="70" t="s">
        <v>51</v>
      </c>
      <c r="AY853" s="70" t="s">
        <v>53</v>
      </c>
      <c r="AZ853" s="70" t="s">
        <v>52</v>
      </c>
      <c r="BA853" s="70" t="s">
        <v>55</v>
      </c>
      <c r="BB853" s="70" t="s">
        <v>56</v>
      </c>
      <c r="BC853" s="70" t="s">
        <v>59</v>
      </c>
      <c r="BD853" s="70" t="s">
        <v>60</v>
      </c>
    </row>
    <row r="854" spans="2:56" ht="16.5" thickBot="1" x14ac:dyDescent="0.3">
      <c r="B854" s="17">
        <v>0.97916666666666996</v>
      </c>
      <c r="C854" s="7" t="s">
        <v>5</v>
      </c>
      <c r="E854" s="11"/>
      <c r="F854" s="75" t="s">
        <v>15</v>
      </c>
      <c r="G854" s="58" t="s">
        <v>12</v>
      </c>
      <c r="H854" s="58" t="s">
        <v>14</v>
      </c>
      <c r="I854" s="58" t="s">
        <v>13</v>
      </c>
      <c r="J854" s="58" t="s">
        <v>42</v>
      </c>
      <c r="K854" s="58" t="s">
        <v>41</v>
      </c>
      <c r="L854" s="58" t="s">
        <v>43</v>
      </c>
      <c r="M854" s="58" t="s">
        <v>44</v>
      </c>
      <c r="N854" s="58" t="s">
        <v>15</v>
      </c>
      <c r="O854" s="58" t="s">
        <v>14</v>
      </c>
      <c r="P854" s="58" t="s">
        <v>45</v>
      </c>
      <c r="Q854" s="58" t="s">
        <v>46</v>
      </c>
      <c r="R854" s="58" t="s">
        <v>42</v>
      </c>
      <c r="S854" s="58" t="s">
        <v>41</v>
      </c>
      <c r="T854" s="58" t="s">
        <v>47</v>
      </c>
      <c r="U854" s="58" t="s">
        <v>48</v>
      </c>
      <c r="V854" s="58" t="s">
        <v>43</v>
      </c>
      <c r="W854" s="58" t="s">
        <v>44</v>
      </c>
      <c r="X854" s="75" t="s">
        <v>15</v>
      </c>
      <c r="Y854" s="58" t="s">
        <v>12</v>
      </c>
      <c r="Z854" s="58" t="s">
        <v>14</v>
      </c>
      <c r="AA854" s="58" t="s">
        <v>13</v>
      </c>
      <c r="AB854" s="58" t="s">
        <v>42</v>
      </c>
      <c r="AC854" s="58" t="s">
        <v>41</v>
      </c>
      <c r="AD854" s="58" t="s">
        <v>43</v>
      </c>
      <c r="AE854" s="58" t="s">
        <v>44</v>
      </c>
      <c r="AF854" s="58" t="s">
        <v>15</v>
      </c>
      <c r="AG854" s="58" t="s">
        <v>14</v>
      </c>
      <c r="AH854" s="58" t="s">
        <v>45</v>
      </c>
      <c r="AI854" s="58" t="s">
        <v>46</v>
      </c>
      <c r="AJ854" s="58" t="s">
        <v>42</v>
      </c>
      <c r="AK854" s="58" t="s">
        <v>41</v>
      </c>
      <c r="AL854" s="58" t="s">
        <v>47</v>
      </c>
      <c r="AM854" s="58" t="s">
        <v>48</v>
      </c>
      <c r="AN854" s="58" t="s">
        <v>43</v>
      </c>
      <c r="AO854" s="58" t="s">
        <v>44</v>
      </c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</row>
    <row r="855" spans="2:56" ht="16.5" customHeight="1" thickBot="1" x14ac:dyDescent="0.3">
      <c r="B855" s="1" t="s">
        <v>0</v>
      </c>
      <c r="C855" s="13">
        <f>SUM(F855:W855)</f>
        <v>1</v>
      </c>
      <c r="E855" s="10" t="s">
        <v>0</v>
      </c>
      <c r="F855" s="71"/>
      <c r="G855" s="60"/>
      <c r="H855" s="60"/>
      <c r="I855" s="61"/>
      <c r="J855" s="59"/>
      <c r="K855" s="60"/>
      <c r="L855" s="60"/>
      <c r="M855" s="60"/>
      <c r="N855" s="59">
        <v>1</v>
      </c>
      <c r="O855" s="61"/>
      <c r="P855" s="59"/>
      <c r="Q855" s="60"/>
      <c r="R855" s="60"/>
      <c r="S855" s="60"/>
      <c r="T855" s="60"/>
      <c r="U855" s="60"/>
      <c r="V855" s="60"/>
      <c r="W855" s="61"/>
      <c r="X855" s="71"/>
      <c r="Y855" s="60"/>
      <c r="Z855" s="60"/>
      <c r="AA855" s="60"/>
      <c r="AB855" s="59"/>
      <c r="AC855" s="60"/>
      <c r="AD855" s="60"/>
      <c r="AE855" s="61"/>
      <c r="AF855" s="60"/>
      <c r="AG855" s="61">
        <v>1</v>
      </c>
      <c r="AH855" s="60"/>
      <c r="AI855" s="60"/>
      <c r="AJ855" s="60"/>
      <c r="AK855" s="60"/>
      <c r="AL855" s="60"/>
      <c r="AM855" s="60"/>
      <c r="AN855" s="60"/>
      <c r="AO855" s="60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62"/>
      <c r="BB855" s="62"/>
      <c r="BC855" s="62"/>
      <c r="BD855" s="62"/>
    </row>
    <row r="856" spans="2:56" ht="16.5" customHeight="1" thickBot="1" x14ac:dyDescent="0.3">
      <c r="B856" s="1" t="s">
        <v>1</v>
      </c>
      <c r="C856" s="14">
        <f t="shared" ref="C856:C858" si="94">SUM(F856:W856)</f>
        <v>0</v>
      </c>
      <c r="E856" s="1" t="s">
        <v>1</v>
      </c>
      <c r="F856" s="72"/>
      <c r="G856" s="41"/>
      <c r="H856" s="41"/>
      <c r="I856" s="64"/>
      <c r="J856" s="63"/>
      <c r="K856" s="41"/>
      <c r="L856" s="41"/>
      <c r="M856" s="41"/>
      <c r="N856" s="63"/>
      <c r="O856" s="64"/>
      <c r="P856" s="63"/>
      <c r="Q856" s="41"/>
      <c r="R856" s="41"/>
      <c r="S856" s="41"/>
      <c r="T856" s="41"/>
      <c r="U856" s="41"/>
      <c r="V856" s="41"/>
      <c r="W856" s="64"/>
      <c r="X856" s="72"/>
      <c r="Y856" s="41"/>
      <c r="Z856" s="41"/>
      <c r="AA856" s="41"/>
      <c r="AB856" s="63"/>
      <c r="AC856" s="41"/>
      <c r="AD856" s="41"/>
      <c r="AE856" s="64"/>
      <c r="AF856" s="41"/>
      <c r="AG856" s="64"/>
      <c r="AH856" s="41"/>
      <c r="AI856" s="41"/>
      <c r="AJ856" s="41"/>
      <c r="AK856" s="41"/>
      <c r="AL856" s="41"/>
      <c r="AM856" s="41"/>
      <c r="AN856" s="41"/>
      <c r="AO856" s="41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5"/>
      <c r="BB856" s="65"/>
      <c r="BC856" s="65"/>
      <c r="BD856" s="65"/>
    </row>
    <row r="857" spans="2:56" ht="16.5" customHeight="1" thickBot="1" x14ac:dyDescent="0.3">
      <c r="B857" s="1" t="s">
        <v>2</v>
      </c>
      <c r="C857" s="14">
        <f t="shared" si="94"/>
        <v>0</v>
      </c>
      <c r="E857" s="1" t="s">
        <v>2</v>
      </c>
      <c r="F857" s="72"/>
      <c r="G857" s="41"/>
      <c r="H857" s="41"/>
      <c r="I857" s="64"/>
      <c r="J857" s="63"/>
      <c r="K857" s="41"/>
      <c r="L857" s="41"/>
      <c r="M857" s="41"/>
      <c r="N857" s="63"/>
      <c r="O857" s="64"/>
      <c r="P857" s="63"/>
      <c r="Q857" s="41"/>
      <c r="R857" s="41"/>
      <c r="S857" s="41"/>
      <c r="T857" s="41"/>
      <c r="U857" s="41"/>
      <c r="V857" s="41"/>
      <c r="W857" s="64"/>
      <c r="X857" s="72"/>
      <c r="Y857" s="41"/>
      <c r="Z857" s="41"/>
      <c r="AA857" s="41"/>
      <c r="AB857" s="63"/>
      <c r="AC857" s="41"/>
      <c r="AD857" s="41"/>
      <c r="AE857" s="64"/>
      <c r="AF857" s="41"/>
      <c r="AG857" s="64"/>
      <c r="AH857" s="41"/>
      <c r="AI857" s="41"/>
      <c r="AJ857" s="41"/>
      <c r="AK857" s="41"/>
      <c r="AL857" s="41"/>
      <c r="AM857" s="41"/>
      <c r="AN857" s="41"/>
      <c r="AO857" s="41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5"/>
      <c r="BB857" s="65"/>
      <c r="BC857" s="65"/>
      <c r="BD857" s="65"/>
    </row>
    <row r="858" spans="2:56" ht="16.5" customHeight="1" thickBot="1" x14ac:dyDescent="0.3">
      <c r="B858" s="1" t="s">
        <v>3</v>
      </c>
      <c r="C858" s="15">
        <f t="shared" si="94"/>
        <v>0</v>
      </c>
      <c r="E858" s="1" t="s">
        <v>3</v>
      </c>
      <c r="F858" s="73"/>
      <c r="G858" s="67"/>
      <c r="H858" s="67"/>
      <c r="I858" s="68"/>
      <c r="J858" s="66"/>
      <c r="K858" s="67"/>
      <c r="L858" s="67"/>
      <c r="M858" s="67"/>
      <c r="N858" s="66"/>
      <c r="O858" s="68"/>
      <c r="P858" s="66"/>
      <c r="Q858" s="67"/>
      <c r="R858" s="67"/>
      <c r="S858" s="67"/>
      <c r="T858" s="67"/>
      <c r="U858" s="67"/>
      <c r="V858" s="67"/>
      <c r="W858" s="68"/>
      <c r="X858" s="73"/>
      <c r="Y858" s="67"/>
      <c r="Z858" s="67"/>
      <c r="AA858" s="67"/>
      <c r="AB858" s="66"/>
      <c r="AC858" s="67"/>
      <c r="AD858" s="67"/>
      <c r="AE858" s="68"/>
      <c r="AF858" s="67"/>
      <c r="AG858" s="68"/>
      <c r="AH858" s="67"/>
      <c r="AI858" s="67"/>
      <c r="AJ858" s="67"/>
      <c r="AK858" s="67"/>
      <c r="AL858" s="67"/>
      <c r="AM858" s="67"/>
      <c r="AN858" s="67"/>
      <c r="AO858" s="67"/>
      <c r="AP858" s="66"/>
      <c r="AQ858" s="66"/>
      <c r="AR858" s="66"/>
      <c r="AS858" s="66"/>
      <c r="AT858" s="66"/>
      <c r="AU858" s="66"/>
      <c r="AV858" s="66"/>
      <c r="AW858" s="66"/>
      <c r="AX858" s="66"/>
      <c r="AY858" s="66"/>
      <c r="AZ858" s="66"/>
      <c r="BA858" s="69"/>
      <c r="BB858" s="69"/>
      <c r="BC858" s="69"/>
      <c r="BD858" s="69"/>
    </row>
    <row r="859" spans="2:56" ht="21" customHeight="1" x14ac:dyDescent="0.25">
      <c r="B859" s="2"/>
      <c r="C859" s="8">
        <f>SUM(C855:C858)</f>
        <v>1</v>
      </c>
      <c r="F859" s="74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74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</row>
    <row r="860" spans="2:56" x14ac:dyDescent="0.25"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</row>
    <row r="861" spans="2:56" ht="15.75" x14ac:dyDescent="0.25">
      <c r="F861" s="82" t="s">
        <v>17</v>
      </c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3" t="s">
        <v>16</v>
      </c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79"/>
      <c r="AQ861" s="79"/>
      <c r="AR861" s="79"/>
      <c r="AS861" s="79"/>
      <c r="AT861" s="79"/>
      <c r="AU861" s="41"/>
      <c r="AV861" s="41"/>
      <c r="AW861" s="41"/>
      <c r="AX861" s="41"/>
      <c r="AY861" s="41"/>
      <c r="AZ861" s="41"/>
      <c r="BA861" s="41"/>
    </row>
    <row r="862" spans="2:56" ht="32.25" thickBot="1" x14ac:dyDescent="0.3">
      <c r="F862" s="81" t="s">
        <v>9</v>
      </c>
      <c r="G862" s="81"/>
      <c r="H862" s="81"/>
      <c r="I862" s="81"/>
      <c r="J862" s="81" t="s">
        <v>10</v>
      </c>
      <c r="K862" s="81"/>
      <c r="L862" s="81"/>
      <c r="M862" s="81"/>
      <c r="N862" s="81" t="s">
        <v>49</v>
      </c>
      <c r="O862" s="81"/>
      <c r="P862" s="81" t="s">
        <v>11</v>
      </c>
      <c r="Q862" s="81"/>
      <c r="R862" s="81"/>
      <c r="S862" s="81"/>
      <c r="T862" s="81"/>
      <c r="U862" s="81"/>
      <c r="V862" s="81"/>
      <c r="W862" s="81"/>
      <c r="X862" s="81" t="s">
        <v>9</v>
      </c>
      <c r="Y862" s="81"/>
      <c r="Z862" s="81"/>
      <c r="AA862" s="81"/>
      <c r="AB862" s="81" t="s">
        <v>10</v>
      </c>
      <c r="AC862" s="81"/>
      <c r="AD862" s="81"/>
      <c r="AE862" s="81"/>
      <c r="AF862" s="81" t="s">
        <v>49</v>
      </c>
      <c r="AG862" s="81"/>
      <c r="AH862" s="81" t="s">
        <v>11</v>
      </c>
      <c r="AI862" s="81"/>
      <c r="AJ862" s="81"/>
      <c r="AK862" s="81"/>
      <c r="AL862" s="81"/>
      <c r="AM862" s="81"/>
      <c r="AN862" s="81"/>
      <c r="AO862" s="81"/>
      <c r="AP862" s="70" t="s">
        <v>50</v>
      </c>
      <c r="AQ862" s="70" t="s">
        <v>57</v>
      </c>
      <c r="AR862" s="70" t="s">
        <v>63</v>
      </c>
      <c r="AS862" s="70" t="s">
        <v>64</v>
      </c>
      <c r="AT862" s="70" t="s">
        <v>61</v>
      </c>
      <c r="AU862" s="70" t="s">
        <v>54</v>
      </c>
      <c r="AV862" s="70" t="s">
        <v>19</v>
      </c>
      <c r="AW862" s="70" t="s">
        <v>58</v>
      </c>
      <c r="AX862" s="70" t="s">
        <v>51</v>
      </c>
      <c r="AY862" s="70" t="s">
        <v>53</v>
      </c>
      <c r="AZ862" s="70" t="s">
        <v>52</v>
      </c>
      <c r="BA862" s="70" t="s">
        <v>55</v>
      </c>
      <c r="BB862" s="70" t="s">
        <v>56</v>
      </c>
      <c r="BC862" s="70" t="s">
        <v>59</v>
      </c>
      <c r="BD862" s="70" t="s">
        <v>60</v>
      </c>
    </row>
    <row r="863" spans="2:56" ht="16.5" thickBot="1" x14ac:dyDescent="0.3">
      <c r="B863" s="17">
        <v>0.98958333333333703</v>
      </c>
      <c r="C863" s="7" t="s">
        <v>5</v>
      </c>
      <c r="E863" s="11"/>
      <c r="F863" s="75" t="s">
        <v>15</v>
      </c>
      <c r="G863" s="58" t="s">
        <v>12</v>
      </c>
      <c r="H863" s="58" t="s">
        <v>14</v>
      </c>
      <c r="I863" s="58" t="s">
        <v>13</v>
      </c>
      <c r="J863" s="58" t="s">
        <v>42</v>
      </c>
      <c r="K863" s="58" t="s">
        <v>41</v>
      </c>
      <c r="L863" s="58" t="s">
        <v>43</v>
      </c>
      <c r="M863" s="58" t="s">
        <v>44</v>
      </c>
      <c r="N863" s="58" t="s">
        <v>15</v>
      </c>
      <c r="O863" s="58" t="s">
        <v>14</v>
      </c>
      <c r="P863" s="58" t="s">
        <v>45</v>
      </c>
      <c r="Q863" s="58" t="s">
        <v>46</v>
      </c>
      <c r="R863" s="58" t="s">
        <v>42</v>
      </c>
      <c r="S863" s="58" t="s">
        <v>41</v>
      </c>
      <c r="T863" s="58" t="s">
        <v>47</v>
      </c>
      <c r="U863" s="58" t="s">
        <v>48</v>
      </c>
      <c r="V863" s="58" t="s">
        <v>43</v>
      </c>
      <c r="W863" s="58" t="s">
        <v>44</v>
      </c>
      <c r="X863" s="75" t="s">
        <v>15</v>
      </c>
      <c r="Y863" s="58" t="s">
        <v>12</v>
      </c>
      <c r="Z863" s="58" t="s">
        <v>14</v>
      </c>
      <c r="AA863" s="58" t="s">
        <v>13</v>
      </c>
      <c r="AB863" s="58" t="s">
        <v>42</v>
      </c>
      <c r="AC863" s="58" t="s">
        <v>41</v>
      </c>
      <c r="AD863" s="58" t="s">
        <v>43</v>
      </c>
      <c r="AE863" s="58" t="s">
        <v>44</v>
      </c>
      <c r="AF863" s="58" t="s">
        <v>15</v>
      </c>
      <c r="AG863" s="58" t="s">
        <v>14</v>
      </c>
      <c r="AH863" s="58" t="s">
        <v>45</v>
      </c>
      <c r="AI863" s="58" t="s">
        <v>46</v>
      </c>
      <c r="AJ863" s="58" t="s">
        <v>42</v>
      </c>
      <c r="AK863" s="58" t="s">
        <v>41</v>
      </c>
      <c r="AL863" s="58" t="s">
        <v>47</v>
      </c>
      <c r="AM863" s="58" t="s">
        <v>48</v>
      </c>
      <c r="AN863" s="58" t="s">
        <v>43</v>
      </c>
      <c r="AO863" s="58" t="s">
        <v>44</v>
      </c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</row>
    <row r="864" spans="2:56" ht="16.5" customHeight="1" thickBot="1" x14ac:dyDescent="0.3">
      <c r="B864" s="1" t="s">
        <v>0</v>
      </c>
      <c r="C864" s="13">
        <f>SUM(F864:W864)</f>
        <v>0</v>
      </c>
      <c r="E864" s="10" t="s">
        <v>0</v>
      </c>
      <c r="F864" s="71"/>
      <c r="G864" s="60"/>
      <c r="H864" s="60"/>
      <c r="I864" s="61"/>
      <c r="J864" s="59"/>
      <c r="K864" s="60"/>
      <c r="L864" s="60"/>
      <c r="M864" s="60"/>
      <c r="N864" s="59"/>
      <c r="O864" s="61"/>
      <c r="P864" s="59"/>
      <c r="Q864" s="60"/>
      <c r="R864" s="60"/>
      <c r="S864" s="60"/>
      <c r="T864" s="60"/>
      <c r="U864" s="60"/>
      <c r="V864" s="60"/>
      <c r="W864" s="61"/>
      <c r="X864" s="71"/>
      <c r="Y864" s="60"/>
      <c r="Z864" s="60"/>
      <c r="AA864" s="60"/>
      <c r="AB864" s="59"/>
      <c r="AC864" s="60"/>
      <c r="AD864" s="60"/>
      <c r="AE864" s="61"/>
      <c r="AF864" s="60"/>
      <c r="AG864" s="61"/>
      <c r="AH864" s="60"/>
      <c r="AI864" s="60"/>
      <c r="AJ864" s="60"/>
      <c r="AK864" s="60"/>
      <c r="AL864" s="60"/>
      <c r="AM864" s="60"/>
      <c r="AN864" s="60"/>
      <c r="AO864" s="60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62"/>
      <c r="BB864" s="62"/>
      <c r="BC864" s="62"/>
      <c r="BD864" s="62"/>
    </row>
    <row r="865" spans="2:56" ht="16.5" customHeight="1" thickBot="1" x14ac:dyDescent="0.3">
      <c r="B865" s="1" t="s">
        <v>1</v>
      </c>
      <c r="C865" s="14">
        <f t="shared" ref="C865:C867" si="95">SUM(F865:W865)</f>
        <v>0</v>
      </c>
      <c r="E865" s="1" t="s">
        <v>1</v>
      </c>
      <c r="F865" s="72"/>
      <c r="G865" s="41"/>
      <c r="H865" s="41"/>
      <c r="I865" s="64"/>
      <c r="J865" s="63"/>
      <c r="K865" s="41"/>
      <c r="L865" s="41"/>
      <c r="M865" s="41"/>
      <c r="N865" s="63"/>
      <c r="O865" s="64"/>
      <c r="P865" s="63"/>
      <c r="Q865" s="41"/>
      <c r="R865" s="41"/>
      <c r="S865" s="41"/>
      <c r="T865" s="41"/>
      <c r="U865" s="41"/>
      <c r="V865" s="41"/>
      <c r="W865" s="64"/>
      <c r="X865" s="72"/>
      <c r="Y865" s="41"/>
      <c r="Z865" s="41"/>
      <c r="AA865" s="41"/>
      <c r="AB865" s="63"/>
      <c r="AC865" s="41"/>
      <c r="AD865" s="41"/>
      <c r="AE865" s="64"/>
      <c r="AF865" s="41"/>
      <c r="AG865" s="64"/>
      <c r="AH865" s="41"/>
      <c r="AI865" s="41"/>
      <c r="AJ865" s="41"/>
      <c r="AK865" s="41"/>
      <c r="AL865" s="41"/>
      <c r="AM865" s="41"/>
      <c r="AN865" s="41"/>
      <c r="AO865" s="41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5"/>
      <c r="BB865" s="65"/>
      <c r="BC865" s="65"/>
      <c r="BD865" s="65"/>
    </row>
    <row r="866" spans="2:56" ht="16.5" customHeight="1" thickBot="1" x14ac:dyDescent="0.3">
      <c r="B866" s="1" t="s">
        <v>2</v>
      </c>
      <c r="C866" s="14">
        <f t="shared" si="95"/>
        <v>0</v>
      </c>
      <c r="E866" s="1" t="s">
        <v>2</v>
      </c>
      <c r="F866" s="72"/>
      <c r="G866" s="41"/>
      <c r="H866" s="41"/>
      <c r="I866" s="64"/>
      <c r="J866" s="63"/>
      <c r="K866" s="41"/>
      <c r="L866" s="41"/>
      <c r="M866" s="41"/>
      <c r="N866" s="63"/>
      <c r="O866" s="64"/>
      <c r="P866" s="63"/>
      <c r="Q866" s="41"/>
      <c r="R866" s="41"/>
      <c r="S866" s="41"/>
      <c r="T866" s="41"/>
      <c r="U866" s="41"/>
      <c r="V866" s="41"/>
      <c r="W866" s="64"/>
      <c r="X866" s="72"/>
      <c r="Y866" s="41"/>
      <c r="Z866" s="41"/>
      <c r="AA866" s="41"/>
      <c r="AB866" s="63"/>
      <c r="AC866" s="41"/>
      <c r="AD866" s="41"/>
      <c r="AE866" s="64"/>
      <c r="AF866" s="41"/>
      <c r="AG866" s="64"/>
      <c r="AH866" s="41"/>
      <c r="AI866" s="41"/>
      <c r="AJ866" s="41"/>
      <c r="AK866" s="41"/>
      <c r="AL866" s="41"/>
      <c r="AM866" s="41"/>
      <c r="AN866" s="41"/>
      <c r="AO866" s="41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5"/>
      <c r="BB866" s="65"/>
      <c r="BC866" s="65"/>
      <c r="BD866" s="65"/>
    </row>
    <row r="867" spans="2:56" ht="16.5" customHeight="1" thickBot="1" x14ac:dyDescent="0.3">
      <c r="B867" s="1" t="s">
        <v>3</v>
      </c>
      <c r="C867" s="15">
        <f t="shared" si="95"/>
        <v>0</v>
      </c>
      <c r="E867" s="1" t="s">
        <v>3</v>
      </c>
      <c r="F867" s="73"/>
      <c r="G867" s="67"/>
      <c r="H867" s="67"/>
      <c r="I867" s="68"/>
      <c r="J867" s="66"/>
      <c r="K867" s="67"/>
      <c r="L867" s="67"/>
      <c r="M867" s="67"/>
      <c r="N867" s="66"/>
      <c r="O867" s="68"/>
      <c r="P867" s="66"/>
      <c r="Q867" s="67"/>
      <c r="R867" s="67"/>
      <c r="S867" s="67"/>
      <c r="T867" s="67"/>
      <c r="U867" s="67"/>
      <c r="V867" s="67"/>
      <c r="W867" s="68"/>
      <c r="X867" s="73"/>
      <c r="Y867" s="67"/>
      <c r="Z867" s="67"/>
      <c r="AA867" s="67"/>
      <c r="AB867" s="66"/>
      <c r="AC867" s="67"/>
      <c r="AD867" s="67"/>
      <c r="AE867" s="68"/>
      <c r="AF867" s="67"/>
      <c r="AG867" s="68"/>
      <c r="AH867" s="67"/>
      <c r="AI867" s="67"/>
      <c r="AJ867" s="67"/>
      <c r="AK867" s="67"/>
      <c r="AL867" s="67"/>
      <c r="AM867" s="67"/>
      <c r="AN867" s="67"/>
      <c r="AO867" s="67"/>
      <c r="AP867" s="66"/>
      <c r="AQ867" s="66"/>
      <c r="AR867" s="66"/>
      <c r="AS867" s="66"/>
      <c r="AT867" s="66"/>
      <c r="AU867" s="66"/>
      <c r="AV867" s="66"/>
      <c r="AW867" s="66"/>
      <c r="AX867" s="66"/>
      <c r="AY867" s="66"/>
      <c r="AZ867" s="66"/>
      <c r="BA867" s="69"/>
      <c r="BB867" s="69"/>
      <c r="BC867" s="69"/>
      <c r="BD867" s="69"/>
    </row>
    <row r="868" spans="2:56" ht="21" customHeight="1" x14ac:dyDescent="0.25">
      <c r="B868" s="2"/>
      <c r="C868" s="8">
        <f>SUM(C864:C867)</f>
        <v>0</v>
      </c>
      <c r="F868" s="74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74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</row>
    <row r="869" spans="2:56" ht="15.75" customHeight="1" x14ac:dyDescent="0.25">
      <c r="B869" s="2"/>
      <c r="C869" s="8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</row>
    <row r="870" spans="2:56" ht="15.75" customHeight="1" x14ac:dyDescent="0.25">
      <c r="B870" s="20"/>
      <c r="C870" s="21"/>
      <c r="D870" s="22"/>
      <c r="E870" s="22"/>
      <c r="F870" s="20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0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</row>
    <row r="871" spans="2:56" ht="15.75" customHeight="1" x14ac:dyDescent="0.25">
      <c r="B871" s="2"/>
      <c r="C871" s="8"/>
      <c r="F871" s="2"/>
      <c r="X871" s="2"/>
    </row>
    <row r="872" spans="2:56" ht="21" x14ac:dyDescent="0.35">
      <c r="B872" s="23" t="s">
        <v>18</v>
      </c>
      <c r="F872" s="82" t="s">
        <v>17</v>
      </c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3" t="s">
        <v>16</v>
      </c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79"/>
      <c r="AQ872" s="79"/>
      <c r="AR872" s="79"/>
      <c r="AS872" s="79"/>
      <c r="AT872" s="79"/>
      <c r="AU872" s="41"/>
      <c r="AV872" s="41"/>
      <c r="AW872" s="41"/>
      <c r="AX872" s="41"/>
      <c r="AY872" s="41"/>
      <c r="AZ872" s="41"/>
      <c r="BA872" s="41"/>
    </row>
    <row r="873" spans="2:56" ht="32.25" thickBot="1" x14ac:dyDescent="0.3">
      <c r="B873" s="3"/>
      <c r="F873" s="81" t="s">
        <v>9</v>
      </c>
      <c r="G873" s="81"/>
      <c r="H873" s="81"/>
      <c r="I873" s="81"/>
      <c r="J873" s="81" t="s">
        <v>10</v>
      </c>
      <c r="K873" s="81"/>
      <c r="L873" s="81"/>
      <c r="M873" s="81"/>
      <c r="N873" s="81" t="s">
        <v>49</v>
      </c>
      <c r="O873" s="81"/>
      <c r="P873" s="81" t="s">
        <v>11</v>
      </c>
      <c r="Q873" s="81"/>
      <c r="R873" s="81"/>
      <c r="S873" s="81"/>
      <c r="T873" s="81"/>
      <c r="U873" s="81"/>
      <c r="V873" s="81"/>
      <c r="W873" s="81"/>
      <c r="X873" s="81" t="s">
        <v>9</v>
      </c>
      <c r="Y873" s="81"/>
      <c r="Z873" s="81"/>
      <c r="AA873" s="81"/>
      <c r="AB873" s="81" t="s">
        <v>10</v>
      </c>
      <c r="AC873" s="81"/>
      <c r="AD873" s="81"/>
      <c r="AE873" s="81"/>
      <c r="AF873" s="81" t="s">
        <v>49</v>
      </c>
      <c r="AG873" s="81"/>
      <c r="AH873" s="81" t="s">
        <v>11</v>
      </c>
      <c r="AI873" s="81"/>
      <c r="AJ873" s="81"/>
      <c r="AK873" s="81"/>
      <c r="AL873" s="81"/>
      <c r="AM873" s="81"/>
      <c r="AN873" s="81"/>
      <c r="AO873" s="81"/>
      <c r="AP873" s="70" t="s">
        <v>50</v>
      </c>
      <c r="AQ873" s="70" t="s">
        <v>57</v>
      </c>
      <c r="AR873" s="70" t="s">
        <v>63</v>
      </c>
      <c r="AS873" s="70" t="s">
        <v>64</v>
      </c>
      <c r="AT873" s="70" t="s">
        <v>61</v>
      </c>
      <c r="AU873" s="70" t="s">
        <v>54</v>
      </c>
      <c r="AV873" s="70" t="s">
        <v>19</v>
      </c>
      <c r="AW873" s="70" t="s">
        <v>58</v>
      </c>
      <c r="AX873" s="70" t="s">
        <v>51</v>
      </c>
      <c r="AY873" s="70" t="s">
        <v>53</v>
      </c>
      <c r="AZ873" s="70" t="s">
        <v>52</v>
      </c>
      <c r="BA873" s="70" t="s">
        <v>55</v>
      </c>
      <c r="BB873" s="70" t="s">
        <v>56</v>
      </c>
      <c r="BC873" s="70" t="s">
        <v>59</v>
      </c>
      <c r="BD873" s="70" t="s">
        <v>60</v>
      </c>
    </row>
    <row r="874" spans="2:56" ht="16.5" thickBot="1" x14ac:dyDescent="0.3">
      <c r="B874" s="19" t="s">
        <v>8</v>
      </c>
      <c r="C874" s="18"/>
      <c r="E874" s="11"/>
      <c r="F874" s="75" t="s">
        <v>15</v>
      </c>
      <c r="G874" s="58" t="s">
        <v>12</v>
      </c>
      <c r="H874" s="58" t="s">
        <v>14</v>
      </c>
      <c r="I874" s="58" t="s">
        <v>13</v>
      </c>
      <c r="J874" s="58" t="s">
        <v>42</v>
      </c>
      <c r="K874" s="58" t="s">
        <v>41</v>
      </c>
      <c r="L874" s="58" t="s">
        <v>43</v>
      </c>
      <c r="M874" s="58" t="s">
        <v>44</v>
      </c>
      <c r="N874" s="58" t="s">
        <v>15</v>
      </c>
      <c r="O874" s="58" t="s">
        <v>14</v>
      </c>
      <c r="P874" s="58" t="s">
        <v>45</v>
      </c>
      <c r="Q874" s="58" t="s">
        <v>46</v>
      </c>
      <c r="R874" s="58" t="s">
        <v>42</v>
      </c>
      <c r="S874" s="58" t="s">
        <v>41</v>
      </c>
      <c r="T874" s="58" t="s">
        <v>47</v>
      </c>
      <c r="U874" s="58" t="s">
        <v>48</v>
      </c>
      <c r="V874" s="58" t="s">
        <v>43</v>
      </c>
      <c r="W874" s="58" t="s">
        <v>44</v>
      </c>
      <c r="X874" s="75" t="s">
        <v>15</v>
      </c>
      <c r="Y874" s="58" t="s">
        <v>12</v>
      </c>
      <c r="Z874" s="58" t="s">
        <v>14</v>
      </c>
      <c r="AA874" s="58" t="s">
        <v>13</v>
      </c>
      <c r="AB874" s="58" t="s">
        <v>42</v>
      </c>
      <c r="AC874" s="58" t="s">
        <v>41</v>
      </c>
      <c r="AD874" s="58" t="s">
        <v>43</v>
      </c>
      <c r="AE874" s="58" t="s">
        <v>44</v>
      </c>
      <c r="AF874" s="58" t="s">
        <v>15</v>
      </c>
      <c r="AG874" s="58" t="s">
        <v>14</v>
      </c>
      <c r="AH874" s="58" t="s">
        <v>45</v>
      </c>
      <c r="AI874" s="58" t="s">
        <v>46</v>
      </c>
      <c r="AJ874" s="58" t="s">
        <v>42</v>
      </c>
      <c r="AK874" s="58" t="s">
        <v>41</v>
      </c>
      <c r="AL874" s="58" t="s">
        <v>47</v>
      </c>
      <c r="AM874" s="58" t="s">
        <v>48</v>
      </c>
      <c r="AN874" s="58" t="s">
        <v>43</v>
      </c>
      <c r="AO874" s="58" t="s">
        <v>44</v>
      </c>
    </row>
    <row r="875" spans="2:56" ht="16.5" thickBot="1" x14ac:dyDescent="0.3">
      <c r="B875" s="1" t="s">
        <v>0</v>
      </c>
      <c r="C875">
        <f>SUM(C9,C18,C27,C36,C45,C54,C63,C72,C81,C90,C99,C108,C117,C126,C135,C144,C153,C162,C171,C180,C189,C198,C207,C216,C225,C234,C243,C252,C261,C270,C279,C288,C297,C306,C315,C324,C333,C342,C351,C360,C369,C378,C387,C396,C405,C414,C423,C432,C441,C450,C459,C468,C477,C486,C495,C504,C513,C522,C531,C540,C549,C558,C567,C576,C585,C594,C603,C612,C621,C630,C639,C648,C657,C666,C675,C684,C693,C702,C711,C720,C729,C738,C747,C756,C765,C774,C783,C792,C801,C810,C819,C828,C837,C846,C855,C864)</f>
        <v>279</v>
      </c>
      <c r="D875" s="78">
        <f>C875/$C$879</f>
        <v>0.44497607655502391</v>
      </c>
      <c r="E875" s="24" t="s">
        <v>0</v>
      </c>
      <c r="F875" s="59">
        <f>SUM(F9,F18,F27,F36,F45,F54,F63,F72,F81,F90,F99,F108,F117,F126,F135,F144,F153,F162,F171,F180,F189,F198,F207,F216,F225,F234,F243,F252,F261,F270,F279,F288,F297,F306,F315,F324,F333,F342,F351,F360,F369,F378,F387,F396,F405,F414,F423,F432,F441,F450,F459,F468,F477,F486,F495,F504,F513,F522,F531,F540,F549,F558,F567,F576,F585,F594,F603,F612,F621,F630,F639,F648,F657,F666,F675,F684,F693,F702,F711,F720,F729,F738,F747,F756,F765,F774,F783,F792,F801,F810,F819,F828,F837,F846,F855,F864)</f>
        <v>0</v>
      </c>
      <c r="G875" s="60">
        <f t="shared" ref="G875:BD875" si="96">SUM(G9,G18,G27,G36,G45,G54,G63,G72,G81,G90,G99,G108,G117,G126,G135,G144,G153,G162,G171,G180,G189,G198,G207,G216,G225,G234,G243,G252,G261,G270,G279,G288,G297,G306,G315,G324,G333,G342,G351,G360,G369,G378,G387,G396,G405,G414,G423,G432,G441,G450,G459,G468,G477,G486,G495,G504,G513,G522,G531,G540,G549,G558,G567,G576,G585,G594,G603,G612,G621,G630,G639,G648,G657,G666,G675,G684,G693,G702,G711,G720,G729,G738,G747,G756,G765,G774,G783,G792,G801,G810,G819,G828,G837,G846,G855,G864)</f>
        <v>0</v>
      </c>
      <c r="H875" s="60">
        <f t="shared" si="96"/>
        <v>0</v>
      </c>
      <c r="I875" s="61">
        <f t="shared" si="96"/>
        <v>0</v>
      </c>
      <c r="J875" s="59">
        <f t="shared" si="96"/>
        <v>0</v>
      </c>
      <c r="K875" s="60">
        <f t="shared" si="96"/>
        <v>3</v>
      </c>
      <c r="L875" s="60">
        <f t="shared" si="96"/>
        <v>0</v>
      </c>
      <c r="M875" s="61">
        <f t="shared" si="96"/>
        <v>2</v>
      </c>
      <c r="N875" s="59">
        <f t="shared" si="96"/>
        <v>13</v>
      </c>
      <c r="O875" s="61">
        <f t="shared" si="96"/>
        <v>16</v>
      </c>
      <c r="P875" s="59">
        <f t="shared" si="96"/>
        <v>15</v>
      </c>
      <c r="Q875" s="60">
        <f t="shared" si="96"/>
        <v>18</v>
      </c>
      <c r="R875" s="60">
        <f t="shared" si="96"/>
        <v>38</v>
      </c>
      <c r="S875" s="60">
        <f t="shared" si="96"/>
        <v>15</v>
      </c>
      <c r="T875" s="60">
        <f t="shared" si="96"/>
        <v>15</v>
      </c>
      <c r="U875" s="60">
        <f t="shared" si="96"/>
        <v>29</v>
      </c>
      <c r="V875" s="60">
        <f t="shared" si="96"/>
        <v>8</v>
      </c>
      <c r="W875" s="60">
        <f t="shared" si="96"/>
        <v>107</v>
      </c>
      <c r="X875" s="59">
        <f>SUM(X9,X18,X27,X36,X45,X54,X63,X72,X81,X90,X99,X108,X117,X126,X135,X144,X153,X162,X171,X180,X189,X198,X207,X216,X225,X234,X243,X252,X261,X270,X279,X288,X297,X306,X315,X324,X333,X342,X351,X360,X369,X378,X387,X396,X405,X414,X423,X432,X441,X450,X459,X468,X477,X486,X495,X504,X513,X522,X531,X540,X549,X558,X567,X576,X585,X594,X603,X612,X621,X630,X639,X648,X657,X666,X675,X684,X693,X702,X711,X720,X729,X738,X747,X756,X765,X774,X783,X792,X801,X810,X819,X828,X837,X846,X855,X864)</f>
        <v>0</v>
      </c>
      <c r="Y875" s="60">
        <f t="shared" ref="Y875:AO875" si="97">SUM(Y9,Y18,Y27,Y36,Y45,Y54,Y63,Y72,Y81,Y90,Y99,Y108,Y117,Y126,Y135,Y144,Y153,Y162,Y171,Y180,Y189,Y198,Y207,Y216,Y225,Y234,Y243,Y252,Y261,Y270,Y279,Y288,Y297,Y306,Y315,Y324,Y333,Y342,Y351,Y360,Y369,Y378,Y387,Y396,Y405,Y414,Y423,Y432,Y441,Y450,Y459,Y468,Y477,Y486,Y495,Y504,Y513,Y522,Y531,Y540,Y549,Y558,Y567,Y576,Y585,Y594,Y603,Y612,Y621,Y630,Y639,Y648,Y657,Y666,Y675,Y684,Y693,Y702,Y711,Y720,Y729,Y738,Y747,Y756,Y765,Y774,Y783,Y792,Y801,Y810,Y819,Y828,Y837,Y846,Y855,Y864)</f>
        <v>0</v>
      </c>
      <c r="Z875" s="60">
        <f t="shared" si="97"/>
        <v>0</v>
      </c>
      <c r="AA875" s="61">
        <f t="shared" si="97"/>
        <v>0</v>
      </c>
      <c r="AB875" s="59">
        <f t="shared" si="97"/>
        <v>7</v>
      </c>
      <c r="AC875" s="60">
        <f t="shared" si="97"/>
        <v>0</v>
      </c>
      <c r="AD875" s="60">
        <f t="shared" si="97"/>
        <v>0</v>
      </c>
      <c r="AE875" s="61">
        <f t="shared" si="97"/>
        <v>0</v>
      </c>
      <c r="AF875" s="59">
        <f t="shared" si="97"/>
        <v>20</v>
      </c>
      <c r="AG875" s="61">
        <f t="shared" si="97"/>
        <v>21</v>
      </c>
      <c r="AH875" s="59">
        <f>SUM(AH9,AH18,AH27,AH36,AH45,AH54,AH63,AH72,AH81,AH90,AH99,AH108,AH117,AH126,AH135,AH144,AH153,AH162,AH171,AH180,AH189,AH198,AH207,AH216,AH225,AH234,AH243,AH252,AH261,AH270,AH279,AH288,AH297,AH306,AH315,AH324,AH333,AH342,AH351,AH360,AH369,AH378,AH387,AH396,AH405,AH414,AH423,AH432,AH441,AH450,AH459,AH468,AH477,AH486,AH495,AH504,AH513,AH522,AH531,AH540,AH549,AH558,AH567,AH576,AH585,AH594,AH603,AH612,AH621,AH630,AH639,AH648,AH657,AH666,AH675,AH684,AH693,AH702,AH711,AH720,AH729,AH738,AH747,AH756,AH765,AH774,AH783,AH792,AH801,AH810,AH819,AH828,AH837,AH846,AH855,AH864)</f>
        <v>22</v>
      </c>
      <c r="AI875" s="60">
        <f>SUM(AI9,AI18,AI27,AI36,AI45,AI54,AI63,AI72,AI81,AI90,AI99,AI108,AI117,AI126,AI135,AI144,AI153,AI162,AI171,AI180,AI189,AI198,AI207,AI216,AI225,AI234,AI243,AI252,AI261,AI270,AI279,AI288,AI297,AI306,AI315,AI324,AI333,AI342,AI351,AI360,AI369,AI378,AI387,AI396,AI405,AI414,AI423,AI432,AI441,AI450,AI459,AI468,AI477,AI486,AI495,AI504,AI513,AI522,AI531,AI540,AI549,AI558,AI567,AI576,AI585,AI594,AI603,AI612,AI621,AI630,AI639,AI648,AI657,AI666,AI675,AI684,AI693,AI702,AI711,AI720,AI729,AI738,AI747,AI756,AI765,AI774,AI783,AI792,AI801,AI810,AI819,AI828,AI837,AI846,AI855,AI864)</f>
        <v>22</v>
      </c>
      <c r="AJ875" s="60">
        <f t="shared" si="97"/>
        <v>40</v>
      </c>
      <c r="AK875" s="60">
        <f t="shared" si="97"/>
        <v>34</v>
      </c>
      <c r="AL875" s="60">
        <f t="shared" si="97"/>
        <v>33</v>
      </c>
      <c r="AM875" s="60">
        <f t="shared" si="97"/>
        <v>19</v>
      </c>
      <c r="AN875" s="60">
        <f t="shared" si="97"/>
        <v>14</v>
      </c>
      <c r="AO875" s="61">
        <f t="shared" si="97"/>
        <v>47</v>
      </c>
      <c r="AP875" s="61">
        <f t="shared" ref="AP875:AZ875" si="98">SUM(AP9,AP18,AP27,AP36,AP45,AP54,AP63,AP72,AP81,AP90,AP99,AP108,AP117,AP126,AP135,AP144,AP153,AP162,AP171,AP180,AP189,AP198,AP207,AP216,AP225,AP234,AP243,AP252,AP261,AP270,AP279,AP288,AP297,AP306,AP315,AP324,AP334,AP342,AP351,AP360,AP369,AP378,AP387,AP396,AP405,AP414,AP423,AP432,AP441,AP450,AP459,AP468,AP477,AP486,AP495,AP504,AP513,AP522,AP531,AP540,AP549,AP558,AP567,AP576,AP585,AP594,AP603,AP612,AP621,AP630,AP639,AP648,AP657,AP666,AP675,AP684,AP693,AP702,AP711,AP720,AP729,AP738,AP747,AP756,AP765,AP774,AP783,AP792,AP801,AP810,AP819,AP828,AP837,AP846,AP855,AP864)</f>
        <v>16</v>
      </c>
      <c r="AQ875" s="61">
        <f>SUM(AQ9,AQ18,AQ27,AQ36,AQ45,AQ54,AQ63,AQ72,AQ81,AQ90,AQ99,AQ108,AQ117,AQ126,AQ135,AQ144,AQ153,AQ162,AQ171,AQ180,AQ189,AQ198,AQ207,AQ216,AQ225,AQ234,AQ243,AQ252,AQ261,AQ270,AQ279,AQ288,AQ297,AQ306,AQ315,AQ324,AQ334,AQ342,AQ351,AQ360,AQ369,AQ378,AQ387,AQ396,AQ405,AQ414,AQ423,AQ432,AQ441,AQ450,AQ459,AQ468,AQ477,AQ486,AQ495,AQ504,AQ513,AQ522,AQ531,AQ540,AQ549,AQ558,AQ567,AQ576,AQ585,AQ594,AQ603,AQ612,AQ621,AQ630,AQ639,AQ648,AQ657,AQ666,AQ675,AQ684,AQ693,AQ702,AQ711,AQ720,AQ729,AQ738,AQ747,AQ756,AQ765,AQ774,AQ783,AQ792,AQ801,AQ810,AQ819,AQ828,AQ837,AQ846,AQ855,AQ864)</f>
        <v>35</v>
      </c>
      <c r="AR875" s="61">
        <f>SUM(AR9,AR18,AR27,AR36,AR45,AR54,AR63,AR72,AR81,AR90,AR99,AR108,AR117,AR126,AR135,AR144,AR153,AR162,AR171,AR180,AR189,AR198,AR207,AR216,AR225,AR234,AR243,AR252,AR261,AR270,AR279,AR288,AR297,AR306,AR315,AR324,AR334,AR342,AR351,AR360,AR369,AR378,AR387,AR396,AR405,AR414,AR423,AR432,AR441,AR450,AR459,AR468,AR477,AR486,AR495,AR504,AR513,AR522,AR531,AR540,AR549,AR558,AR567,AR576,AR585,AR594,AR603,AR612,AR621,AR630,AR639,AR648,AR657,AR666,AR675,AR684,AR693,AR702,AR711,AR720,AR729,AR738,AR747,AR756,AR765,AR774,AR783,AR792,AR801,AR810,AR819,AR828,AR837,AR846,AR855,AR864)</f>
        <v>0</v>
      </c>
      <c r="AS875" s="60">
        <f t="shared" si="98"/>
        <v>48</v>
      </c>
      <c r="AT875" s="62">
        <f t="shared" si="98"/>
        <v>0</v>
      </c>
      <c r="AU875" s="61">
        <f t="shared" si="98"/>
        <v>0</v>
      </c>
      <c r="AV875" s="62">
        <f t="shared" si="98"/>
        <v>4</v>
      </c>
      <c r="AW875" s="62">
        <f t="shared" si="98"/>
        <v>0</v>
      </c>
      <c r="AX875" s="62">
        <f t="shared" si="98"/>
        <v>17</v>
      </c>
      <c r="AY875" s="62">
        <f t="shared" si="98"/>
        <v>9</v>
      </c>
      <c r="AZ875" s="59">
        <f t="shared" si="98"/>
        <v>25</v>
      </c>
      <c r="BA875" s="59">
        <f t="shared" si="96"/>
        <v>28</v>
      </c>
      <c r="BB875" s="59">
        <f>SUM(BB9,BB18,BB27,BB36,BB45,BB54,BB63,BB72,BB81,BB90,BB99,BB108,BB117,BB126,BB135,BB144,BB153,BB162,BB171,BB180,BB189,BB198,BB207,BB216,BB225,BB234,BB243,BB252,BB261,BB270,BB279,BB288,BB297,BB306,BB315,BB324,BB333,BB342,BB351,BB360,BB369,BB378,BB387,BB396,BB405,BB414,BB423,BB432,BB441,BB450,BB459,BB468,BB477,BB486,BB495,BB504,BB513,BB522,BB531,BB540,BB549,BB558,BB568,BB576,BB585,BB594,BB603,BB612,BB621,BB630,BB639,BB648,BB657,BB666,BB675,BB684,BB693,BB702,BB711,BB720,BB729,BB738,BB747,BB756,BB765,BB774,BB783,BB792,BB801,BB810,BB819,BB828,BB837,BB846,BB855,BB864)</f>
        <v>100</v>
      </c>
      <c r="BC875" s="62">
        <f t="shared" si="96"/>
        <v>0</v>
      </c>
      <c r="BD875" s="62">
        <f t="shared" si="96"/>
        <v>0</v>
      </c>
    </row>
    <row r="876" spans="2:56" ht="16.5" thickBot="1" x14ac:dyDescent="0.3">
      <c r="B876" s="1" t="s">
        <v>1</v>
      </c>
      <c r="C876">
        <f t="shared" ref="C876:C879" si="99">SUM(C10,C19,C28,C37,C46,C55,C64,C73,C82,C91,C100,C109,C118,C127,C136,C145,C154,C163,C172,C181,C190,C199,C208,C217,C226,C235,C244,C253,C262,C271,C280,C289,C298,C307,C316,C325,C334,C343,C352,C361,C370,C379,C388,C397,C406,C415,C424,C433,C442,C451,C460,C469,C478,C487,C496,C505,C514,C523,C532,C541,C550,C559,C568,C577,C586,C595,C604,C613,C622,C631,C640,C649,C658,C667,C676,C685,C694,C703,C712,C721,C730,C739,C748,C757,C766,C775,C784,C793,C802,C811,C820,C829,C838,C847,C856,C865)</f>
        <v>190</v>
      </c>
      <c r="D876" s="78">
        <f t="shared" ref="D876:D878" si="100">C876/$C$879</f>
        <v>0.30303030303030304</v>
      </c>
      <c r="E876" s="25" t="s">
        <v>1</v>
      </c>
      <c r="F876" s="63">
        <f t="shared" ref="F876:BD876" si="101">SUM(F10,F19,F28,F37,F46,F55,F64,F73,F82,F91,F100,F109,F118,F127,F136,F145,F154,F163,F172,F181,F190,F199,F208,F217,F226,F235,F244,F253,F262,F271,F280,F289,F298,F307,F316,F325,F334,F343,F352,F361,F370,F379,F388,F397,F406,F415,F424,F433,F442,F451,F460,F469,F478,F487,F496,F505,F514,F523,F532,F541,F550,F559,F568,F577,F586,F595,F604,F613,F622,F631,F640,F649,F658,F667,F676,F685,F694,F703,F712,F721,F730,F739,F748,F757,F766,F775,F784,F793,F802,F811,F820,F829,F838,F847,F856,F865)</f>
        <v>3</v>
      </c>
      <c r="G876" s="41">
        <f t="shared" si="101"/>
        <v>0</v>
      </c>
      <c r="H876" s="41">
        <f t="shared" si="101"/>
        <v>3</v>
      </c>
      <c r="I876" s="64">
        <f t="shared" si="101"/>
        <v>0</v>
      </c>
      <c r="J876" s="63">
        <f t="shared" si="101"/>
        <v>8</v>
      </c>
      <c r="K876" s="41">
        <f t="shared" si="101"/>
        <v>0</v>
      </c>
      <c r="L876" s="41">
        <f t="shared" si="101"/>
        <v>5</v>
      </c>
      <c r="M876" s="64">
        <f t="shared" si="101"/>
        <v>0</v>
      </c>
      <c r="N876" s="63">
        <f t="shared" si="101"/>
        <v>9</v>
      </c>
      <c r="O876" s="64">
        <f t="shared" si="101"/>
        <v>29</v>
      </c>
      <c r="P876" s="63">
        <f t="shared" si="101"/>
        <v>2</v>
      </c>
      <c r="Q876" s="41">
        <f t="shared" si="101"/>
        <v>5</v>
      </c>
      <c r="R876" s="41">
        <f t="shared" si="101"/>
        <v>17</v>
      </c>
      <c r="S876" s="41">
        <f t="shared" si="101"/>
        <v>18</v>
      </c>
      <c r="T876" s="41">
        <f t="shared" si="101"/>
        <v>10</v>
      </c>
      <c r="U876" s="41">
        <f t="shared" si="101"/>
        <v>6</v>
      </c>
      <c r="V876" s="41">
        <f t="shared" si="101"/>
        <v>1</v>
      </c>
      <c r="W876" s="41">
        <f t="shared" si="101"/>
        <v>74</v>
      </c>
      <c r="X876" s="63">
        <f t="shared" si="101"/>
        <v>3</v>
      </c>
      <c r="Y876" s="41">
        <f t="shared" si="101"/>
        <v>0</v>
      </c>
      <c r="Z876" s="41">
        <f t="shared" si="101"/>
        <v>3</v>
      </c>
      <c r="AA876" s="64">
        <f t="shared" si="101"/>
        <v>0</v>
      </c>
      <c r="AB876" s="63">
        <f t="shared" si="101"/>
        <v>4</v>
      </c>
      <c r="AC876" s="41">
        <f t="shared" si="101"/>
        <v>7</v>
      </c>
      <c r="AD876" s="41">
        <f t="shared" si="101"/>
        <v>0</v>
      </c>
      <c r="AE876" s="64">
        <f t="shared" si="101"/>
        <v>6</v>
      </c>
      <c r="AF876" s="63">
        <f t="shared" si="101"/>
        <v>15</v>
      </c>
      <c r="AG876" s="64">
        <f t="shared" si="101"/>
        <v>31</v>
      </c>
      <c r="AH876" s="63">
        <f t="shared" si="101"/>
        <v>2</v>
      </c>
      <c r="AI876" s="41">
        <f t="shared" si="101"/>
        <v>1</v>
      </c>
      <c r="AJ876" s="41">
        <f t="shared" si="101"/>
        <v>26</v>
      </c>
      <c r="AK876" s="41">
        <f t="shared" si="101"/>
        <v>15</v>
      </c>
      <c r="AL876" s="41">
        <f t="shared" si="101"/>
        <v>0</v>
      </c>
      <c r="AM876" s="41">
        <f t="shared" si="101"/>
        <v>5</v>
      </c>
      <c r="AN876" s="41">
        <f t="shared" si="101"/>
        <v>4</v>
      </c>
      <c r="AO876" s="64">
        <f t="shared" si="101"/>
        <v>68</v>
      </c>
      <c r="AP876" s="64">
        <f t="shared" ref="AP876:AZ876" si="102">SUM(AP10,AP19,AP28,AP37,AP46,AP55,AP64,AP73,AP82,AP91,AP100,AP109,AP118,AP127,AP136,AP145,AP154,AP163,AP172,AP181,AP190,AP199,AP208,AP217,AP226,AP235,AP244,AP253,AP262,AP271,AP280,AP289,AP298,AP307,AP316,AP325,AP335,AP343,AP352,AP361,AP370,AP379,AP388,AP397,AP406,AP415,AP424,AP433,AP442,AP451,AP460,AP469,AP478,AP487,AP496,AP505,AP514,AP523,AP532,AP541,AP550,AP559,AP568,AP577,AP586,AP595,AP604,AP613,AP622,AP631,AP640,AP649,AP658,AP667,AP676,AP685,AP694,AP703,AP712,AP721,AP730,AP739,AP748,AP757,AP766,AP775,AP784,AP793,AP802,AP811,AP820,AP829,AP838,AP847,AP856,AP865)</f>
        <v>3</v>
      </c>
      <c r="AQ876" s="64">
        <f t="shared" si="102"/>
        <v>15</v>
      </c>
      <c r="AR876" s="64">
        <f t="shared" si="102"/>
        <v>0</v>
      </c>
      <c r="AS876" s="41">
        <f t="shared" si="102"/>
        <v>3</v>
      </c>
      <c r="AT876" s="65">
        <f t="shared" si="102"/>
        <v>1</v>
      </c>
      <c r="AU876" s="64">
        <f t="shared" si="102"/>
        <v>2</v>
      </c>
      <c r="AV876" s="65">
        <f t="shared" si="102"/>
        <v>0</v>
      </c>
      <c r="AW876" s="65">
        <f t="shared" si="102"/>
        <v>0</v>
      </c>
      <c r="AX876" s="65">
        <f t="shared" si="102"/>
        <v>40</v>
      </c>
      <c r="AY876" s="65">
        <f t="shared" si="102"/>
        <v>0</v>
      </c>
      <c r="AZ876" s="63">
        <f t="shared" si="102"/>
        <v>0</v>
      </c>
      <c r="BA876" s="63">
        <f t="shared" si="101"/>
        <v>3</v>
      </c>
      <c r="BB876" s="63">
        <f>SUM(BB10,BB19,BB28,BB37,BB46,BB55,BB64,BB73,BB82,BB91,BB100,BB109,BB118,BB127,BB136,BB145,BB154,BB163,BB172,BB181,BB190,BB199,BB208,BB217,BB226,BB235,BB244,BB253,BB262,BB271,BB280,BB289,BB298,BB307,BB316,BB325,BB334,BB343,BB352,BB361,BB370,BB379,BB388,BB397,BB406,BB415,BB424,BB433,BB442,BB451,BB460,BB469,BB478,BB487,BB496,BB505,BB514,BB523,BB532,BB541,BB550,BB559,BB568,BB577,BB586,BB595,BB604,BB613,BB622,BB631,BB640,BB649,BB658,BB667,BB676,BB685,BB694,BB703,BB712,BB721,BB730,BB739,BB748,BB757,BB766,BB775,BB784,BB793,BB802,BB811,BB820,BB829,BB838,BB847,BB856,BB865)</f>
        <v>106</v>
      </c>
      <c r="BC876" s="65">
        <f t="shared" si="101"/>
        <v>2</v>
      </c>
      <c r="BD876" s="65">
        <f t="shared" si="101"/>
        <v>0</v>
      </c>
    </row>
    <row r="877" spans="2:56" ht="16.5" thickBot="1" x14ac:dyDescent="0.3">
      <c r="B877" s="1" t="s">
        <v>2</v>
      </c>
      <c r="C877">
        <f t="shared" si="99"/>
        <v>157</v>
      </c>
      <c r="D877" s="78">
        <f t="shared" si="100"/>
        <v>0.25039872408293462</v>
      </c>
      <c r="E877" s="25" t="s">
        <v>2</v>
      </c>
      <c r="F877" s="63">
        <f t="shared" ref="F877:BD877" si="103">SUM(F11,F20,F29,F38,F47,F56,F65,F74,F83,F92,F101,F110,F119,F128,F137,F146,F155,F164,F173,F182,F191,F200,F209,F218,F227,F236,F245,F254,F263,F272,F281,F290,F299,F308,F317,F326,F335,F344,F353,F362,F371,F380,F389,F398,F407,F416,F425,F434,F443,F452,F461,F470,F479,F488,F497,F506,F515,F524,F533,F542,F551,F560,F569,F578,F587,F596,F605,F614,F623,F632,F641,F650,F659,F668,F677,F686,F695,F704,F713,F722,F731,F740,F749,F758,F767,F776,F785,F794,F803,F812,F821,F830,F839,F848,F857,F866)</f>
        <v>0</v>
      </c>
      <c r="G877" s="41">
        <f t="shared" si="103"/>
        <v>0</v>
      </c>
      <c r="H877" s="41">
        <f t="shared" si="103"/>
        <v>1</v>
      </c>
      <c r="I877" s="64">
        <f t="shared" si="103"/>
        <v>0</v>
      </c>
      <c r="J877" s="63">
        <f t="shared" si="103"/>
        <v>5</v>
      </c>
      <c r="K877" s="41">
        <f t="shared" si="103"/>
        <v>2</v>
      </c>
      <c r="L877" s="41">
        <f t="shared" si="103"/>
        <v>1</v>
      </c>
      <c r="M877" s="64">
        <f t="shared" si="103"/>
        <v>0</v>
      </c>
      <c r="N877" s="63">
        <f t="shared" si="103"/>
        <v>0</v>
      </c>
      <c r="O877" s="64">
        <f t="shared" si="103"/>
        <v>12</v>
      </c>
      <c r="P877" s="63">
        <f t="shared" si="103"/>
        <v>1</v>
      </c>
      <c r="Q877" s="41">
        <f t="shared" si="103"/>
        <v>23</v>
      </c>
      <c r="R877" s="41">
        <f t="shared" si="103"/>
        <v>23</v>
      </c>
      <c r="S877" s="41">
        <f t="shared" si="103"/>
        <v>7</v>
      </c>
      <c r="T877" s="41">
        <f t="shared" si="103"/>
        <v>12</v>
      </c>
      <c r="U877" s="41">
        <f t="shared" si="103"/>
        <v>8</v>
      </c>
      <c r="V877" s="41">
        <f t="shared" si="103"/>
        <v>8</v>
      </c>
      <c r="W877" s="41">
        <f t="shared" si="103"/>
        <v>54</v>
      </c>
      <c r="X877" s="63">
        <f t="shared" si="103"/>
        <v>0</v>
      </c>
      <c r="Y877" s="41">
        <f t="shared" si="103"/>
        <v>0</v>
      </c>
      <c r="Z877" s="41">
        <f t="shared" si="103"/>
        <v>0</v>
      </c>
      <c r="AA877" s="64">
        <f t="shared" si="103"/>
        <v>0</v>
      </c>
      <c r="AB877" s="63">
        <f t="shared" si="103"/>
        <v>4</v>
      </c>
      <c r="AC877" s="41">
        <f t="shared" si="103"/>
        <v>5</v>
      </c>
      <c r="AD877" s="41">
        <f t="shared" si="103"/>
        <v>0</v>
      </c>
      <c r="AE877" s="64">
        <f t="shared" si="103"/>
        <v>2</v>
      </c>
      <c r="AF877" s="63">
        <f t="shared" si="103"/>
        <v>0</v>
      </c>
      <c r="AG877" s="64">
        <f t="shared" si="103"/>
        <v>11</v>
      </c>
      <c r="AH877" s="63">
        <f t="shared" si="103"/>
        <v>0</v>
      </c>
      <c r="AI877" s="41">
        <f t="shared" si="103"/>
        <v>16</v>
      </c>
      <c r="AJ877" s="41">
        <f t="shared" si="103"/>
        <v>15</v>
      </c>
      <c r="AK877" s="41">
        <f t="shared" si="103"/>
        <v>7</v>
      </c>
      <c r="AL877" s="41">
        <f t="shared" si="103"/>
        <v>2</v>
      </c>
      <c r="AM877" s="41">
        <f t="shared" si="103"/>
        <v>7</v>
      </c>
      <c r="AN877" s="41">
        <f t="shared" si="103"/>
        <v>8</v>
      </c>
      <c r="AO877" s="64">
        <f t="shared" si="103"/>
        <v>80</v>
      </c>
      <c r="AP877" s="64">
        <f t="shared" ref="AP877:AZ877" si="104">SUM(AP11,AP20,AP29,AP38,AP47,AP56,AP65,AP74,AP83,AP92,AP101,AP110,AP119,AP128,AP137,AP146,AP155,AP164,AP173,AP182,AP191,AP200,AP209,AP218,AP227,AP236,AP245,AP254,AP263,AP272,AP281,AP290,AP299,AP308,AP317,AP326,AP336,AP344,AP353,AP362,AP371,AP380,AP389,AP398,AP407,AP416,AP425,AP434,AP443,AP452,AP461,AP470,AP479,AP488,AP497,AP506,AP515,AP524,AP533,AP542,AP551,AP560,AP569,AP578,AP587,AP596,AP605,AP614,AP623,AP632,AP641,AP650,AP659,AP668,AP677,AP686,AP695,AP704,AP713,AP722,AP731,AP740,AP749,AP758,AP767,AP776,AP785,AP794,AP803,AP812,AP821,AP830,AP839,AP848,AP857,AP866)</f>
        <v>0</v>
      </c>
      <c r="AQ877" s="64">
        <f t="shared" si="104"/>
        <v>4</v>
      </c>
      <c r="AR877" s="64">
        <f t="shared" si="104"/>
        <v>0</v>
      </c>
      <c r="AS877" s="41">
        <f t="shared" si="104"/>
        <v>0</v>
      </c>
      <c r="AT877" s="65">
        <f t="shared" si="104"/>
        <v>0</v>
      </c>
      <c r="AU877" s="64">
        <f t="shared" si="104"/>
        <v>0</v>
      </c>
      <c r="AV877" s="65">
        <f t="shared" si="104"/>
        <v>0</v>
      </c>
      <c r="AW877" s="65">
        <f t="shared" si="104"/>
        <v>0</v>
      </c>
      <c r="AX877" s="65">
        <f t="shared" si="104"/>
        <v>60</v>
      </c>
      <c r="AY877" s="65">
        <f t="shared" si="104"/>
        <v>0</v>
      </c>
      <c r="AZ877" s="63">
        <f t="shared" si="104"/>
        <v>0</v>
      </c>
      <c r="BA877" s="63">
        <f t="shared" si="103"/>
        <v>0</v>
      </c>
      <c r="BB877" s="63">
        <f t="shared" si="103"/>
        <v>86</v>
      </c>
      <c r="BC877" s="65">
        <f t="shared" si="103"/>
        <v>0</v>
      </c>
      <c r="BD877" s="65">
        <f t="shared" si="103"/>
        <v>0</v>
      </c>
    </row>
    <row r="878" spans="2:56" ht="16.5" thickBot="1" x14ac:dyDescent="0.3">
      <c r="B878" s="1" t="s">
        <v>3</v>
      </c>
      <c r="C878" s="6">
        <f t="shared" si="99"/>
        <v>1</v>
      </c>
      <c r="D878" s="78">
        <f t="shared" si="100"/>
        <v>1.594896331738437E-3</v>
      </c>
      <c r="E878" s="25" t="s">
        <v>3</v>
      </c>
      <c r="F878" s="66">
        <f t="shared" ref="F878:BD878" si="105">SUM(F12,F21,F30,F39,F48,F57,F66,F75,F84,F93,F102,F111,F120,F129,F138,F147,F156,F165,F174,F183,F192,F201,F210,F219,F228,F237,F246,F255,F264,F273,F282,F291,F300,F309,F318,F327,F336,F345,F354,F363,F372,F381,F390,F399,F408,F417,F426,F435,F444,F453,F462,F471,F480,F489,F498,F507,F516,F525,F534,F543,F552,F561,F570,F579,F588,F597,F606,F615,F624,F633,F642,F651,F660,F669,F678,F687,F696,F705,F714,F723,F732,F741,F750,F759,F768,F777,F786,F795,F804,F813,F822,F831,F840,F849,F858,F867)</f>
        <v>0</v>
      </c>
      <c r="G878" s="67">
        <f t="shared" si="105"/>
        <v>0</v>
      </c>
      <c r="H878" s="67">
        <f t="shared" si="105"/>
        <v>0</v>
      </c>
      <c r="I878" s="68">
        <f t="shared" si="105"/>
        <v>0</v>
      </c>
      <c r="J878" s="66">
        <f t="shared" si="105"/>
        <v>0</v>
      </c>
      <c r="K878" s="67">
        <f t="shared" si="105"/>
        <v>0</v>
      </c>
      <c r="L878" s="67">
        <f t="shared" si="105"/>
        <v>0</v>
      </c>
      <c r="M878" s="68">
        <f t="shared" si="105"/>
        <v>0</v>
      </c>
      <c r="N878" s="66">
        <f t="shared" si="105"/>
        <v>0</v>
      </c>
      <c r="O878" s="68">
        <f t="shared" si="105"/>
        <v>0</v>
      </c>
      <c r="P878" s="66">
        <f t="shared" si="105"/>
        <v>0</v>
      </c>
      <c r="Q878" s="67">
        <f t="shared" si="105"/>
        <v>0</v>
      </c>
      <c r="R878" s="67">
        <f t="shared" si="105"/>
        <v>0</v>
      </c>
      <c r="S878" s="67">
        <f t="shared" si="105"/>
        <v>0</v>
      </c>
      <c r="T878" s="67">
        <f t="shared" si="105"/>
        <v>0</v>
      </c>
      <c r="U878" s="67">
        <f t="shared" si="105"/>
        <v>0</v>
      </c>
      <c r="V878" s="67">
        <f t="shared" si="105"/>
        <v>0</v>
      </c>
      <c r="W878" s="67">
        <f t="shared" si="105"/>
        <v>1</v>
      </c>
      <c r="X878" s="66">
        <f t="shared" si="105"/>
        <v>0</v>
      </c>
      <c r="Y878" s="67">
        <f t="shared" si="105"/>
        <v>0</v>
      </c>
      <c r="Z878" s="67">
        <f t="shared" si="105"/>
        <v>0</v>
      </c>
      <c r="AA878" s="68">
        <f t="shared" si="105"/>
        <v>0</v>
      </c>
      <c r="AB878" s="66">
        <f t="shared" si="105"/>
        <v>0</v>
      </c>
      <c r="AC878" s="67">
        <f t="shared" si="105"/>
        <v>0</v>
      </c>
      <c r="AD878" s="67">
        <f t="shared" si="105"/>
        <v>0</v>
      </c>
      <c r="AE878" s="68">
        <f t="shared" si="105"/>
        <v>0</v>
      </c>
      <c r="AF878" s="66">
        <f t="shared" si="105"/>
        <v>0</v>
      </c>
      <c r="AG878" s="68">
        <f t="shared" si="105"/>
        <v>0</v>
      </c>
      <c r="AH878" s="66">
        <f t="shared" si="105"/>
        <v>0</v>
      </c>
      <c r="AI878" s="67">
        <f t="shared" si="105"/>
        <v>0</v>
      </c>
      <c r="AJ878" s="67">
        <f t="shared" si="105"/>
        <v>0</v>
      </c>
      <c r="AK878" s="67">
        <f t="shared" si="105"/>
        <v>0</v>
      </c>
      <c r="AL878" s="67">
        <f t="shared" si="105"/>
        <v>1</v>
      </c>
      <c r="AM878" s="67">
        <f t="shared" si="105"/>
        <v>0</v>
      </c>
      <c r="AN878" s="67">
        <f t="shared" si="105"/>
        <v>0</v>
      </c>
      <c r="AO878" s="68">
        <f t="shared" si="105"/>
        <v>0</v>
      </c>
      <c r="AP878" s="69">
        <f t="shared" si="105"/>
        <v>0</v>
      </c>
      <c r="AQ878" s="69">
        <f t="shared" ref="AQ878:AS878" si="106">SUM(AQ12,AQ21,AQ30,AQ39,AQ48,AQ57,AQ66,AQ75,AQ84,AQ93,AQ102,AQ111,AQ120,AQ129,AQ138,AQ147,AQ156,AQ165,AQ174,AQ183,AQ192,AQ201,AQ210,AQ219,AQ228,AQ237,AQ246,AQ255,AQ264,AQ273,AQ282,AQ291,AQ300,AQ309,AQ318,AQ327,AQ337,AQ345,AQ354,AQ363,AQ372,AQ381,AQ390,AQ399,AQ408,AQ417,AQ426,AQ435,AQ444,AQ453,AQ462,AQ471,AQ480,AQ489,AQ498,AQ507,AQ516,AQ525,AQ534,AQ543,AQ552,AQ561,AQ570,AQ579,AQ588,AQ597,AQ606,AQ615,AQ624,AQ633,AQ642,AQ651,AQ660,AQ669,AQ678,AQ687,AQ696,AQ705,AQ714,AQ723,AQ732,AQ741,AQ750,AQ759,AQ768,AQ777,AQ786,AQ795,AQ804,AQ813,AQ822,AQ831,AQ840,AQ849,AQ858,AQ867)</f>
        <v>0</v>
      </c>
      <c r="AR878" s="69">
        <f t="shared" si="106"/>
        <v>0</v>
      </c>
      <c r="AS878" s="68">
        <f t="shared" si="106"/>
        <v>0</v>
      </c>
      <c r="AT878" s="69">
        <f t="shared" ref="AT878" si="107">SUM(AT12,AT21,AT30,AT39,AT48,AT57,AT66,AT75,AT84,AT93,AT102,AT111,AT120,AT129,AT138,AT147,AT156,AT165,AT174,AT183,AT192,AT201,AT210,AT219,AT228,AT237,AT246,AT255,AT264,AT273,AT282,AT291,AT300,AT309,AT318,AT327,AT337,AT345,AT354,AT363,AT372,AT381,AT390,AT399,AT408,AT417,AT426,AT435,AT444,AT453,AT462,AT471,AT480,AT489,AT498,AT507,AT516,AT525,AT534,AT543,AT552,AT561,AT570,AT579,AT588,AT597,AT606,AT615,AT624,AT633,AT642,AT651,AT660,AT669,AT678,AT687,AT696,AT705,AT714,AT723,AT732,AT741,AT750,AT759,AT768,AT777,AT786,AT795,AT804,AT813,AT822,AT831,AT840,AT849,AT858,AT867)</f>
        <v>0</v>
      </c>
      <c r="AU878" s="69">
        <f t="shared" ref="AU878:AZ878" si="108">SUM(AU12,AU21,AU30,AU39,AU48,AU57,AU66,AU75,AU84,AU93,AU102,AU111,AU120,AU129,AU138,AU147,AU156,AU165,AU174,AU183,AU192,AU201,AU210,AU219,AU228,AU237,AU246,AU255,AU264,AU273,AU282,AU291,AU300,AU309,AU318,AU327,AU336,AU345,AU354,AU363,AU372,AU381,AU390,AU399,AU408,AU417,AU426,AU435,AU444,AU453,AU462,AU471,AU480,AU489,AU498,AU507,AU516,AU525,AU534,AU543,AU552,AU561,AU570,AU579,AU588,AU597,AU606,AU615,AU624,AU633,AU642,AU651,AU660,AU669,AU678,AU687,AU696,AU705,AU714,AU723,AU732,AU741,AU750,AU759,AU768,AU777,AU786,AU795,AU804,AU813,AU822,AU831,AU840,AU849,AU858,AU867)</f>
        <v>0</v>
      </c>
      <c r="AV878" s="69">
        <f t="shared" si="108"/>
        <v>0</v>
      </c>
      <c r="AW878" s="69">
        <f t="shared" si="108"/>
        <v>0</v>
      </c>
      <c r="AX878" s="69">
        <f t="shared" ref="AX878" si="109">SUM(AX12,AX21,AX30,AX39,AX48,AX57,AX66,AX75,AX84,AX93,AX102,AX111,AX120,AX129,AX138,AX147,AX156,AX165,AX174,AX183,AX192,AX201,AX210,AX219,AX228,AX237,AX246,AX255,AX264,AX273,AX282,AX291,AX300,AX309,AX318,AX327,AX337,AX345,AX354,AX363,AX372,AX381,AX390,AX399,AX408,AX417,AX426,AX435,AX444,AX453,AX462,AX471,AX480,AX489,AX498,AX507,AX516,AX525,AX534,AX543,AX552,AX561,AX570,AX579,AX588,AX597,AX606,AX615,AX624,AX633,AX642,AX651,AX660,AX669,AX678,AX687,AX696,AX705,AX714,AX723,AX732,AX741,AX750,AX759,AX768,AX777,AX786,AX795,AX804,AX813,AX822,AX831,AX840,AX849,AX858,AX867)</f>
        <v>0</v>
      </c>
      <c r="AY878" s="69">
        <f t="shared" si="108"/>
        <v>0</v>
      </c>
      <c r="AZ878" s="69">
        <f t="shared" si="108"/>
        <v>0</v>
      </c>
      <c r="BA878" s="66">
        <f t="shared" si="105"/>
        <v>0</v>
      </c>
      <c r="BB878" s="66">
        <f t="shared" si="105"/>
        <v>1</v>
      </c>
      <c r="BC878" s="69">
        <f t="shared" si="105"/>
        <v>0</v>
      </c>
      <c r="BD878" s="69">
        <f t="shared" si="105"/>
        <v>0</v>
      </c>
    </row>
    <row r="879" spans="2:56" ht="15.75" x14ac:dyDescent="0.25">
      <c r="B879" s="2"/>
      <c r="C879" s="3">
        <f t="shared" si="99"/>
        <v>627</v>
      </c>
      <c r="E879" s="2" t="s">
        <v>4</v>
      </c>
      <c r="F879" s="41">
        <f>SUM(F875:F878)</f>
        <v>3</v>
      </c>
      <c r="G879" s="41">
        <f t="shared" ref="G879:BD879" si="110">SUM(G875:G878)</f>
        <v>0</v>
      </c>
      <c r="H879" s="41">
        <f t="shared" si="110"/>
        <v>4</v>
      </c>
      <c r="I879" s="41">
        <f t="shared" si="110"/>
        <v>0</v>
      </c>
      <c r="J879" s="41">
        <f t="shared" si="110"/>
        <v>13</v>
      </c>
      <c r="K879" s="41">
        <f t="shared" si="110"/>
        <v>5</v>
      </c>
      <c r="L879" s="41">
        <f t="shared" si="110"/>
        <v>6</v>
      </c>
      <c r="M879" s="41">
        <f t="shared" si="110"/>
        <v>2</v>
      </c>
      <c r="N879" s="41">
        <f t="shared" si="110"/>
        <v>22</v>
      </c>
      <c r="O879" s="41">
        <f t="shared" si="110"/>
        <v>57</v>
      </c>
      <c r="P879" s="41">
        <f t="shared" si="110"/>
        <v>18</v>
      </c>
      <c r="Q879" s="41">
        <f t="shared" si="110"/>
        <v>46</v>
      </c>
      <c r="R879" s="41">
        <f t="shared" si="110"/>
        <v>78</v>
      </c>
      <c r="S879" s="41">
        <f t="shared" si="110"/>
        <v>40</v>
      </c>
      <c r="T879" s="41">
        <f t="shared" si="110"/>
        <v>37</v>
      </c>
      <c r="U879" s="41">
        <f t="shared" si="110"/>
        <v>43</v>
      </c>
      <c r="V879" s="41">
        <f t="shared" si="110"/>
        <v>17</v>
      </c>
      <c r="W879" s="41">
        <f t="shared" si="110"/>
        <v>236</v>
      </c>
      <c r="X879" s="41">
        <f t="shared" si="110"/>
        <v>3</v>
      </c>
      <c r="Y879" s="41">
        <f>SUM(Y875:Y878)</f>
        <v>0</v>
      </c>
      <c r="Z879" s="41">
        <f t="shared" si="110"/>
        <v>3</v>
      </c>
      <c r="AA879" s="41">
        <f t="shared" si="110"/>
        <v>0</v>
      </c>
      <c r="AB879" s="41">
        <f t="shared" si="110"/>
        <v>15</v>
      </c>
      <c r="AC879" s="41">
        <f t="shared" si="110"/>
        <v>12</v>
      </c>
      <c r="AD879" s="41">
        <f t="shared" si="110"/>
        <v>0</v>
      </c>
      <c r="AE879" s="41">
        <f t="shared" si="110"/>
        <v>8</v>
      </c>
      <c r="AF879" s="41">
        <f t="shared" si="110"/>
        <v>35</v>
      </c>
      <c r="AG879" s="41">
        <f t="shared" si="110"/>
        <v>63</v>
      </c>
      <c r="AH879" s="41">
        <f t="shared" si="110"/>
        <v>24</v>
      </c>
      <c r="AI879" s="41">
        <f t="shared" si="110"/>
        <v>39</v>
      </c>
      <c r="AJ879" s="41">
        <f t="shared" si="110"/>
        <v>81</v>
      </c>
      <c r="AK879" s="41">
        <f t="shared" si="110"/>
        <v>56</v>
      </c>
      <c r="AL879" s="41">
        <f t="shared" si="110"/>
        <v>36</v>
      </c>
      <c r="AM879" s="41">
        <f t="shared" si="110"/>
        <v>31</v>
      </c>
      <c r="AN879" s="41">
        <f t="shared" si="110"/>
        <v>26</v>
      </c>
      <c r="AO879" s="41">
        <f t="shared" si="110"/>
        <v>195</v>
      </c>
      <c r="AP879" s="41">
        <f t="shared" si="110"/>
        <v>19</v>
      </c>
      <c r="AQ879" s="41">
        <f t="shared" si="110"/>
        <v>54</v>
      </c>
      <c r="AR879" s="41">
        <f t="shared" si="110"/>
        <v>0</v>
      </c>
      <c r="AS879" s="41">
        <f t="shared" si="110"/>
        <v>51</v>
      </c>
      <c r="AT879" s="41">
        <f t="shared" si="110"/>
        <v>1</v>
      </c>
      <c r="AU879" s="41">
        <f t="shared" si="110"/>
        <v>2</v>
      </c>
      <c r="AV879" s="41">
        <f t="shared" si="110"/>
        <v>4</v>
      </c>
      <c r="AW879" s="41">
        <f t="shared" si="110"/>
        <v>0</v>
      </c>
      <c r="AX879" s="41">
        <f t="shared" si="110"/>
        <v>117</v>
      </c>
      <c r="AY879" s="41">
        <f t="shared" si="110"/>
        <v>9</v>
      </c>
      <c r="AZ879" s="41">
        <f t="shared" si="110"/>
        <v>25</v>
      </c>
      <c r="BA879" s="41">
        <f t="shared" si="110"/>
        <v>31</v>
      </c>
      <c r="BB879" s="41">
        <f t="shared" si="110"/>
        <v>293</v>
      </c>
      <c r="BC879" s="41">
        <f t="shared" si="110"/>
        <v>2</v>
      </c>
      <c r="BD879" s="41">
        <f t="shared" si="110"/>
        <v>0</v>
      </c>
    </row>
    <row r="881" spans="6:42" x14ac:dyDescent="0.25">
      <c r="F881" s="41">
        <f>SUM(F879:W879)</f>
        <v>627</v>
      </c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>
        <f>SUM(X879:AO879)</f>
        <v>627</v>
      </c>
      <c r="AO881" s="77" t="s">
        <v>65</v>
      </c>
      <c r="AP881" s="78">
        <f>AQ879/SUM(AP879:AQ879)</f>
        <v>0.73972602739726023</v>
      </c>
    </row>
    <row r="882" spans="6:42" x14ac:dyDescent="0.25">
      <c r="AO882" s="77" t="s">
        <v>66</v>
      </c>
      <c r="AP882" s="78">
        <f>AS879/SUM(AR879:AS879)</f>
        <v>1</v>
      </c>
    </row>
    <row r="883" spans="6:42" x14ac:dyDescent="0.25">
      <c r="AO883" s="77" t="s">
        <v>67</v>
      </c>
      <c r="AP883" s="78">
        <f>SUM(AQ879+AS879)/SUM(AP879:AS879)</f>
        <v>0.84677419354838712</v>
      </c>
    </row>
  </sheetData>
  <mergeCells count="970">
    <mergeCell ref="F872:W872"/>
    <mergeCell ref="X872:AO872"/>
    <mergeCell ref="J873:M873"/>
    <mergeCell ref="N873:O873"/>
    <mergeCell ref="P873:W873"/>
    <mergeCell ref="AB873:AE873"/>
    <mergeCell ref="AF873:AG873"/>
    <mergeCell ref="AH873:AO873"/>
    <mergeCell ref="F861:W861"/>
    <mergeCell ref="X861:AO861"/>
    <mergeCell ref="F862:I862"/>
    <mergeCell ref="J862:M862"/>
    <mergeCell ref="N862:O862"/>
    <mergeCell ref="P862:W862"/>
    <mergeCell ref="X862:AA862"/>
    <mergeCell ref="AB862:AE862"/>
    <mergeCell ref="AF862:AG862"/>
    <mergeCell ref="AH862:AO862"/>
    <mergeCell ref="F873:I873"/>
    <mergeCell ref="X873:AA873"/>
    <mergeCell ref="J844:M844"/>
    <mergeCell ref="N844:O844"/>
    <mergeCell ref="P844:W844"/>
    <mergeCell ref="AB844:AE844"/>
    <mergeCell ref="AF844:AG844"/>
    <mergeCell ref="AH844:AO844"/>
    <mergeCell ref="F852:W852"/>
    <mergeCell ref="X852:AO852"/>
    <mergeCell ref="J853:M853"/>
    <mergeCell ref="N853:O853"/>
    <mergeCell ref="P853:W853"/>
    <mergeCell ref="AB853:AE853"/>
    <mergeCell ref="AF853:AG853"/>
    <mergeCell ref="AH853:AO853"/>
    <mergeCell ref="F853:I853"/>
    <mergeCell ref="X853:AA853"/>
    <mergeCell ref="F844:I844"/>
    <mergeCell ref="X844:AA844"/>
    <mergeCell ref="F834:W834"/>
    <mergeCell ref="X834:AO834"/>
    <mergeCell ref="J835:M835"/>
    <mergeCell ref="N835:O835"/>
    <mergeCell ref="P835:W835"/>
    <mergeCell ref="AB835:AE835"/>
    <mergeCell ref="AF835:AG835"/>
    <mergeCell ref="AH835:AO835"/>
    <mergeCell ref="F843:W843"/>
    <mergeCell ref="X843:AO843"/>
    <mergeCell ref="F835:I835"/>
    <mergeCell ref="X835:AA835"/>
    <mergeCell ref="F825:W825"/>
    <mergeCell ref="X825:AO825"/>
    <mergeCell ref="F826:I826"/>
    <mergeCell ref="J826:M826"/>
    <mergeCell ref="N826:O826"/>
    <mergeCell ref="P826:W826"/>
    <mergeCell ref="X826:AA826"/>
    <mergeCell ref="AB826:AE826"/>
    <mergeCell ref="AF826:AG826"/>
    <mergeCell ref="AH826:AO826"/>
    <mergeCell ref="J799:M799"/>
    <mergeCell ref="N799:O799"/>
    <mergeCell ref="P799:W799"/>
    <mergeCell ref="AB799:AE799"/>
    <mergeCell ref="AF799:AG799"/>
    <mergeCell ref="AH799:AO799"/>
    <mergeCell ref="F807:W807"/>
    <mergeCell ref="X807:AO807"/>
    <mergeCell ref="J808:M808"/>
    <mergeCell ref="N808:O808"/>
    <mergeCell ref="P808:W808"/>
    <mergeCell ref="AB808:AE808"/>
    <mergeCell ref="AF808:AG808"/>
    <mergeCell ref="AH808:AO808"/>
    <mergeCell ref="F799:I799"/>
    <mergeCell ref="X799:AA799"/>
    <mergeCell ref="F789:W789"/>
    <mergeCell ref="X789:AO789"/>
    <mergeCell ref="J790:M790"/>
    <mergeCell ref="N790:O790"/>
    <mergeCell ref="P790:W790"/>
    <mergeCell ref="AB790:AE790"/>
    <mergeCell ref="AF790:AG790"/>
    <mergeCell ref="AH790:AO790"/>
    <mergeCell ref="F798:W798"/>
    <mergeCell ref="X798:AO798"/>
    <mergeCell ref="F790:I790"/>
    <mergeCell ref="X790:AA790"/>
    <mergeCell ref="AH763:AO763"/>
    <mergeCell ref="F771:W771"/>
    <mergeCell ref="X771:AO771"/>
    <mergeCell ref="J772:M772"/>
    <mergeCell ref="N772:O772"/>
    <mergeCell ref="P772:W772"/>
    <mergeCell ref="AB772:AE772"/>
    <mergeCell ref="AF772:AG772"/>
    <mergeCell ref="AH772:AO772"/>
    <mergeCell ref="F772:I772"/>
    <mergeCell ref="X772:AA772"/>
    <mergeCell ref="F763:I763"/>
    <mergeCell ref="X763:AA763"/>
    <mergeCell ref="J763:M763"/>
    <mergeCell ref="N763:O763"/>
    <mergeCell ref="P763:W763"/>
    <mergeCell ref="AB763:AE763"/>
    <mergeCell ref="AF763:AG763"/>
    <mergeCell ref="F753:W753"/>
    <mergeCell ref="X753:AO753"/>
    <mergeCell ref="J754:M754"/>
    <mergeCell ref="N754:O754"/>
    <mergeCell ref="P754:W754"/>
    <mergeCell ref="AB754:AE754"/>
    <mergeCell ref="AF754:AG754"/>
    <mergeCell ref="AH754:AO754"/>
    <mergeCell ref="F762:W762"/>
    <mergeCell ref="X762:AO762"/>
    <mergeCell ref="F754:I754"/>
    <mergeCell ref="X754:AA754"/>
    <mergeCell ref="AH727:AO727"/>
    <mergeCell ref="F735:W735"/>
    <mergeCell ref="X735:AO735"/>
    <mergeCell ref="J736:M736"/>
    <mergeCell ref="N736:O736"/>
    <mergeCell ref="P736:W736"/>
    <mergeCell ref="AB736:AE736"/>
    <mergeCell ref="AF736:AG736"/>
    <mergeCell ref="AH736:AO736"/>
    <mergeCell ref="F736:I736"/>
    <mergeCell ref="X736:AA736"/>
    <mergeCell ref="F727:I727"/>
    <mergeCell ref="X727:AA727"/>
    <mergeCell ref="J727:M727"/>
    <mergeCell ref="N727:O727"/>
    <mergeCell ref="P727:W727"/>
    <mergeCell ref="AB727:AE727"/>
    <mergeCell ref="AF727:AG727"/>
    <mergeCell ref="F717:W717"/>
    <mergeCell ref="X717:AO717"/>
    <mergeCell ref="J718:M718"/>
    <mergeCell ref="N718:O718"/>
    <mergeCell ref="P718:W718"/>
    <mergeCell ref="AB718:AE718"/>
    <mergeCell ref="AF718:AG718"/>
    <mergeCell ref="AH718:AO718"/>
    <mergeCell ref="F726:W726"/>
    <mergeCell ref="X726:AO726"/>
    <mergeCell ref="F718:I718"/>
    <mergeCell ref="X718:AA718"/>
    <mergeCell ref="AH691:AO691"/>
    <mergeCell ref="F699:W699"/>
    <mergeCell ref="X699:AO699"/>
    <mergeCell ref="J700:M700"/>
    <mergeCell ref="N700:O700"/>
    <mergeCell ref="P700:W700"/>
    <mergeCell ref="AB700:AE700"/>
    <mergeCell ref="AF700:AG700"/>
    <mergeCell ref="AH700:AO700"/>
    <mergeCell ref="F700:I700"/>
    <mergeCell ref="X700:AA700"/>
    <mergeCell ref="F691:I691"/>
    <mergeCell ref="X691:AA691"/>
    <mergeCell ref="J691:M691"/>
    <mergeCell ref="N691:O691"/>
    <mergeCell ref="P691:W691"/>
    <mergeCell ref="AB691:AE691"/>
    <mergeCell ref="AF691:AG691"/>
    <mergeCell ref="F681:W681"/>
    <mergeCell ref="X681:AO681"/>
    <mergeCell ref="J682:M682"/>
    <mergeCell ref="N682:O682"/>
    <mergeCell ref="P682:W682"/>
    <mergeCell ref="AB682:AE682"/>
    <mergeCell ref="AF682:AG682"/>
    <mergeCell ref="AH682:AO682"/>
    <mergeCell ref="F690:W690"/>
    <mergeCell ref="X690:AO690"/>
    <mergeCell ref="F682:I682"/>
    <mergeCell ref="X682:AA682"/>
    <mergeCell ref="AH655:AO655"/>
    <mergeCell ref="F663:W663"/>
    <mergeCell ref="X663:AO663"/>
    <mergeCell ref="J664:M664"/>
    <mergeCell ref="N664:O664"/>
    <mergeCell ref="P664:W664"/>
    <mergeCell ref="AB664:AE664"/>
    <mergeCell ref="AF664:AG664"/>
    <mergeCell ref="AH664:AO664"/>
    <mergeCell ref="F664:I664"/>
    <mergeCell ref="X664:AA664"/>
    <mergeCell ref="F655:I655"/>
    <mergeCell ref="X655:AA655"/>
    <mergeCell ref="J655:M655"/>
    <mergeCell ref="N655:O655"/>
    <mergeCell ref="P655:W655"/>
    <mergeCell ref="AB655:AE655"/>
    <mergeCell ref="AF655:AG655"/>
    <mergeCell ref="F645:W645"/>
    <mergeCell ref="X645:AO645"/>
    <mergeCell ref="J646:M646"/>
    <mergeCell ref="N646:O646"/>
    <mergeCell ref="P646:W646"/>
    <mergeCell ref="AB646:AE646"/>
    <mergeCell ref="AF646:AG646"/>
    <mergeCell ref="AH646:AO646"/>
    <mergeCell ref="F654:W654"/>
    <mergeCell ref="X654:AO654"/>
    <mergeCell ref="F646:I646"/>
    <mergeCell ref="X646:AA646"/>
    <mergeCell ref="AH619:AO619"/>
    <mergeCell ref="F627:W627"/>
    <mergeCell ref="X627:AO627"/>
    <mergeCell ref="J628:M628"/>
    <mergeCell ref="N628:O628"/>
    <mergeCell ref="P628:W628"/>
    <mergeCell ref="AB628:AE628"/>
    <mergeCell ref="AF628:AG628"/>
    <mergeCell ref="AH628:AO628"/>
    <mergeCell ref="F628:I628"/>
    <mergeCell ref="X628:AA628"/>
    <mergeCell ref="F619:I619"/>
    <mergeCell ref="X619:AA619"/>
    <mergeCell ref="J619:M619"/>
    <mergeCell ref="N619:O619"/>
    <mergeCell ref="P619:W619"/>
    <mergeCell ref="AB619:AE619"/>
    <mergeCell ref="AF619:AG619"/>
    <mergeCell ref="F609:W609"/>
    <mergeCell ref="X609:AO609"/>
    <mergeCell ref="J610:M610"/>
    <mergeCell ref="N610:O610"/>
    <mergeCell ref="P610:W610"/>
    <mergeCell ref="AB610:AE610"/>
    <mergeCell ref="AF610:AG610"/>
    <mergeCell ref="AH610:AO610"/>
    <mergeCell ref="F618:W618"/>
    <mergeCell ref="X618:AO618"/>
    <mergeCell ref="F610:I610"/>
    <mergeCell ref="X610:AA610"/>
    <mergeCell ref="AH583:AO583"/>
    <mergeCell ref="F591:W591"/>
    <mergeCell ref="X591:AO591"/>
    <mergeCell ref="J592:M592"/>
    <mergeCell ref="N592:O592"/>
    <mergeCell ref="P592:W592"/>
    <mergeCell ref="AB592:AE592"/>
    <mergeCell ref="AF592:AG592"/>
    <mergeCell ref="AH592:AO592"/>
    <mergeCell ref="F592:I592"/>
    <mergeCell ref="X592:AA592"/>
    <mergeCell ref="F583:I583"/>
    <mergeCell ref="X583:AA583"/>
    <mergeCell ref="J583:M583"/>
    <mergeCell ref="N583:O583"/>
    <mergeCell ref="P583:W583"/>
    <mergeCell ref="AB583:AE583"/>
    <mergeCell ref="AF583:AG583"/>
    <mergeCell ref="F573:W573"/>
    <mergeCell ref="X573:AO573"/>
    <mergeCell ref="J574:M574"/>
    <mergeCell ref="N574:O574"/>
    <mergeCell ref="P574:W574"/>
    <mergeCell ref="AB574:AE574"/>
    <mergeCell ref="AF574:AG574"/>
    <mergeCell ref="AH574:AO574"/>
    <mergeCell ref="F582:W582"/>
    <mergeCell ref="X582:AO582"/>
    <mergeCell ref="F574:I574"/>
    <mergeCell ref="X574:AA574"/>
    <mergeCell ref="AH547:AO547"/>
    <mergeCell ref="F555:W555"/>
    <mergeCell ref="X555:AO555"/>
    <mergeCell ref="J556:M556"/>
    <mergeCell ref="N556:O556"/>
    <mergeCell ref="P556:W556"/>
    <mergeCell ref="AB556:AE556"/>
    <mergeCell ref="AF556:AG556"/>
    <mergeCell ref="AH556:AO556"/>
    <mergeCell ref="F556:I556"/>
    <mergeCell ref="X556:AA556"/>
    <mergeCell ref="F547:I547"/>
    <mergeCell ref="X547:AA547"/>
    <mergeCell ref="J547:M547"/>
    <mergeCell ref="N547:O547"/>
    <mergeCell ref="P547:W547"/>
    <mergeCell ref="AB547:AE547"/>
    <mergeCell ref="AF547:AG547"/>
    <mergeCell ref="F537:W537"/>
    <mergeCell ref="X537:AO537"/>
    <mergeCell ref="J538:M538"/>
    <mergeCell ref="N538:O538"/>
    <mergeCell ref="P538:W538"/>
    <mergeCell ref="AB538:AE538"/>
    <mergeCell ref="AF538:AG538"/>
    <mergeCell ref="AH538:AO538"/>
    <mergeCell ref="F546:W546"/>
    <mergeCell ref="X546:AO546"/>
    <mergeCell ref="F538:I538"/>
    <mergeCell ref="X538:AA538"/>
    <mergeCell ref="AH511:AO511"/>
    <mergeCell ref="F519:W519"/>
    <mergeCell ref="X519:AO519"/>
    <mergeCell ref="J520:M520"/>
    <mergeCell ref="N520:O520"/>
    <mergeCell ref="P520:W520"/>
    <mergeCell ref="AB520:AE520"/>
    <mergeCell ref="AF520:AG520"/>
    <mergeCell ref="AH520:AO520"/>
    <mergeCell ref="F520:I520"/>
    <mergeCell ref="X520:AA520"/>
    <mergeCell ref="F511:I511"/>
    <mergeCell ref="X511:AA511"/>
    <mergeCell ref="J511:M511"/>
    <mergeCell ref="N511:O511"/>
    <mergeCell ref="P511:W511"/>
    <mergeCell ref="AB511:AE511"/>
    <mergeCell ref="AF511:AG511"/>
    <mergeCell ref="F501:W501"/>
    <mergeCell ref="X501:AO501"/>
    <mergeCell ref="J502:M502"/>
    <mergeCell ref="N502:O502"/>
    <mergeCell ref="P502:W502"/>
    <mergeCell ref="AB502:AE502"/>
    <mergeCell ref="AF502:AG502"/>
    <mergeCell ref="AH502:AO502"/>
    <mergeCell ref="F510:W510"/>
    <mergeCell ref="X510:AO510"/>
    <mergeCell ref="F502:I502"/>
    <mergeCell ref="X502:AA502"/>
    <mergeCell ref="AH475:AO475"/>
    <mergeCell ref="F483:W483"/>
    <mergeCell ref="X483:AO483"/>
    <mergeCell ref="J484:M484"/>
    <mergeCell ref="N484:O484"/>
    <mergeCell ref="P484:W484"/>
    <mergeCell ref="AB484:AE484"/>
    <mergeCell ref="AF484:AG484"/>
    <mergeCell ref="AH484:AO484"/>
    <mergeCell ref="F484:I484"/>
    <mergeCell ref="X484:AA484"/>
    <mergeCell ref="F475:I475"/>
    <mergeCell ref="X475:AA475"/>
    <mergeCell ref="J475:M475"/>
    <mergeCell ref="N475:O475"/>
    <mergeCell ref="P475:W475"/>
    <mergeCell ref="AB475:AE475"/>
    <mergeCell ref="AF475:AG475"/>
    <mergeCell ref="F465:W465"/>
    <mergeCell ref="X465:AO465"/>
    <mergeCell ref="J466:M466"/>
    <mergeCell ref="N466:O466"/>
    <mergeCell ref="P466:W466"/>
    <mergeCell ref="AB466:AE466"/>
    <mergeCell ref="AF466:AG466"/>
    <mergeCell ref="AH466:AO466"/>
    <mergeCell ref="F474:W474"/>
    <mergeCell ref="X474:AO474"/>
    <mergeCell ref="F466:I466"/>
    <mergeCell ref="X466:AA466"/>
    <mergeCell ref="AH439:AO439"/>
    <mergeCell ref="F447:W447"/>
    <mergeCell ref="X447:AO447"/>
    <mergeCell ref="J448:M448"/>
    <mergeCell ref="N448:O448"/>
    <mergeCell ref="P448:W448"/>
    <mergeCell ref="AB448:AE448"/>
    <mergeCell ref="AF448:AG448"/>
    <mergeCell ref="AH448:AO448"/>
    <mergeCell ref="F448:I448"/>
    <mergeCell ref="X448:AA448"/>
    <mergeCell ref="F439:I439"/>
    <mergeCell ref="X439:AA439"/>
    <mergeCell ref="J439:M439"/>
    <mergeCell ref="N439:O439"/>
    <mergeCell ref="P439:W439"/>
    <mergeCell ref="AB439:AE439"/>
    <mergeCell ref="AF439:AG439"/>
    <mergeCell ref="F429:W429"/>
    <mergeCell ref="X429:AO429"/>
    <mergeCell ref="J430:M430"/>
    <mergeCell ref="N430:O430"/>
    <mergeCell ref="P430:W430"/>
    <mergeCell ref="AB430:AE430"/>
    <mergeCell ref="AF430:AG430"/>
    <mergeCell ref="AH430:AO430"/>
    <mergeCell ref="F438:W438"/>
    <mergeCell ref="X438:AO438"/>
    <mergeCell ref="F430:I430"/>
    <mergeCell ref="X430:AA430"/>
    <mergeCell ref="AH403:AO403"/>
    <mergeCell ref="F411:W411"/>
    <mergeCell ref="X411:AO411"/>
    <mergeCell ref="J412:M412"/>
    <mergeCell ref="N412:O412"/>
    <mergeCell ref="P412:W412"/>
    <mergeCell ref="AB412:AE412"/>
    <mergeCell ref="AF412:AG412"/>
    <mergeCell ref="AH412:AO412"/>
    <mergeCell ref="F412:I412"/>
    <mergeCell ref="X412:AA412"/>
    <mergeCell ref="F403:I403"/>
    <mergeCell ref="X403:AA403"/>
    <mergeCell ref="J403:M403"/>
    <mergeCell ref="N403:O403"/>
    <mergeCell ref="P403:W403"/>
    <mergeCell ref="AB403:AE403"/>
    <mergeCell ref="AF403:AG403"/>
    <mergeCell ref="F393:W393"/>
    <mergeCell ref="X393:AO393"/>
    <mergeCell ref="J394:M394"/>
    <mergeCell ref="N394:O394"/>
    <mergeCell ref="P394:W394"/>
    <mergeCell ref="AB394:AE394"/>
    <mergeCell ref="AF394:AG394"/>
    <mergeCell ref="AH394:AO394"/>
    <mergeCell ref="F402:W402"/>
    <mergeCell ref="X402:AO402"/>
    <mergeCell ref="F394:I394"/>
    <mergeCell ref="X394:AA394"/>
    <mergeCell ref="AH367:AO367"/>
    <mergeCell ref="F375:W375"/>
    <mergeCell ref="X375:AO375"/>
    <mergeCell ref="J376:M376"/>
    <mergeCell ref="N376:O376"/>
    <mergeCell ref="P376:W376"/>
    <mergeCell ref="AB376:AE376"/>
    <mergeCell ref="AF376:AG376"/>
    <mergeCell ref="AH376:AO376"/>
    <mergeCell ref="F376:I376"/>
    <mergeCell ref="X376:AA376"/>
    <mergeCell ref="F367:I367"/>
    <mergeCell ref="X367:AA367"/>
    <mergeCell ref="J367:M367"/>
    <mergeCell ref="N367:O367"/>
    <mergeCell ref="P367:W367"/>
    <mergeCell ref="AB367:AE367"/>
    <mergeCell ref="AF367:AG367"/>
    <mergeCell ref="F357:W357"/>
    <mergeCell ref="X357:AO357"/>
    <mergeCell ref="J358:M358"/>
    <mergeCell ref="N358:O358"/>
    <mergeCell ref="P358:W358"/>
    <mergeCell ref="AB358:AE358"/>
    <mergeCell ref="AF358:AG358"/>
    <mergeCell ref="AH358:AO358"/>
    <mergeCell ref="F366:W366"/>
    <mergeCell ref="X366:AO366"/>
    <mergeCell ref="F358:I358"/>
    <mergeCell ref="X358:AA358"/>
    <mergeCell ref="AH331:AO331"/>
    <mergeCell ref="F339:W339"/>
    <mergeCell ref="X339:AO339"/>
    <mergeCell ref="J340:M340"/>
    <mergeCell ref="N340:O340"/>
    <mergeCell ref="P340:W340"/>
    <mergeCell ref="AB340:AE340"/>
    <mergeCell ref="AF340:AG340"/>
    <mergeCell ref="AH340:AO340"/>
    <mergeCell ref="F340:I340"/>
    <mergeCell ref="X340:AA340"/>
    <mergeCell ref="F331:I331"/>
    <mergeCell ref="X331:AA331"/>
    <mergeCell ref="J331:M331"/>
    <mergeCell ref="N331:O331"/>
    <mergeCell ref="P331:W331"/>
    <mergeCell ref="AB331:AE331"/>
    <mergeCell ref="AF331:AG331"/>
    <mergeCell ref="F321:W321"/>
    <mergeCell ref="X321:AO321"/>
    <mergeCell ref="J322:M322"/>
    <mergeCell ref="N322:O322"/>
    <mergeCell ref="P322:W322"/>
    <mergeCell ref="AB322:AE322"/>
    <mergeCell ref="AF322:AG322"/>
    <mergeCell ref="AH322:AO322"/>
    <mergeCell ref="F330:W330"/>
    <mergeCell ref="X330:AO330"/>
    <mergeCell ref="F322:I322"/>
    <mergeCell ref="X322:AA322"/>
    <mergeCell ref="AH295:AO295"/>
    <mergeCell ref="F303:W303"/>
    <mergeCell ref="X303:AO303"/>
    <mergeCell ref="J304:M304"/>
    <mergeCell ref="N304:O304"/>
    <mergeCell ref="P304:W304"/>
    <mergeCell ref="AB304:AE304"/>
    <mergeCell ref="AF304:AG304"/>
    <mergeCell ref="AH304:AO304"/>
    <mergeCell ref="F304:I304"/>
    <mergeCell ref="X304:AA304"/>
    <mergeCell ref="F295:I295"/>
    <mergeCell ref="X295:AA295"/>
    <mergeCell ref="J295:M295"/>
    <mergeCell ref="N295:O295"/>
    <mergeCell ref="P295:W295"/>
    <mergeCell ref="AB295:AE295"/>
    <mergeCell ref="AF295:AG295"/>
    <mergeCell ref="F285:W285"/>
    <mergeCell ref="X285:AO285"/>
    <mergeCell ref="J286:M286"/>
    <mergeCell ref="N286:O286"/>
    <mergeCell ref="P286:W286"/>
    <mergeCell ref="AB286:AE286"/>
    <mergeCell ref="AF286:AG286"/>
    <mergeCell ref="AH286:AO286"/>
    <mergeCell ref="F294:W294"/>
    <mergeCell ref="X294:AO294"/>
    <mergeCell ref="F286:I286"/>
    <mergeCell ref="X286:AA286"/>
    <mergeCell ref="AH259:AO259"/>
    <mergeCell ref="F267:W267"/>
    <mergeCell ref="X267:AO267"/>
    <mergeCell ref="J268:M268"/>
    <mergeCell ref="N268:O268"/>
    <mergeCell ref="P268:W268"/>
    <mergeCell ref="AB268:AE268"/>
    <mergeCell ref="AF268:AG268"/>
    <mergeCell ref="AH268:AO268"/>
    <mergeCell ref="F268:I268"/>
    <mergeCell ref="X268:AA268"/>
    <mergeCell ref="F259:I259"/>
    <mergeCell ref="X259:AA259"/>
    <mergeCell ref="J259:M259"/>
    <mergeCell ref="N259:O259"/>
    <mergeCell ref="P259:W259"/>
    <mergeCell ref="AB259:AE259"/>
    <mergeCell ref="AF259:AG259"/>
    <mergeCell ref="F249:W249"/>
    <mergeCell ref="X249:AO249"/>
    <mergeCell ref="J250:M250"/>
    <mergeCell ref="N250:O250"/>
    <mergeCell ref="P250:W250"/>
    <mergeCell ref="AB250:AE250"/>
    <mergeCell ref="AF250:AG250"/>
    <mergeCell ref="AH250:AO250"/>
    <mergeCell ref="F258:W258"/>
    <mergeCell ref="X258:AO258"/>
    <mergeCell ref="F250:I250"/>
    <mergeCell ref="X250:AA250"/>
    <mergeCell ref="AH223:AO223"/>
    <mergeCell ref="F231:W231"/>
    <mergeCell ref="X231:AO231"/>
    <mergeCell ref="J232:M232"/>
    <mergeCell ref="N232:O232"/>
    <mergeCell ref="P232:W232"/>
    <mergeCell ref="AB232:AE232"/>
    <mergeCell ref="AF232:AG232"/>
    <mergeCell ref="AH232:AO232"/>
    <mergeCell ref="F232:I232"/>
    <mergeCell ref="X232:AA232"/>
    <mergeCell ref="F223:I223"/>
    <mergeCell ref="X223:AA223"/>
    <mergeCell ref="J223:M223"/>
    <mergeCell ref="N223:O223"/>
    <mergeCell ref="P223:W223"/>
    <mergeCell ref="AB223:AE223"/>
    <mergeCell ref="AF223:AG223"/>
    <mergeCell ref="F213:W213"/>
    <mergeCell ref="X213:AO213"/>
    <mergeCell ref="J214:M214"/>
    <mergeCell ref="N214:O214"/>
    <mergeCell ref="P214:W214"/>
    <mergeCell ref="AB214:AE214"/>
    <mergeCell ref="AF214:AG214"/>
    <mergeCell ref="AH214:AO214"/>
    <mergeCell ref="F222:W222"/>
    <mergeCell ref="X222:AO222"/>
    <mergeCell ref="AH187:AO187"/>
    <mergeCell ref="F195:W195"/>
    <mergeCell ref="X195:AO195"/>
    <mergeCell ref="J196:M196"/>
    <mergeCell ref="N196:O196"/>
    <mergeCell ref="P196:W196"/>
    <mergeCell ref="AB196:AE196"/>
    <mergeCell ref="AF196:AG196"/>
    <mergeCell ref="AH196:AO196"/>
    <mergeCell ref="P187:W187"/>
    <mergeCell ref="AB187:AE187"/>
    <mergeCell ref="AF187:AG187"/>
    <mergeCell ref="F177:W177"/>
    <mergeCell ref="X177:AO177"/>
    <mergeCell ref="J178:M178"/>
    <mergeCell ref="N178:O178"/>
    <mergeCell ref="P178:W178"/>
    <mergeCell ref="AB178:AE178"/>
    <mergeCell ref="AF178:AG178"/>
    <mergeCell ref="AH178:AO178"/>
    <mergeCell ref="F186:W186"/>
    <mergeCell ref="X186:AO186"/>
    <mergeCell ref="F178:I178"/>
    <mergeCell ref="X178:AA178"/>
    <mergeCell ref="AF160:AG160"/>
    <mergeCell ref="AH160:AO160"/>
    <mergeCell ref="F168:W168"/>
    <mergeCell ref="X168:AO168"/>
    <mergeCell ref="J169:M169"/>
    <mergeCell ref="N169:O169"/>
    <mergeCell ref="P169:W169"/>
    <mergeCell ref="AB169:AE169"/>
    <mergeCell ref="AF169:AG169"/>
    <mergeCell ref="AH169:AO169"/>
    <mergeCell ref="F169:I169"/>
    <mergeCell ref="X169:AA169"/>
    <mergeCell ref="F160:I160"/>
    <mergeCell ref="X160:AA160"/>
    <mergeCell ref="AH133:AO133"/>
    <mergeCell ref="F141:W141"/>
    <mergeCell ref="X141:AO141"/>
    <mergeCell ref="J142:M142"/>
    <mergeCell ref="N142:O142"/>
    <mergeCell ref="P142:W142"/>
    <mergeCell ref="AB142:AE142"/>
    <mergeCell ref="AF142:AG142"/>
    <mergeCell ref="AH142:AO142"/>
    <mergeCell ref="F142:I142"/>
    <mergeCell ref="X142:AA142"/>
    <mergeCell ref="F133:I133"/>
    <mergeCell ref="X133:AA133"/>
    <mergeCell ref="J133:M133"/>
    <mergeCell ref="N133:O133"/>
    <mergeCell ref="P133:W133"/>
    <mergeCell ref="AB133:AE133"/>
    <mergeCell ref="AF133:AG133"/>
    <mergeCell ref="F123:W123"/>
    <mergeCell ref="X123:AO123"/>
    <mergeCell ref="J124:M124"/>
    <mergeCell ref="N124:O124"/>
    <mergeCell ref="P124:W124"/>
    <mergeCell ref="AB124:AE124"/>
    <mergeCell ref="AF124:AG124"/>
    <mergeCell ref="AH124:AO124"/>
    <mergeCell ref="F132:W132"/>
    <mergeCell ref="X132:AO132"/>
    <mergeCell ref="F124:I124"/>
    <mergeCell ref="X124:AA124"/>
    <mergeCell ref="J106:M106"/>
    <mergeCell ref="N106:O106"/>
    <mergeCell ref="P106:W106"/>
    <mergeCell ref="AB106:AE106"/>
    <mergeCell ref="AF106:AG106"/>
    <mergeCell ref="AH106:AO106"/>
    <mergeCell ref="F114:W114"/>
    <mergeCell ref="X114:AO114"/>
    <mergeCell ref="J115:M115"/>
    <mergeCell ref="N115:O115"/>
    <mergeCell ref="P115:W115"/>
    <mergeCell ref="AB115:AE115"/>
    <mergeCell ref="AF115:AG115"/>
    <mergeCell ref="AH115:AO115"/>
    <mergeCell ref="F106:I106"/>
    <mergeCell ref="X106:AA106"/>
    <mergeCell ref="F115:I115"/>
    <mergeCell ref="X115:AA115"/>
    <mergeCell ref="F96:W96"/>
    <mergeCell ref="X96:AO96"/>
    <mergeCell ref="J97:M97"/>
    <mergeCell ref="N97:O97"/>
    <mergeCell ref="P97:W97"/>
    <mergeCell ref="AB97:AE97"/>
    <mergeCell ref="AF97:AG97"/>
    <mergeCell ref="AH97:AO97"/>
    <mergeCell ref="F105:W105"/>
    <mergeCell ref="X105:AO105"/>
    <mergeCell ref="F97:I97"/>
    <mergeCell ref="X97:AA97"/>
    <mergeCell ref="J79:M79"/>
    <mergeCell ref="N79:O79"/>
    <mergeCell ref="P79:W79"/>
    <mergeCell ref="AB79:AE79"/>
    <mergeCell ref="AF79:AG79"/>
    <mergeCell ref="AH79:AO79"/>
    <mergeCell ref="F87:W87"/>
    <mergeCell ref="X87:AO87"/>
    <mergeCell ref="J88:M88"/>
    <mergeCell ref="N88:O88"/>
    <mergeCell ref="P88:W88"/>
    <mergeCell ref="AB88:AE88"/>
    <mergeCell ref="AF88:AG88"/>
    <mergeCell ref="AH88:AO88"/>
    <mergeCell ref="F88:I88"/>
    <mergeCell ref="X88:AA88"/>
    <mergeCell ref="F79:I79"/>
    <mergeCell ref="X79:AA79"/>
    <mergeCell ref="F69:W69"/>
    <mergeCell ref="X69:AO69"/>
    <mergeCell ref="J70:M70"/>
    <mergeCell ref="N70:O70"/>
    <mergeCell ref="P70:W70"/>
    <mergeCell ref="AB70:AE70"/>
    <mergeCell ref="AF70:AG70"/>
    <mergeCell ref="AH70:AO70"/>
    <mergeCell ref="F78:W78"/>
    <mergeCell ref="X78:AO78"/>
    <mergeCell ref="F70:I70"/>
    <mergeCell ref="X70:AA70"/>
    <mergeCell ref="J43:M43"/>
    <mergeCell ref="N43:O43"/>
    <mergeCell ref="P43:W43"/>
    <mergeCell ref="AB43:AE43"/>
    <mergeCell ref="AF43:AG43"/>
    <mergeCell ref="AH43:AO43"/>
    <mergeCell ref="F51:W51"/>
    <mergeCell ref="X51:AO51"/>
    <mergeCell ref="J52:M52"/>
    <mergeCell ref="N52:O52"/>
    <mergeCell ref="P52:W52"/>
    <mergeCell ref="AB52:AE52"/>
    <mergeCell ref="AF52:AG52"/>
    <mergeCell ref="AH52:AO52"/>
    <mergeCell ref="F43:I43"/>
    <mergeCell ref="X43:AA43"/>
    <mergeCell ref="F33:W33"/>
    <mergeCell ref="X33:AO33"/>
    <mergeCell ref="J34:M34"/>
    <mergeCell ref="N34:O34"/>
    <mergeCell ref="P34:W34"/>
    <mergeCell ref="AB34:AE34"/>
    <mergeCell ref="AF34:AG34"/>
    <mergeCell ref="AH34:AO34"/>
    <mergeCell ref="F42:W42"/>
    <mergeCell ref="X42:AO42"/>
    <mergeCell ref="F34:I34"/>
    <mergeCell ref="X34:AA34"/>
    <mergeCell ref="AH7:AO7"/>
    <mergeCell ref="F6:W6"/>
    <mergeCell ref="X6:AO6"/>
    <mergeCell ref="F15:W15"/>
    <mergeCell ref="X15:AO15"/>
    <mergeCell ref="J16:M16"/>
    <mergeCell ref="N16:O16"/>
    <mergeCell ref="P16:W16"/>
    <mergeCell ref="AB16:AE16"/>
    <mergeCell ref="AF16:AG16"/>
    <mergeCell ref="AH16:AO16"/>
    <mergeCell ref="F16:I16"/>
    <mergeCell ref="X16:AA16"/>
    <mergeCell ref="X7:AA7"/>
    <mergeCell ref="F7:I7"/>
    <mergeCell ref="J7:M7"/>
    <mergeCell ref="P7:W7"/>
    <mergeCell ref="N7:O7"/>
    <mergeCell ref="AB7:AE7"/>
    <mergeCell ref="AF7:AG7"/>
    <mergeCell ref="F817:I817"/>
    <mergeCell ref="X817:AA817"/>
    <mergeCell ref="F808:I808"/>
    <mergeCell ref="X808:AA808"/>
    <mergeCell ref="F816:W816"/>
    <mergeCell ref="X816:AO816"/>
    <mergeCell ref="J817:M817"/>
    <mergeCell ref="N817:O817"/>
    <mergeCell ref="P817:W817"/>
    <mergeCell ref="AB817:AE817"/>
    <mergeCell ref="AF817:AG817"/>
    <mergeCell ref="AH817:AO817"/>
    <mergeCell ref="F61:I61"/>
    <mergeCell ref="X61:AA61"/>
    <mergeCell ref="F52:I52"/>
    <mergeCell ref="X52:AA52"/>
    <mergeCell ref="F60:W60"/>
    <mergeCell ref="X60:AO60"/>
    <mergeCell ref="J61:M61"/>
    <mergeCell ref="N61:O61"/>
    <mergeCell ref="P61:W61"/>
    <mergeCell ref="AB61:AE61"/>
    <mergeCell ref="AF61:AG61"/>
    <mergeCell ref="AH61:AO61"/>
    <mergeCell ref="F151:I151"/>
    <mergeCell ref="X151:AA151"/>
    <mergeCell ref="F150:W150"/>
    <mergeCell ref="X150:AO150"/>
    <mergeCell ref="J151:M151"/>
    <mergeCell ref="N151:O151"/>
    <mergeCell ref="P151:W151"/>
    <mergeCell ref="AB151:AE151"/>
    <mergeCell ref="AF151:AG151"/>
    <mergeCell ref="AH151:AO151"/>
    <mergeCell ref="F159:W159"/>
    <mergeCell ref="X159:AO159"/>
    <mergeCell ref="J160:M160"/>
    <mergeCell ref="N160:O160"/>
    <mergeCell ref="P160:W160"/>
    <mergeCell ref="AB160:AE160"/>
    <mergeCell ref="F214:I214"/>
    <mergeCell ref="X214:AA214"/>
    <mergeCell ref="F205:I205"/>
    <mergeCell ref="X205:AA205"/>
    <mergeCell ref="F204:W204"/>
    <mergeCell ref="X204:AO204"/>
    <mergeCell ref="J205:M205"/>
    <mergeCell ref="N205:O205"/>
    <mergeCell ref="P205:W205"/>
    <mergeCell ref="AB205:AE205"/>
    <mergeCell ref="AF205:AG205"/>
    <mergeCell ref="AH205:AO205"/>
    <mergeCell ref="F196:I196"/>
    <mergeCell ref="X196:AA196"/>
    <mergeCell ref="F187:I187"/>
    <mergeCell ref="X187:AA187"/>
    <mergeCell ref="J187:M187"/>
    <mergeCell ref="N187:O187"/>
    <mergeCell ref="F241:I241"/>
    <mergeCell ref="X241:AA241"/>
    <mergeCell ref="F240:W240"/>
    <mergeCell ref="X240:AO240"/>
    <mergeCell ref="J241:M241"/>
    <mergeCell ref="N241:O241"/>
    <mergeCell ref="P241:W241"/>
    <mergeCell ref="AB241:AE241"/>
    <mergeCell ref="AF241:AG241"/>
    <mergeCell ref="AH241:AO241"/>
    <mergeCell ref="F277:I277"/>
    <mergeCell ref="X277:AA277"/>
    <mergeCell ref="F276:W276"/>
    <mergeCell ref="X276:AO276"/>
    <mergeCell ref="J277:M277"/>
    <mergeCell ref="N277:O277"/>
    <mergeCell ref="P277:W277"/>
    <mergeCell ref="AB277:AE277"/>
    <mergeCell ref="AF277:AG277"/>
    <mergeCell ref="AH277:AO277"/>
    <mergeCell ref="F313:I313"/>
    <mergeCell ref="X313:AA313"/>
    <mergeCell ref="F312:W312"/>
    <mergeCell ref="X312:AO312"/>
    <mergeCell ref="J313:M313"/>
    <mergeCell ref="N313:O313"/>
    <mergeCell ref="P313:W313"/>
    <mergeCell ref="AB313:AE313"/>
    <mergeCell ref="AF313:AG313"/>
    <mergeCell ref="AH313:AO313"/>
    <mergeCell ref="F349:I349"/>
    <mergeCell ref="X349:AA349"/>
    <mergeCell ref="F348:W348"/>
    <mergeCell ref="X348:AO348"/>
    <mergeCell ref="J349:M349"/>
    <mergeCell ref="N349:O349"/>
    <mergeCell ref="P349:W349"/>
    <mergeCell ref="AB349:AE349"/>
    <mergeCell ref="AF349:AG349"/>
    <mergeCell ref="AH349:AO349"/>
    <mergeCell ref="F385:I385"/>
    <mergeCell ref="X385:AA385"/>
    <mergeCell ref="F384:W384"/>
    <mergeCell ref="X384:AO384"/>
    <mergeCell ref="J385:M385"/>
    <mergeCell ref="N385:O385"/>
    <mergeCell ref="P385:W385"/>
    <mergeCell ref="AB385:AE385"/>
    <mergeCell ref="AF385:AG385"/>
    <mergeCell ref="AH385:AO385"/>
    <mergeCell ref="F421:I421"/>
    <mergeCell ref="X421:AA421"/>
    <mergeCell ref="F420:W420"/>
    <mergeCell ref="X420:AO420"/>
    <mergeCell ref="J421:M421"/>
    <mergeCell ref="N421:O421"/>
    <mergeCell ref="P421:W421"/>
    <mergeCell ref="AB421:AE421"/>
    <mergeCell ref="AF421:AG421"/>
    <mergeCell ref="AH421:AO421"/>
    <mergeCell ref="F457:I457"/>
    <mergeCell ref="X457:AA457"/>
    <mergeCell ref="F456:W456"/>
    <mergeCell ref="X456:AO456"/>
    <mergeCell ref="J457:M457"/>
    <mergeCell ref="N457:O457"/>
    <mergeCell ref="P457:W457"/>
    <mergeCell ref="AB457:AE457"/>
    <mergeCell ref="AF457:AG457"/>
    <mergeCell ref="AH457:AO457"/>
    <mergeCell ref="F493:I493"/>
    <mergeCell ref="X493:AA493"/>
    <mergeCell ref="F492:W492"/>
    <mergeCell ref="X492:AO492"/>
    <mergeCell ref="J493:M493"/>
    <mergeCell ref="N493:O493"/>
    <mergeCell ref="P493:W493"/>
    <mergeCell ref="AB493:AE493"/>
    <mergeCell ref="AF493:AG493"/>
    <mergeCell ref="AH493:AO493"/>
    <mergeCell ref="F529:I529"/>
    <mergeCell ref="X529:AA529"/>
    <mergeCell ref="F528:W528"/>
    <mergeCell ref="X528:AO528"/>
    <mergeCell ref="J529:M529"/>
    <mergeCell ref="N529:O529"/>
    <mergeCell ref="P529:W529"/>
    <mergeCell ref="AB529:AE529"/>
    <mergeCell ref="AF529:AG529"/>
    <mergeCell ref="AH529:AO529"/>
    <mergeCell ref="F565:I565"/>
    <mergeCell ref="X565:AA565"/>
    <mergeCell ref="F564:W564"/>
    <mergeCell ref="X564:AO564"/>
    <mergeCell ref="J565:M565"/>
    <mergeCell ref="N565:O565"/>
    <mergeCell ref="P565:W565"/>
    <mergeCell ref="AB565:AE565"/>
    <mergeCell ref="AF565:AG565"/>
    <mergeCell ref="AH565:AO565"/>
    <mergeCell ref="F601:I601"/>
    <mergeCell ref="X601:AA601"/>
    <mergeCell ref="F600:W600"/>
    <mergeCell ref="X600:AO600"/>
    <mergeCell ref="J601:M601"/>
    <mergeCell ref="N601:O601"/>
    <mergeCell ref="P601:W601"/>
    <mergeCell ref="AB601:AE601"/>
    <mergeCell ref="AF601:AG601"/>
    <mergeCell ref="AH601:AO601"/>
    <mergeCell ref="F637:I637"/>
    <mergeCell ref="X637:AA637"/>
    <mergeCell ref="F636:W636"/>
    <mergeCell ref="X636:AO636"/>
    <mergeCell ref="J637:M637"/>
    <mergeCell ref="N637:O637"/>
    <mergeCell ref="P637:W637"/>
    <mergeCell ref="AB637:AE637"/>
    <mergeCell ref="AF637:AG637"/>
    <mergeCell ref="AH637:AO637"/>
    <mergeCell ref="F673:I673"/>
    <mergeCell ref="X673:AA673"/>
    <mergeCell ref="F672:W672"/>
    <mergeCell ref="X672:AO672"/>
    <mergeCell ref="J673:M673"/>
    <mergeCell ref="N673:O673"/>
    <mergeCell ref="P673:W673"/>
    <mergeCell ref="AB673:AE673"/>
    <mergeCell ref="AF673:AG673"/>
    <mergeCell ref="AH673:AO673"/>
    <mergeCell ref="F709:I709"/>
    <mergeCell ref="X709:AA709"/>
    <mergeCell ref="F708:W708"/>
    <mergeCell ref="X708:AO708"/>
    <mergeCell ref="J709:M709"/>
    <mergeCell ref="N709:O709"/>
    <mergeCell ref="P709:W709"/>
    <mergeCell ref="AB709:AE709"/>
    <mergeCell ref="AF709:AG709"/>
    <mergeCell ref="AH709:AO709"/>
    <mergeCell ref="F745:I745"/>
    <mergeCell ref="X745:AA745"/>
    <mergeCell ref="F744:W744"/>
    <mergeCell ref="X744:AO744"/>
    <mergeCell ref="J745:M745"/>
    <mergeCell ref="N745:O745"/>
    <mergeCell ref="P745:W745"/>
    <mergeCell ref="AB745:AE745"/>
    <mergeCell ref="AF745:AG745"/>
    <mergeCell ref="AH745:AO745"/>
    <mergeCell ref="F781:I781"/>
    <mergeCell ref="X781:AA781"/>
    <mergeCell ref="F780:W780"/>
    <mergeCell ref="X780:AO780"/>
    <mergeCell ref="J781:M781"/>
    <mergeCell ref="N781:O781"/>
    <mergeCell ref="P781:W781"/>
    <mergeCell ref="AB781:AE781"/>
    <mergeCell ref="AF781:AG781"/>
    <mergeCell ref="AH781:AO781"/>
    <mergeCell ref="F25:I25"/>
    <mergeCell ref="X25:AA25"/>
    <mergeCell ref="F24:W24"/>
    <mergeCell ref="X24:AO24"/>
    <mergeCell ref="J25:M25"/>
    <mergeCell ref="N25:O25"/>
    <mergeCell ref="P25:W25"/>
    <mergeCell ref="AB25:AE25"/>
    <mergeCell ref="AF25:AG25"/>
    <mergeCell ref="AH25:AO2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D756-E4A7-4ABB-9509-4129476BA802}">
  <dimension ref="B2:N100"/>
  <sheetViews>
    <sheetView zoomScale="85" zoomScaleNormal="85" workbookViewId="0">
      <selection activeCell="L36" sqref="L36"/>
    </sheetView>
  </sheetViews>
  <sheetFormatPr defaultRowHeight="15" x14ac:dyDescent="0.25"/>
  <cols>
    <col min="2" max="2" width="9.85546875" customWidth="1"/>
    <col min="3" max="3" width="11.7109375" customWidth="1"/>
    <col min="5" max="5" width="10.7109375" customWidth="1"/>
    <col min="7" max="7" width="12.85546875" customWidth="1"/>
    <col min="10" max="10" width="10.7109375" bestFit="1" customWidth="1"/>
    <col min="14" max="14" width="11.85546875" bestFit="1" customWidth="1"/>
  </cols>
  <sheetData>
    <row r="2" spans="2:14" x14ac:dyDescent="0.25">
      <c r="B2" t="s">
        <v>20</v>
      </c>
      <c r="I2" t="s">
        <v>21</v>
      </c>
    </row>
    <row r="3" spans="2:14" x14ac:dyDescent="0.25">
      <c r="B3" s="5" t="s">
        <v>6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22</v>
      </c>
      <c r="I3" s="5" t="s">
        <v>6</v>
      </c>
      <c r="J3" s="5" t="s">
        <v>0</v>
      </c>
      <c r="K3" s="5" t="s">
        <v>1</v>
      </c>
      <c r="L3" s="5" t="s">
        <v>2</v>
      </c>
      <c r="M3" s="5" t="s">
        <v>3</v>
      </c>
      <c r="N3" s="5" t="s">
        <v>7</v>
      </c>
    </row>
    <row r="4" spans="2:14" x14ac:dyDescent="0.25">
      <c r="B4" s="4">
        <v>0</v>
      </c>
      <c r="C4" s="28">
        <f>'Hourly Bike-Ped Counts'!C9</f>
        <v>0</v>
      </c>
      <c r="D4" s="28">
        <f>'Hourly Bike-Ped Counts'!C10</f>
        <v>0</v>
      </c>
      <c r="E4" s="28">
        <f>'Hourly Bike-Ped Counts'!C11</f>
        <v>0</v>
      </c>
      <c r="F4" s="28">
        <f>'Hourly Bike-Ped Counts'!C12</f>
        <v>0</v>
      </c>
      <c r="G4" s="29">
        <f>SUM(C4:F4)</f>
        <v>0</v>
      </c>
      <c r="I4" s="4">
        <v>0</v>
      </c>
      <c r="J4">
        <f>SUM(C4:C7)</f>
        <v>0</v>
      </c>
      <c r="K4">
        <f t="shared" ref="K4:M4" si="0">SUM(D4:D7)</f>
        <v>0</v>
      </c>
      <c r="L4">
        <f t="shared" si="0"/>
        <v>0</v>
      </c>
      <c r="M4">
        <f t="shared" si="0"/>
        <v>0</v>
      </c>
      <c r="N4" s="3">
        <f>SUM(J4:M4)</f>
        <v>0</v>
      </c>
    </row>
    <row r="5" spans="2:14" x14ac:dyDescent="0.25">
      <c r="B5" s="4">
        <v>1.0416666666666666E-2</v>
      </c>
      <c r="C5" s="28">
        <f>'Hourly Bike-Ped Counts'!C18</f>
        <v>0</v>
      </c>
      <c r="D5" s="28">
        <f>'Hourly Bike-Ped Counts'!C19</f>
        <v>0</v>
      </c>
      <c r="E5" s="28">
        <f>'Hourly Bike-Ped Counts'!C20</f>
        <v>0</v>
      </c>
      <c r="F5" s="28">
        <f>'Hourly Bike-Ped Counts'!C21</f>
        <v>0</v>
      </c>
      <c r="G5" s="29">
        <f t="shared" ref="G5:G68" si="1">SUM(C5:F5)</f>
        <v>0</v>
      </c>
      <c r="I5" s="4">
        <v>4.1666666666666699E-2</v>
      </c>
      <c r="J5">
        <f>SUM(C8:C11)</f>
        <v>0</v>
      </c>
      <c r="K5">
        <f t="shared" ref="K5:M5" si="2">SUM(D8:D11)</f>
        <v>0</v>
      </c>
      <c r="L5">
        <f t="shared" si="2"/>
        <v>0</v>
      </c>
      <c r="M5">
        <f t="shared" si="2"/>
        <v>0</v>
      </c>
      <c r="N5" s="3">
        <f t="shared" ref="N5:N27" si="3">SUM(J5:M5)</f>
        <v>0</v>
      </c>
    </row>
    <row r="6" spans="2:14" x14ac:dyDescent="0.25">
      <c r="B6" s="4">
        <v>2.0833333333333301E-2</v>
      </c>
      <c r="C6" s="28">
        <f>'Hourly Bike-Ped Counts'!C27</f>
        <v>0</v>
      </c>
      <c r="D6" s="28">
        <f>'Hourly Bike-Ped Counts'!C28</f>
        <v>0</v>
      </c>
      <c r="E6" s="28">
        <f>'Hourly Bike-Ped Counts'!C29</f>
        <v>0</v>
      </c>
      <c r="F6" s="28">
        <f>'Hourly Bike-Ped Counts'!C30</f>
        <v>0</v>
      </c>
      <c r="G6" s="29">
        <f t="shared" si="1"/>
        <v>0</v>
      </c>
      <c r="I6" s="4">
        <v>8.3333333333333301E-2</v>
      </c>
      <c r="J6">
        <f>SUM(C12:C15)</f>
        <v>0</v>
      </c>
      <c r="K6">
        <f t="shared" ref="K6:M6" si="4">SUM(D12:D15)</f>
        <v>0</v>
      </c>
      <c r="L6">
        <f t="shared" si="4"/>
        <v>0</v>
      </c>
      <c r="M6">
        <f t="shared" si="4"/>
        <v>0</v>
      </c>
      <c r="N6" s="3">
        <f t="shared" si="3"/>
        <v>0</v>
      </c>
    </row>
    <row r="7" spans="2:14" x14ac:dyDescent="0.25">
      <c r="B7" s="4">
        <v>3.125E-2</v>
      </c>
      <c r="C7" s="28">
        <f>'Hourly Bike-Ped Counts'!C36</f>
        <v>0</v>
      </c>
      <c r="D7" s="28">
        <f>'Hourly Bike-Ped Counts'!C37</f>
        <v>0</v>
      </c>
      <c r="E7" s="28">
        <f>'Hourly Bike-Ped Counts'!C38</f>
        <v>0</v>
      </c>
      <c r="F7" s="28">
        <f>'Hourly Bike-Ped Counts'!C40</f>
        <v>0</v>
      </c>
      <c r="G7" s="29">
        <f t="shared" si="1"/>
        <v>0</v>
      </c>
      <c r="I7" s="4">
        <v>0.125</v>
      </c>
      <c r="J7">
        <f>SUM(C16:C19)</f>
        <v>0</v>
      </c>
      <c r="K7">
        <f t="shared" ref="K7:M7" si="5">SUM(D16:D19)</f>
        <v>0</v>
      </c>
      <c r="L7">
        <f t="shared" si="5"/>
        <v>0</v>
      </c>
      <c r="M7">
        <f t="shared" si="5"/>
        <v>0</v>
      </c>
      <c r="N7" s="3">
        <f t="shared" si="3"/>
        <v>0</v>
      </c>
    </row>
    <row r="8" spans="2:14" x14ac:dyDescent="0.25">
      <c r="B8" s="4">
        <v>4.1666666666666699E-2</v>
      </c>
      <c r="C8" s="28">
        <f>'Hourly Bike-Ped Counts'!C45</f>
        <v>0</v>
      </c>
      <c r="D8" s="28">
        <f>'Hourly Bike-Ped Counts'!C46</f>
        <v>0</v>
      </c>
      <c r="E8" s="28">
        <f>'Hourly Bike-Ped Counts'!C47</f>
        <v>0</v>
      </c>
      <c r="F8" s="28">
        <f>'Hourly Bike-Ped Counts'!C48</f>
        <v>0</v>
      </c>
      <c r="G8" s="29">
        <f t="shared" si="1"/>
        <v>0</v>
      </c>
      <c r="I8" s="4">
        <v>0.16666666666666699</v>
      </c>
      <c r="J8">
        <f>SUM(C20:C23)</f>
        <v>0</v>
      </c>
      <c r="K8">
        <f t="shared" ref="K8:M8" si="6">SUM(D20:D23)</f>
        <v>0</v>
      </c>
      <c r="L8">
        <f t="shared" si="6"/>
        <v>0</v>
      </c>
      <c r="M8">
        <f t="shared" si="6"/>
        <v>0</v>
      </c>
      <c r="N8" s="3">
        <f t="shared" si="3"/>
        <v>0</v>
      </c>
    </row>
    <row r="9" spans="2:14" x14ac:dyDescent="0.25">
      <c r="B9" s="4">
        <v>5.2083333333333301E-2</v>
      </c>
      <c r="C9" s="28">
        <f>'Hourly Bike-Ped Counts'!C54</f>
        <v>0</v>
      </c>
      <c r="D9" s="28">
        <f>'Hourly Bike-Ped Counts'!C55</f>
        <v>0</v>
      </c>
      <c r="E9" s="28">
        <f>'Hourly Bike-Ped Counts'!C56</f>
        <v>0</v>
      </c>
      <c r="F9" s="28">
        <f>'Hourly Bike-Ped Counts'!C57</f>
        <v>0</v>
      </c>
      <c r="G9" s="29">
        <f t="shared" si="1"/>
        <v>0</v>
      </c>
      <c r="I9" s="4">
        <v>0.20833333333333301</v>
      </c>
      <c r="J9">
        <f>SUM(C24:C27)</f>
        <v>7</v>
      </c>
      <c r="K9">
        <f t="shared" ref="K9:M9" si="7">SUM(D24:D27)</f>
        <v>0</v>
      </c>
      <c r="L9">
        <f t="shared" si="7"/>
        <v>0</v>
      </c>
      <c r="M9">
        <f t="shared" si="7"/>
        <v>0</v>
      </c>
      <c r="N9" s="3">
        <f t="shared" si="3"/>
        <v>7</v>
      </c>
    </row>
    <row r="10" spans="2:14" x14ac:dyDescent="0.25">
      <c r="B10" s="4">
        <v>6.25E-2</v>
      </c>
      <c r="C10" s="28">
        <f>'Hourly Bike-Ped Counts'!C563</f>
        <v>0</v>
      </c>
      <c r="D10" s="28">
        <f>'Hourly Bike-Ped Counts'!C64</f>
        <v>0</v>
      </c>
      <c r="E10" s="28">
        <f>'Hourly Bike-Ped Counts'!C65</f>
        <v>0</v>
      </c>
      <c r="F10" s="28">
        <f>'Hourly Bike-Ped Counts'!C66</f>
        <v>0</v>
      </c>
      <c r="G10" s="29">
        <f t="shared" si="1"/>
        <v>0</v>
      </c>
      <c r="I10" s="4">
        <v>0.25</v>
      </c>
      <c r="J10">
        <f>SUM(C28:C31)</f>
        <v>17</v>
      </c>
      <c r="K10">
        <f t="shared" ref="K10:M10" si="8">SUM(D28:D31)</f>
        <v>2</v>
      </c>
      <c r="L10">
        <f t="shared" si="8"/>
        <v>0</v>
      </c>
      <c r="M10">
        <f t="shared" si="8"/>
        <v>0</v>
      </c>
      <c r="N10" s="3">
        <f t="shared" si="3"/>
        <v>19</v>
      </c>
    </row>
    <row r="11" spans="2:14" x14ac:dyDescent="0.25">
      <c r="B11" s="4">
        <v>7.2916666666666699E-2</v>
      </c>
      <c r="C11" s="28">
        <f>'Hourly Bike-Ped Counts'!C72</f>
        <v>0</v>
      </c>
      <c r="D11" s="28">
        <f>'Hourly Bike-Ped Counts'!C73</f>
        <v>0</v>
      </c>
      <c r="E11" s="28">
        <f>'Hourly Bike-Ped Counts'!C74</f>
        <v>0</v>
      </c>
      <c r="F11" s="28">
        <f>'Hourly Bike-Ped Counts'!C75</f>
        <v>0</v>
      </c>
      <c r="G11" s="29">
        <f t="shared" si="1"/>
        <v>0</v>
      </c>
      <c r="I11" s="4">
        <v>0.29166666666666702</v>
      </c>
      <c r="J11">
        <f>SUM(C32:C35)</f>
        <v>12</v>
      </c>
      <c r="K11">
        <f t="shared" ref="K11:M11" si="9">SUM(D32:D35)</f>
        <v>5</v>
      </c>
      <c r="L11">
        <f t="shared" si="9"/>
        <v>1</v>
      </c>
      <c r="M11">
        <f t="shared" si="9"/>
        <v>0</v>
      </c>
      <c r="N11" s="3">
        <f t="shared" si="3"/>
        <v>18</v>
      </c>
    </row>
    <row r="12" spans="2:14" x14ac:dyDescent="0.25">
      <c r="B12" s="4">
        <v>8.3333333333333301E-2</v>
      </c>
      <c r="C12" s="28">
        <f>'Hourly Bike-Ped Counts'!C81</f>
        <v>0</v>
      </c>
      <c r="D12" s="28">
        <f>'Hourly Bike-Ped Counts'!C82</f>
        <v>0</v>
      </c>
      <c r="E12" s="28">
        <f>'Hourly Bike-Ped Counts'!C83</f>
        <v>0</v>
      </c>
      <c r="F12" s="28">
        <f>'Hourly Bike-Ped Counts'!C84</f>
        <v>0</v>
      </c>
      <c r="G12" s="29">
        <f t="shared" si="1"/>
        <v>0</v>
      </c>
      <c r="I12" s="4">
        <v>0.33333333333333298</v>
      </c>
      <c r="J12">
        <f>SUM(C36:C39)</f>
        <v>27</v>
      </c>
      <c r="K12">
        <f t="shared" ref="K12:M12" si="10">SUM(D36:D39)</f>
        <v>51</v>
      </c>
      <c r="L12">
        <f t="shared" si="10"/>
        <v>69</v>
      </c>
      <c r="M12">
        <f t="shared" si="10"/>
        <v>0</v>
      </c>
      <c r="N12" s="3">
        <f t="shared" si="3"/>
        <v>147</v>
      </c>
    </row>
    <row r="13" spans="2:14" x14ac:dyDescent="0.25">
      <c r="B13" s="4">
        <v>9.375E-2</v>
      </c>
      <c r="C13" s="28">
        <f>'Hourly Bike-Ped Counts'!C90</f>
        <v>0</v>
      </c>
      <c r="D13" s="28">
        <f>'Hourly Bike-Ped Counts'!C91</f>
        <v>0</v>
      </c>
      <c r="E13" s="28">
        <f>'Hourly Bike-Ped Counts'!C92</f>
        <v>0</v>
      </c>
      <c r="F13" s="28">
        <f>'Hourly Bike-Ped Counts'!C93</f>
        <v>0</v>
      </c>
      <c r="G13" s="29">
        <f t="shared" si="1"/>
        <v>0</v>
      </c>
      <c r="I13" s="4">
        <v>0.375</v>
      </c>
      <c r="J13">
        <f>SUM(C40:C43)</f>
        <v>42</v>
      </c>
      <c r="K13">
        <f t="shared" ref="K13:M13" si="11">SUM(D40:D43)</f>
        <v>25</v>
      </c>
      <c r="L13">
        <f t="shared" si="11"/>
        <v>18</v>
      </c>
      <c r="M13">
        <f t="shared" si="11"/>
        <v>0</v>
      </c>
      <c r="N13" s="3">
        <f t="shared" si="3"/>
        <v>85</v>
      </c>
    </row>
    <row r="14" spans="2:14" x14ac:dyDescent="0.25">
      <c r="B14" s="4">
        <v>0.104166666666667</v>
      </c>
      <c r="C14" s="28">
        <f>'Hourly Bike-Ped Counts'!C99</f>
        <v>0</v>
      </c>
      <c r="D14" s="28">
        <f>'Hourly Bike-Ped Counts'!C100</f>
        <v>0</v>
      </c>
      <c r="E14" s="28">
        <f>'Hourly Bike-Ped Counts'!C101</f>
        <v>0</v>
      </c>
      <c r="F14" s="28">
        <f>'Hourly Bike-Ped Counts'!C102</f>
        <v>0</v>
      </c>
      <c r="G14" s="29">
        <f t="shared" si="1"/>
        <v>0</v>
      </c>
      <c r="I14" s="4">
        <v>0.41666666666666702</v>
      </c>
      <c r="J14">
        <f>SUM(C44:C47)</f>
        <v>6</v>
      </c>
      <c r="K14">
        <f t="shared" ref="K14:M14" si="12">SUM(D44:D47)</f>
        <v>2</v>
      </c>
      <c r="L14">
        <f t="shared" si="12"/>
        <v>0</v>
      </c>
      <c r="M14">
        <f t="shared" si="12"/>
        <v>0</v>
      </c>
      <c r="N14" s="3">
        <f t="shared" si="3"/>
        <v>8</v>
      </c>
    </row>
    <row r="15" spans="2:14" x14ac:dyDescent="0.25">
      <c r="B15" s="4">
        <v>0.114583333333333</v>
      </c>
      <c r="C15" s="28">
        <f>'Hourly Bike-Ped Counts'!C108</f>
        <v>0</v>
      </c>
      <c r="D15" s="28">
        <f>'Hourly Bike-Ped Counts'!C109</f>
        <v>0</v>
      </c>
      <c r="E15" s="28">
        <f>'Hourly Bike-Ped Counts'!C110</f>
        <v>0</v>
      </c>
      <c r="F15" s="28">
        <f>'Hourly Bike-Ped Counts'!C111</f>
        <v>0</v>
      </c>
      <c r="G15" s="29">
        <f t="shared" si="1"/>
        <v>0</v>
      </c>
      <c r="I15" s="4">
        <v>0.45833333333333298</v>
      </c>
      <c r="J15">
        <f>SUM(C48:C51)</f>
        <v>5</v>
      </c>
      <c r="K15">
        <f t="shared" ref="K15:M15" si="13">SUM(D48:D51)</f>
        <v>2</v>
      </c>
      <c r="L15">
        <f t="shared" si="13"/>
        <v>0</v>
      </c>
      <c r="M15">
        <f t="shared" si="13"/>
        <v>0</v>
      </c>
      <c r="N15" s="3">
        <f t="shared" si="3"/>
        <v>7</v>
      </c>
    </row>
    <row r="16" spans="2:14" x14ac:dyDescent="0.25">
      <c r="B16" s="4">
        <v>0.125</v>
      </c>
      <c r="C16" s="28">
        <f>'Hourly Bike-Ped Counts'!C117</f>
        <v>0</v>
      </c>
      <c r="D16" s="28">
        <f>'Hourly Bike-Ped Counts'!C118</f>
        <v>0</v>
      </c>
      <c r="E16" s="28">
        <f>'Hourly Bike-Ped Counts'!C119</f>
        <v>0</v>
      </c>
      <c r="F16" s="28">
        <f>'Hourly Bike-Ped Counts'!C120</f>
        <v>0</v>
      </c>
      <c r="G16" s="29">
        <f t="shared" si="1"/>
        <v>0</v>
      </c>
      <c r="I16" s="4">
        <v>0.5</v>
      </c>
      <c r="J16">
        <f>SUM(C52:C55)</f>
        <v>12</v>
      </c>
      <c r="K16">
        <f t="shared" ref="K16:M16" si="14">SUM(D52:D55)</f>
        <v>5</v>
      </c>
      <c r="L16">
        <f t="shared" si="14"/>
        <v>0</v>
      </c>
      <c r="M16">
        <f t="shared" si="14"/>
        <v>0</v>
      </c>
      <c r="N16" s="3">
        <f t="shared" si="3"/>
        <v>17</v>
      </c>
    </row>
    <row r="17" spans="2:14" x14ac:dyDescent="0.25">
      <c r="B17" s="4">
        <v>0.13541666666666699</v>
      </c>
      <c r="C17" s="28">
        <f>'Hourly Bike-Ped Counts'!C126</f>
        <v>0</v>
      </c>
      <c r="D17" s="28">
        <f>'Hourly Bike-Ped Counts'!C127</f>
        <v>0</v>
      </c>
      <c r="E17" s="28">
        <f>'Hourly Bike-Ped Counts'!C128</f>
        <v>0</v>
      </c>
      <c r="F17" s="28">
        <f>'Hourly Bike-Ped Counts'!C129</f>
        <v>0</v>
      </c>
      <c r="G17" s="29">
        <f t="shared" si="1"/>
        <v>0</v>
      </c>
      <c r="I17" s="4">
        <v>0.54166666666666696</v>
      </c>
      <c r="J17">
        <f>SUM(C56:C59)</f>
        <v>6</v>
      </c>
      <c r="K17">
        <f t="shared" ref="K17:M17" si="15">SUM(D56:D59)</f>
        <v>2</v>
      </c>
      <c r="L17">
        <f t="shared" si="15"/>
        <v>1</v>
      </c>
      <c r="M17">
        <f t="shared" si="15"/>
        <v>0</v>
      </c>
      <c r="N17" s="3">
        <f t="shared" si="3"/>
        <v>9</v>
      </c>
    </row>
    <row r="18" spans="2:14" x14ac:dyDescent="0.25">
      <c r="B18" s="4">
        <v>0.14583333333333301</v>
      </c>
      <c r="C18" s="28">
        <f>'Hourly Bike-Ped Counts'!C135</f>
        <v>0</v>
      </c>
      <c r="D18" s="28">
        <f>'Hourly Bike-Ped Counts'!C136</f>
        <v>0</v>
      </c>
      <c r="E18" s="28">
        <f>'Hourly Bike-Ped Counts'!C137</f>
        <v>0</v>
      </c>
      <c r="F18" s="28">
        <f>'Hourly Bike-Ped Counts'!C138</f>
        <v>0</v>
      </c>
      <c r="G18" s="29">
        <f t="shared" si="1"/>
        <v>0</v>
      </c>
      <c r="I18" s="4">
        <v>0.58333333333333304</v>
      </c>
      <c r="J18">
        <f>SUM(C60:C63)</f>
        <v>6</v>
      </c>
      <c r="K18">
        <f t="shared" ref="K18:M18" si="16">SUM(D60:D63)</f>
        <v>8</v>
      </c>
      <c r="L18">
        <f t="shared" si="16"/>
        <v>1</v>
      </c>
      <c r="M18">
        <f t="shared" si="16"/>
        <v>0</v>
      </c>
      <c r="N18" s="3">
        <f t="shared" si="3"/>
        <v>15</v>
      </c>
    </row>
    <row r="19" spans="2:14" x14ac:dyDescent="0.25">
      <c r="B19" s="4">
        <v>0.15625</v>
      </c>
      <c r="C19" s="28">
        <f>'Hourly Bike-Ped Counts'!C144</f>
        <v>0</v>
      </c>
      <c r="D19" s="28">
        <f>'Hourly Bike-Ped Counts'!C145</f>
        <v>0</v>
      </c>
      <c r="E19" s="28">
        <f>'Hourly Bike-Ped Counts'!C146</f>
        <v>0</v>
      </c>
      <c r="F19" s="28">
        <f>'Hourly Bike-Ped Counts'!C147</f>
        <v>0</v>
      </c>
      <c r="G19" s="29">
        <f t="shared" si="1"/>
        <v>0</v>
      </c>
      <c r="I19" s="4">
        <v>0.625</v>
      </c>
      <c r="J19">
        <f>SUM(C64:C67)</f>
        <v>95</v>
      </c>
      <c r="K19">
        <f t="shared" ref="K19:M19" si="17">SUM(D64:D67)</f>
        <v>78</v>
      </c>
      <c r="L19">
        <f t="shared" si="17"/>
        <v>64</v>
      </c>
      <c r="M19">
        <f t="shared" si="17"/>
        <v>1</v>
      </c>
      <c r="N19" s="3">
        <f t="shared" si="3"/>
        <v>238</v>
      </c>
    </row>
    <row r="20" spans="2:14" x14ac:dyDescent="0.25">
      <c r="B20" s="4">
        <v>0.16666666666666699</v>
      </c>
      <c r="C20" s="28">
        <f>'Hourly Bike-Ped Counts'!C153</f>
        <v>0</v>
      </c>
      <c r="D20" s="28">
        <f>'Hourly Bike-Ped Counts'!C154</f>
        <v>0</v>
      </c>
      <c r="E20" s="28">
        <f>'Hourly Bike-Ped Counts'!C155</f>
        <v>0</v>
      </c>
      <c r="F20" s="28">
        <f>'Hourly Bike-Ped Counts'!C156</f>
        <v>0</v>
      </c>
      <c r="G20" s="29">
        <f t="shared" si="1"/>
        <v>0</v>
      </c>
      <c r="I20" s="4">
        <v>0.66666666666666696</v>
      </c>
      <c r="J20">
        <f>SUM(C68:C71)</f>
        <v>15</v>
      </c>
      <c r="K20">
        <f t="shared" ref="K20:M20" si="18">SUM(D68:D71)</f>
        <v>2</v>
      </c>
      <c r="L20">
        <f t="shared" si="18"/>
        <v>1</v>
      </c>
      <c r="M20">
        <f t="shared" si="18"/>
        <v>0</v>
      </c>
      <c r="N20" s="3">
        <f t="shared" si="3"/>
        <v>18</v>
      </c>
    </row>
    <row r="21" spans="2:14" x14ac:dyDescent="0.25">
      <c r="B21" s="4">
        <v>0.17708333333333301</v>
      </c>
      <c r="C21" s="28">
        <f>'Hourly Bike-Ped Counts'!C162</f>
        <v>0</v>
      </c>
      <c r="D21" s="28">
        <f>'Hourly Bike-Ped Counts'!C163</f>
        <v>0</v>
      </c>
      <c r="E21" s="28">
        <f>'Hourly Bike-Ped Counts'!C164</f>
        <v>0</v>
      </c>
      <c r="F21" s="28">
        <f>'Hourly Bike-Ped Counts'!C165</f>
        <v>0</v>
      </c>
      <c r="G21" s="29">
        <f t="shared" si="1"/>
        <v>0</v>
      </c>
      <c r="I21" s="4">
        <v>0.70833333333333304</v>
      </c>
      <c r="J21">
        <f>SUM(C72:C75)</f>
        <v>14</v>
      </c>
      <c r="K21">
        <f t="shared" ref="K21:M21" si="19">SUM(D72:D75)</f>
        <v>5</v>
      </c>
      <c r="L21">
        <f t="shared" si="19"/>
        <v>0</v>
      </c>
      <c r="M21">
        <f t="shared" si="19"/>
        <v>0</v>
      </c>
      <c r="N21" s="3">
        <f t="shared" si="3"/>
        <v>19</v>
      </c>
    </row>
    <row r="22" spans="2:14" x14ac:dyDescent="0.25">
      <c r="B22" s="4">
        <v>0.1875</v>
      </c>
      <c r="C22" s="28">
        <f>'Hourly Bike-Ped Counts'!C171</f>
        <v>0</v>
      </c>
      <c r="D22" s="28">
        <f>'Hourly Bike-Ped Counts'!C172</f>
        <v>0</v>
      </c>
      <c r="E22" s="28">
        <f>'Hourly Bike-Ped Counts'!C173</f>
        <v>0</v>
      </c>
      <c r="F22" s="28">
        <f>'Hourly Bike-Ped Counts'!C174</f>
        <v>0</v>
      </c>
      <c r="G22" s="29">
        <f t="shared" si="1"/>
        <v>0</v>
      </c>
      <c r="I22" s="4">
        <v>0.75</v>
      </c>
      <c r="J22">
        <f>SUM(C76:C79)</f>
        <v>8</v>
      </c>
      <c r="K22">
        <f t="shared" ref="K22:M22" si="20">SUM(D76:D79)</f>
        <v>2</v>
      </c>
      <c r="L22">
        <f t="shared" si="20"/>
        <v>0</v>
      </c>
      <c r="M22">
        <f t="shared" si="20"/>
        <v>0</v>
      </c>
      <c r="N22" s="3">
        <f t="shared" si="3"/>
        <v>10</v>
      </c>
    </row>
    <row r="23" spans="2:14" x14ac:dyDescent="0.25">
      <c r="B23" s="4">
        <v>0.19791666666666699</v>
      </c>
      <c r="C23" s="28">
        <f>'Hourly Bike-Ped Counts'!C180</f>
        <v>0</v>
      </c>
      <c r="D23" s="28">
        <f>'Hourly Bike-Ped Counts'!C181</f>
        <v>0</v>
      </c>
      <c r="E23" s="28">
        <f>'Hourly Bike-Ped Counts'!C182</f>
        <v>0</v>
      </c>
      <c r="F23" s="28">
        <f>'Hourly Bike-Ped Counts'!C183</f>
        <v>0</v>
      </c>
      <c r="G23" s="29">
        <f t="shared" si="1"/>
        <v>0</v>
      </c>
      <c r="I23" s="4">
        <v>0.79166666666666696</v>
      </c>
      <c r="J23">
        <f>SUM(C80:C83)</f>
        <v>3</v>
      </c>
      <c r="K23">
        <f t="shared" ref="K23:M23" si="21">SUM(D80:D83)</f>
        <v>0</v>
      </c>
      <c r="L23">
        <f t="shared" si="21"/>
        <v>0</v>
      </c>
      <c r="M23">
        <f t="shared" si="21"/>
        <v>0</v>
      </c>
      <c r="N23" s="3">
        <f t="shared" si="3"/>
        <v>3</v>
      </c>
    </row>
    <row r="24" spans="2:14" x14ac:dyDescent="0.25">
      <c r="B24" s="4">
        <v>0.20833333333333301</v>
      </c>
      <c r="C24" s="28">
        <f>'Hourly Bike-Ped Counts'!C189</f>
        <v>0</v>
      </c>
      <c r="D24" s="28">
        <f>'Hourly Bike-Ped Counts'!C190</f>
        <v>0</v>
      </c>
      <c r="E24" s="28">
        <f>'Hourly Bike-Ped Counts'!C191</f>
        <v>0</v>
      </c>
      <c r="F24" s="28">
        <f>'Hourly Bike-Ped Counts'!C192</f>
        <v>0</v>
      </c>
      <c r="G24" s="29">
        <f t="shared" si="1"/>
        <v>0</v>
      </c>
      <c r="I24" s="4">
        <v>0.83333333333333304</v>
      </c>
      <c r="J24">
        <f>SUM(C84:C87)</f>
        <v>0</v>
      </c>
      <c r="K24">
        <f t="shared" ref="K24:M24" si="22">SUM(D84:D87)</f>
        <v>1</v>
      </c>
      <c r="L24">
        <f t="shared" si="22"/>
        <v>0</v>
      </c>
      <c r="M24">
        <f t="shared" si="22"/>
        <v>0</v>
      </c>
      <c r="N24" s="3">
        <f t="shared" si="3"/>
        <v>1</v>
      </c>
    </row>
    <row r="25" spans="2:14" x14ac:dyDescent="0.25">
      <c r="B25" s="4">
        <v>0.21875</v>
      </c>
      <c r="C25" s="28">
        <f>'Hourly Bike-Ped Counts'!C198</f>
        <v>1</v>
      </c>
      <c r="D25" s="28">
        <f>'Hourly Bike-Ped Counts'!C199</f>
        <v>0</v>
      </c>
      <c r="E25" s="28">
        <f>'Hourly Bike-Ped Counts'!C200</f>
        <v>0</v>
      </c>
      <c r="F25" s="28">
        <f>'Hourly Bike-Ped Counts'!C201</f>
        <v>0</v>
      </c>
      <c r="G25" s="29">
        <f t="shared" si="1"/>
        <v>1</v>
      </c>
      <c r="I25" s="4">
        <v>0.875</v>
      </c>
      <c r="J25">
        <f>SUM(C88:C91)</f>
        <v>2</v>
      </c>
      <c r="K25">
        <f t="shared" ref="K25:M25" si="23">SUM(D88:D91)</f>
        <v>0</v>
      </c>
      <c r="L25">
        <f t="shared" si="23"/>
        <v>0</v>
      </c>
      <c r="M25">
        <f t="shared" si="23"/>
        <v>0</v>
      </c>
      <c r="N25" s="3">
        <f t="shared" si="3"/>
        <v>2</v>
      </c>
    </row>
    <row r="26" spans="2:14" x14ac:dyDescent="0.25">
      <c r="B26" s="4">
        <v>0.22916666666666699</v>
      </c>
      <c r="C26" s="28">
        <f>'Hourly Bike-Ped Counts'!C207</f>
        <v>2</v>
      </c>
      <c r="D26" s="28">
        <f>'Hourly Bike-Ped Counts'!C208</f>
        <v>0</v>
      </c>
      <c r="E26" s="28">
        <f>'Hourly Bike-Ped Counts'!C209</f>
        <v>0</v>
      </c>
      <c r="F26" s="28">
        <f>'Hourly Bike-Ped Counts'!C210</f>
        <v>0</v>
      </c>
      <c r="G26" s="29">
        <f t="shared" si="1"/>
        <v>2</v>
      </c>
      <c r="I26" s="4">
        <v>0.91666666666666696</v>
      </c>
      <c r="J26">
        <f>SUM(C92:C95)</f>
        <v>0</v>
      </c>
      <c r="K26">
        <f t="shared" ref="K26:M26" si="24">SUM(D92:D95)</f>
        <v>0</v>
      </c>
      <c r="L26">
        <f t="shared" si="24"/>
        <v>2</v>
      </c>
      <c r="M26">
        <f t="shared" si="24"/>
        <v>0</v>
      </c>
      <c r="N26" s="3">
        <f t="shared" si="3"/>
        <v>2</v>
      </c>
    </row>
    <row r="27" spans="2:14" ht="15.75" thickBot="1" x14ac:dyDescent="0.3">
      <c r="B27" s="4">
        <v>0.23958333333333301</v>
      </c>
      <c r="C27" s="28">
        <f>'Hourly Bike-Ped Counts'!C216</f>
        <v>4</v>
      </c>
      <c r="D27" s="28">
        <f>'Hourly Bike-Ped Counts'!C217</f>
        <v>0</v>
      </c>
      <c r="E27" s="28">
        <f>'Hourly Bike-Ped Counts'!C218</f>
        <v>0</v>
      </c>
      <c r="F27" s="28">
        <f>'Hourly Bike-Ped Counts'!C219</f>
        <v>0</v>
      </c>
      <c r="G27" s="29">
        <f t="shared" si="1"/>
        <v>4</v>
      </c>
      <c r="I27" s="26">
        <v>0.95833333333333304</v>
      </c>
      <c r="J27" s="12">
        <f>SUM(C96:C99)</f>
        <v>2</v>
      </c>
      <c r="K27" s="12">
        <f t="shared" ref="K27:M27" si="25">SUM(D96:D99)</f>
        <v>0</v>
      </c>
      <c r="L27" s="12">
        <f t="shared" si="25"/>
        <v>0</v>
      </c>
      <c r="M27" s="12">
        <f t="shared" si="25"/>
        <v>0</v>
      </c>
      <c r="N27" s="27">
        <f t="shared" si="3"/>
        <v>2</v>
      </c>
    </row>
    <row r="28" spans="2:14" x14ac:dyDescent="0.25">
      <c r="B28" s="4">
        <v>0.25</v>
      </c>
      <c r="C28" s="28">
        <f>'Hourly Bike-Ped Counts'!C225</f>
        <v>1</v>
      </c>
      <c r="D28" s="28">
        <f>'Hourly Bike-Ped Counts'!C226</f>
        <v>0</v>
      </c>
      <c r="E28" s="28">
        <f>'Hourly Bike-Ped Counts'!C227</f>
        <v>0</v>
      </c>
      <c r="F28" s="28">
        <f>'Hourly Bike-Ped Counts'!C228</f>
        <v>0</v>
      </c>
      <c r="G28" s="29">
        <f t="shared" si="1"/>
        <v>1</v>
      </c>
      <c r="I28" s="3" t="s">
        <v>4</v>
      </c>
      <c r="J28" s="3">
        <f>SUM(J4:J27)</f>
        <v>279</v>
      </c>
      <c r="K28" s="3">
        <f t="shared" ref="K28:N28" si="26">SUM(K4:K27)</f>
        <v>190</v>
      </c>
      <c r="L28" s="3">
        <f t="shared" si="26"/>
        <v>157</v>
      </c>
      <c r="M28" s="3">
        <f t="shared" si="26"/>
        <v>1</v>
      </c>
      <c r="N28" s="3">
        <f t="shared" si="26"/>
        <v>627</v>
      </c>
    </row>
    <row r="29" spans="2:14" x14ac:dyDescent="0.25">
      <c r="B29" s="4">
        <v>0.26041666666666702</v>
      </c>
      <c r="C29" s="28">
        <f>'Hourly Bike-Ped Counts'!C234</f>
        <v>6</v>
      </c>
      <c r="D29" s="28">
        <f>'Hourly Bike-Ped Counts'!C235</f>
        <v>0</v>
      </c>
      <c r="E29" s="28">
        <f>'Hourly Bike-Ped Counts'!C236</f>
        <v>0</v>
      </c>
      <c r="F29" s="28">
        <f>'Hourly Bike-Ped Counts'!C237</f>
        <v>0</v>
      </c>
      <c r="G29" s="29">
        <f t="shared" si="1"/>
        <v>6</v>
      </c>
    </row>
    <row r="30" spans="2:14" x14ac:dyDescent="0.25">
      <c r="B30" s="4">
        <v>0.27083333333333298</v>
      </c>
      <c r="C30" s="28">
        <f>'Hourly Bike-Ped Counts'!C243</f>
        <v>6</v>
      </c>
      <c r="D30" s="28">
        <f>'Hourly Bike-Ped Counts'!C244</f>
        <v>2</v>
      </c>
      <c r="E30" s="28">
        <f>'Hourly Bike-Ped Counts'!C245</f>
        <v>0</v>
      </c>
      <c r="F30" s="28">
        <f>'Hourly Bike-Ped Counts'!C246</f>
        <v>0</v>
      </c>
      <c r="G30" s="29">
        <f t="shared" si="1"/>
        <v>8</v>
      </c>
    </row>
    <row r="31" spans="2:14" x14ac:dyDescent="0.25">
      <c r="B31" s="4">
        <v>0.28125</v>
      </c>
      <c r="C31" s="28">
        <f>'Hourly Bike-Ped Counts'!C252</f>
        <v>4</v>
      </c>
      <c r="D31" s="28">
        <f>'Hourly Bike-Ped Counts'!C253</f>
        <v>0</v>
      </c>
      <c r="E31" s="28">
        <f>'Hourly Bike-Ped Counts'!C254</f>
        <v>0</v>
      </c>
      <c r="F31" s="28">
        <f>'Hourly Bike-Ped Counts'!C255</f>
        <v>0</v>
      </c>
      <c r="G31" s="29">
        <f t="shared" si="1"/>
        <v>4</v>
      </c>
    </row>
    <row r="32" spans="2:14" x14ac:dyDescent="0.25">
      <c r="B32" s="4">
        <v>0.29166666666666702</v>
      </c>
      <c r="C32" s="28">
        <f>'Hourly Bike-Ped Counts'!C261</f>
        <v>5</v>
      </c>
      <c r="D32" s="28">
        <f>'Hourly Bike-Ped Counts'!C262</f>
        <v>0</v>
      </c>
      <c r="E32" s="28">
        <f>'Hourly Bike-Ped Counts'!C263</f>
        <v>1</v>
      </c>
      <c r="F32" s="28">
        <f>'Hourly Bike-Ped Counts'!C264</f>
        <v>0</v>
      </c>
      <c r="G32" s="29">
        <f t="shared" si="1"/>
        <v>6</v>
      </c>
    </row>
    <row r="33" spans="2:7" x14ac:dyDescent="0.25">
      <c r="B33" s="4">
        <v>0.30208333333333298</v>
      </c>
      <c r="C33" s="28">
        <f>'Hourly Bike-Ped Counts'!C270</f>
        <v>5</v>
      </c>
      <c r="D33" s="28">
        <f>'Hourly Bike-Ped Counts'!C271</f>
        <v>4</v>
      </c>
      <c r="E33" s="28">
        <f>'Hourly Bike-Ped Counts'!C272</f>
        <v>0</v>
      </c>
      <c r="F33" s="28">
        <f>'Hourly Bike-Ped Counts'!C273</f>
        <v>0</v>
      </c>
      <c r="G33" s="29">
        <f t="shared" si="1"/>
        <v>9</v>
      </c>
    </row>
    <row r="34" spans="2:7" x14ac:dyDescent="0.25">
      <c r="B34" s="4">
        <v>0.3125</v>
      </c>
      <c r="C34" s="28">
        <f>'Hourly Bike-Ped Counts'!C279</f>
        <v>1</v>
      </c>
      <c r="D34" s="28">
        <f>'Hourly Bike-Ped Counts'!C280</f>
        <v>1</v>
      </c>
      <c r="E34" s="28">
        <f>'Hourly Bike-Ped Counts'!C281</f>
        <v>0</v>
      </c>
      <c r="F34" s="28">
        <f>'Hourly Bike-Ped Counts'!C282</f>
        <v>0</v>
      </c>
      <c r="G34" s="29">
        <f t="shared" si="1"/>
        <v>2</v>
      </c>
    </row>
    <row r="35" spans="2:7" x14ac:dyDescent="0.25">
      <c r="B35" s="4">
        <v>0.32291666666666702</v>
      </c>
      <c r="C35" s="28">
        <f>'Hourly Bike-Ped Counts'!C288</f>
        <v>1</v>
      </c>
      <c r="D35" s="28">
        <f>'Hourly Bike-Ped Counts'!C289</f>
        <v>0</v>
      </c>
      <c r="E35" s="28">
        <f>'Hourly Bike-Ped Counts'!C290</f>
        <v>0</v>
      </c>
      <c r="F35" s="28">
        <f>'Hourly Bike-Ped Counts'!C291</f>
        <v>0</v>
      </c>
      <c r="G35" s="29">
        <f t="shared" si="1"/>
        <v>1</v>
      </c>
    </row>
    <row r="36" spans="2:7" x14ac:dyDescent="0.25">
      <c r="B36" s="4">
        <v>0.33333333333333298</v>
      </c>
      <c r="C36" s="28">
        <f>'Hourly Bike-Ped Counts'!C297</f>
        <v>1</v>
      </c>
      <c r="D36" s="28">
        <f>'Hourly Bike-Ped Counts'!C298</f>
        <v>1</v>
      </c>
      <c r="E36" s="28">
        <f>'Hourly Bike-Ped Counts'!C299</f>
        <v>0</v>
      </c>
      <c r="F36" s="28">
        <f>'Hourly Bike-Ped Counts'!C300</f>
        <v>0</v>
      </c>
      <c r="G36" s="29">
        <f t="shared" si="1"/>
        <v>2</v>
      </c>
    </row>
    <row r="37" spans="2:7" x14ac:dyDescent="0.25">
      <c r="B37" s="4">
        <v>0.34375</v>
      </c>
      <c r="C37" s="28">
        <f>'Hourly Bike-Ped Counts'!C306</f>
        <v>5</v>
      </c>
      <c r="D37" s="28">
        <f>'Hourly Bike-Ped Counts'!C307</f>
        <v>2</v>
      </c>
      <c r="E37" s="28">
        <f>'Hourly Bike-Ped Counts'!C308</f>
        <v>0</v>
      </c>
      <c r="F37" s="28">
        <f>'Hourly Bike-Ped Counts'!C309</f>
        <v>0</v>
      </c>
      <c r="G37" s="29">
        <f t="shared" si="1"/>
        <v>7</v>
      </c>
    </row>
    <row r="38" spans="2:7" x14ac:dyDescent="0.25">
      <c r="B38" s="4">
        <v>0.35416666666666702</v>
      </c>
      <c r="C38" s="28">
        <f>'Hourly Bike-Ped Counts'!C315</f>
        <v>3</v>
      </c>
      <c r="D38" s="28">
        <f>'Hourly Bike-Ped Counts'!C316</f>
        <v>7</v>
      </c>
      <c r="E38" s="28">
        <f>'Hourly Bike-Ped Counts'!C317</f>
        <v>6</v>
      </c>
      <c r="F38" s="28">
        <f>'Hourly Bike-Ped Counts'!C318</f>
        <v>0</v>
      </c>
      <c r="G38" s="29">
        <f t="shared" si="1"/>
        <v>16</v>
      </c>
    </row>
    <row r="39" spans="2:7" x14ac:dyDescent="0.25">
      <c r="B39" s="4">
        <v>0.36458333333333298</v>
      </c>
      <c r="C39" s="28">
        <f>'Hourly Bike-Ped Counts'!C324</f>
        <v>18</v>
      </c>
      <c r="D39" s="28">
        <f>'Hourly Bike-Ped Counts'!C325</f>
        <v>41</v>
      </c>
      <c r="E39" s="28">
        <f>'Hourly Bike-Ped Counts'!C326</f>
        <v>63</v>
      </c>
      <c r="F39" s="28">
        <f>'Hourly Bike-Ped Counts'!C327</f>
        <v>0</v>
      </c>
      <c r="G39" s="29">
        <f t="shared" si="1"/>
        <v>122</v>
      </c>
    </row>
    <row r="40" spans="2:7" x14ac:dyDescent="0.25">
      <c r="B40" s="4">
        <v>0.375</v>
      </c>
      <c r="C40" s="28">
        <f>'Hourly Bike-Ped Counts'!C333</f>
        <v>28</v>
      </c>
      <c r="D40" s="28">
        <f>'Hourly Bike-Ped Counts'!C334</f>
        <v>25</v>
      </c>
      <c r="E40" s="28">
        <f>'Hourly Bike-Ped Counts'!C335</f>
        <v>18</v>
      </c>
      <c r="F40" s="28">
        <f>'Hourly Bike-Ped Counts'!C336</f>
        <v>0</v>
      </c>
      <c r="G40" s="29">
        <f t="shared" si="1"/>
        <v>71</v>
      </c>
    </row>
    <row r="41" spans="2:7" x14ac:dyDescent="0.25">
      <c r="B41" s="4">
        <v>0.38541666666666702</v>
      </c>
      <c r="C41" s="28">
        <f>'Hourly Bike-Ped Counts'!C342</f>
        <v>4</v>
      </c>
      <c r="D41" s="28">
        <f>'Hourly Bike-Ped Counts'!C343</f>
        <v>0</v>
      </c>
      <c r="E41" s="28">
        <f>'Hourly Bike-Ped Counts'!C344</f>
        <v>0</v>
      </c>
      <c r="F41" s="28">
        <f>'Hourly Bike-Ped Counts'!C345</f>
        <v>0</v>
      </c>
      <c r="G41" s="29">
        <f t="shared" si="1"/>
        <v>4</v>
      </c>
    </row>
    <row r="42" spans="2:7" x14ac:dyDescent="0.25">
      <c r="B42" s="4">
        <v>0.39583333333333298</v>
      </c>
      <c r="C42" s="28">
        <f>'Hourly Bike-Ped Counts'!C351</f>
        <v>1</v>
      </c>
      <c r="D42" s="28">
        <f>'Hourly Bike-Ped Counts'!C352</f>
        <v>0</v>
      </c>
      <c r="E42" s="28">
        <f>'Hourly Bike-Ped Counts'!C353</f>
        <v>0</v>
      </c>
      <c r="F42" s="28">
        <f>'Hourly Bike-Ped Counts'!C354</f>
        <v>0</v>
      </c>
      <c r="G42" s="29">
        <f t="shared" si="1"/>
        <v>1</v>
      </c>
    </row>
    <row r="43" spans="2:7" x14ac:dyDescent="0.25">
      <c r="B43" s="4">
        <v>0.40625</v>
      </c>
      <c r="C43" s="28">
        <f>'Hourly Bike-Ped Counts'!C360</f>
        <v>9</v>
      </c>
      <c r="D43" s="28">
        <f>'Hourly Bike-Ped Counts'!C361</f>
        <v>0</v>
      </c>
      <c r="E43" s="28">
        <f>'Hourly Bike-Ped Counts'!C362</f>
        <v>0</v>
      </c>
      <c r="F43" s="28">
        <f>'Hourly Bike-Ped Counts'!C363</f>
        <v>0</v>
      </c>
      <c r="G43" s="29">
        <f t="shared" si="1"/>
        <v>9</v>
      </c>
    </row>
    <row r="44" spans="2:7" x14ac:dyDescent="0.25">
      <c r="B44" s="4">
        <v>0.41666666666666702</v>
      </c>
      <c r="C44" s="28">
        <f>'Hourly Bike-Ped Counts'!C369</f>
        <v>4</v>
      </c>
      <c r="D44" s="28">
        <f>'Hourly Bike-Ped Counts'!C370</f>
        <v>1</v>
      </c>
      <c r="E44" s="28">
        <f>'Hourly Bike-Ped Counts'!C371</f>
        <v>0</v>
      </c>
      <c r="F44" s="28">
        <f>'Hourly Bike-Ped Counts'!C372</f>
        <v>0</v>
      </c>
      <c r="G44" s="29">
        <f t="shared" si="1"/>
        <v>5</v>
      </c>
    </row>
    <row r="45" spans="2:7" x14ac:dyDescent="0.25">
      <c r="B45" s="4">
        <v>0.42708333333333298</v>
      </c>
      <c r="C45" s="28">
        <f>'Hourly Bike-Ped Counts'!C378</f>
        <v>1</v>
      </c>
      <c r="D45" s="28">
        <f>'Hourly Bike-Ped Counts'!C379</f>
        <v>1</v>
      </c>
      <c r="E45" s="28">
        <f>'Hourly Bike-Ped Counts'!C380</f>
        <v>0</v>
      </c>
      <c r="F45" s="28">
        <f>'Hourly Bike-Ped Counts'!C381</f>
        <v>0</v>
      </c>
      <c r="G45" s="29">
        <f t="shared" si="1"/>
        <v>2</v>
      </c>
    </row>
    <row r="46" spans="2:7" x14ac:dyDescent="0.25">
      <c r="B46" s="4">
        <v>0.4375</v>
      </c>
      <c r="C46" s="28">
        <f>'Hourly Bike-Ped Counts'!C387</f>
        <v>1</v>
      </c>
      <c r="D46" s="28">
        <f>'Hourly Bike-Ped Counts'!C388</f>
        <v>0</v>
      </c>
      <c r="E46" s="28">
        <f>'Hourly Bike-Ped Counts'!C389</f>
        <v>0</v>
      </c>
      <c r="F46" s="28">
        <f>'Hourly Bike-Ped Counts'!C390</f>
        <v>0</v>
      </c>
      <c r="G46" s="29">
        <f t="shared" si="1"/>
        <v>1</v>
      </c>
    </row>
    <row r="47" spans="2:7" x14ac:dyDescent="0.25">
      <c r="B47" s="4">
        <v>0.44791666666666702</v>
      </c>
      <c r="C47" s="28">
        <f>'Hourly Bike-Ped Counts'!C396</f>
        <v>0</v>
      </c>
      <c r="D47" s="28">
        <f>'Hourly Bike-Ped Counts'!C397</f>
        <v>0</v>
      </c>
      <c r="E47" s="28">
        <f>'Hourly Bike-Ped Counts'!C398</f>
        <v>0</v>
      </c>
      <c r="F47" s="28">
        <f>'Hourly Bike-Ped Counts'!C399</f>
        <v>0</v>
      </c>
      <c r="G47" s="29">
        <f t="shared" si="1"/>
        <v>0</v>
      </c>
    </row>
    <row r="48" spans="2:7" x14ac:dyDescent="0.25">
      <c r="B48" s="4">
        <v>0.45833333333333298</v>
      </c>
      <c r="C48" s="28">
        <f>'Hourly Bike-Ped Counts'!C405</f>
        <v>0</v>
      </c>
      <c r="D48" s="28">
        <f>'Hourly Bike-Ped Counts'!C406</f>
        <v>0</v>
      </c>
      <c r="E48" s="28">
        <f>'Hourly Bike-Ped Counts'!C407</f>
        <v>0</v>
      </c>
      <c r="F48" s="28">
        <f>'Hourly Bike-Ped Counts'!C408</f>
        <v>0</v>
      </c>
      <c r="G48" s="29">
        <f t="shared" si="1"/>
        <v>0</v>
      </c>
    </row>
    <row r="49" spans="2:7" x14ac:dyDescent="0.25">
      <c r="B49" s="4">
        <v>0.46875</v>
      </c>
      <c r="C49" s="28">
        <f>'Hourly Bike-Ped Counts'!C414</f>
        <v>5</v>
      </c>
      <c r="D49" s="28">
        <f>'Hourly Bike-Ped Counts'!C415</f>
        <v>2</v>
      </c>
      <c r="E49" s="28">
        <f>'Hourly Bike-Ped Counts'!C416</f>
        <v>0</v>
      </c>
      <c r="F49" s="28">
        <f>'Hourly Bike-Ped Counts'!C417</f>
        <v>0</v>
      </c>
      <c r="G49" s="29">
        <f t="shared" si="1"/>
        <v>7</v>
      </c>
    </row>
    <row r="50" spans="2:7" x14ac:dyDescent="0.25">
      <c r="B50" s="4">
        <v>0.47916666666666702</v>
      </c>
      <c r="C50" s="28">
        <f>'Hourly Bike-Ped Counts'!C423</f>
        <v>0</v>
      </c>
      <c r="D50" s="28">
        <f>'Hourly Bike-Ped Counts'!C424</f>
        <v>0</v>
      </c>
      <c r="E50" s="28">
        <f>'Hourly Bike-Ped Counts'!C425</f>
        <v>0</v>
      </c>
      <c r="F50" s="28">
        <f>'Hourly Bike-Ped Counts'!C426</f>
        <v>0</v>
      </c>
      <c r="G50" s="29">
        <f t="shared" si="1"/>
        <v>0</v>
      </c>
    </row>
    <row r="51" spans="2:7" x14ac:dyDescent="0.25">
      <c r="B51" s="4">
        <v>0.48958333333333298</v>
      </c>
      <c r="C51" s="28">
        <f>'Hourly Bike-Ped Counts'!C432</f>
        <v>0</v>
      </c>
      <c r="D51" s="28">
        <f>'Hourly Bike-Ped Counts'!C433</f>
        <v>0</v>
      </c>
      <c r="E51" s="28">
        <f>'Hourly Bike-Ped Counts'!C434</f>
        <v>0</v>
      </c>
      <c r="F51" s="28">
        <f>'Hourly Bike-Ped Counts'!C435</f>
        <v>0</v>
      </c>
      <c r="G51" s="29">
        <f t="shared" si="1"/>
        <v>0</v>
      </c>
    </row>
    <row r="52" spans="2:7" x14ac:dyDescent="0.25">
      <c r="B52" s="4">
        <v>0.5</v>
      </c>
      <c r="C52" s="28">
        <f>'Hourly Bike-Ped Counts'!C441</f>
        <v>1</v>
      </c>
      <c r="D52" s="28">
        <f>'Hourly Bike-Ped Counts'!C442</f>
        <v>1</v>
      </c>
      <c r="E52" s="28">
        <f>'Hourly Bike-Ped Counts'!C443</f>
        <v>0</v>
      </c>
      <c r="F52" s="28">
        <f>'Hourly Bike-Ped Counts'!C444</f>
        <v>0</v>
      </c>
      <c r="G52" s="29">
        <f t="shared" si="1"/>
        <v>2</v>
      </c>
    </row>
    <row r="53" spans="2:7" x14ac:dyDescent="0.25">
      <c r="B53" s="4">
        <v>0.51041666666666696</v>
      </c>
      <c r="C53" s="28">
        <f>'Hourly Bike-Ped Counts'!C450</f>
        <v>5</v>
      </c>
      <c r="D53" s="28">
        <f>'Hourly Bike-Ped Counts'!C451</f>
        <v>1</v>
      </c>
      <c r="E53" s="28">
        <f>'Hourly Bike-Ped Counts'!C452</f>
        <v>0</v>
      </c>
      <c r="F53" s="28">
        <f>'Hourly Bike-Ped Counts'!C453</f>
        <v>0</v>
      </c>
      <c r="G53" s="29">
        <f t="shared" si="1"/>
        <v>6</v>
      </c>
    </row>
    <row r="54" spans="2:7" x14ac:dyDescent="0.25">
      <c r="B54" s="4">
        <v>0.52083333333333304</v>
      </c>
      <c r="C54" s="28">
        <f>'Hourly Bike-Ped Counts'!C459</f>
        <v>4</v>
      </c>
      <c r="D54" s="28">
        <f>'Hourly Bike-Ped Counts'!C460</f>
        <v>1</v>
      </c>
      <c r="E54" s="28">
        <f>'Hourly Bike-Ped Counts'!C461</f>
        <v>0</v>
      </c>
      <c r="F54" s="28">
        <f>'Hourly Bike-Ped Counts'!C462</f>
        <v>0</v>
      </c>
      <c r="G54" s="29">
        <f t="shared" si="1"/>
        <v>5</v>
      </c>
    </row>
    <row r="55" spans="2:7" x14ac:dyDescent="0.25">
      <c r="B55" s="4">
        <v>0.53125</v>
      </c>
      <c r="C55" s="28">
        <f>'Hourly Bike-Ped Counts'!C468</f>
        <v>2</v>
      </c>
      <c r="D55" s="28">
        <f>'Hourly Bike-Ped Counts'!C469</f>
        <v>2</v>
      </c>
      <c r="E55" s="28">
        <f>'Hourly Bike-Ped Counts'!C470</f>
        <v>0</v>
      </c>
      <c r="F55" s="28">
        <f>'Hourly Bike-Ped Counts'!C471</f>
        <v>0</v>
      </c>
      <c r="G55" s="29">
        <f t="shared" si="1"/>
        <v>4</v>
      </c>
    </row>
    <row r="56" spans="2:7" x14ac:dyDescent="0.25">
      <c r="B56" s="4">
        <v>0.54166666666666696</v>
      </c>
      <c r="C56" s="28">
        <f>'Hourly Bike-Ped Counts'!C477</f>
        <v>0</v>
      </c>
      <c r="D56" s="28">
        <f>'Hourly Bike-Ped Counts'!C478</f>
        <v>0</v>
      </c>
      <c r="E56" s="28">
        <f>'Hourly Bike-Ped Counts'!C479</f>
        <v>0</v>
      </c>
      <c r="F56" s="28">
        <f>'Hourly Bike-Ped Counts'!C480</f>
        <v>0</v>
      </c>
      <c r="G56" s="29">
        <f t="shared" si="1"/>
        <v>0</v>
      </c>
    </row>
    <row r="57" spans="2:7" x14ac:dyDescent="0.25">
      <c r="B57" s="4">
        <v>0.55208333333333304</v>
      </c>
      <c r="C57" s="28">
        <f>'Hourly Bike-Ped Counts'!C486</f>
        <v>2</v>
      </c>
      <c r="D57" s="28">
        <f>'Hourly Bike-Ped Counts'!C487</f>
        <v>0</v>
      </c>
      <c r="E57" s="28">
        <f>'Hourly Bike-Ped Counts'!C488</f>
        <v>0</v>
      </c>
      <c r="F57" s="28">
        <f>'Hourly Bike-Ped Counts'!C489</f>
        <v>0</v>
      </c>
      <c r="G57" s="29">
        <f t="shared" si="1"/>
        <v>2</v>
      </c>
    </row>
    <row r="58" spans="2:7" x14ac:dyDescent="0.25">
      <c r="B58" s="4">
        <v>0.5625</v>
      </c>
      <c r="C58" s="28">
        <f>'Hourly Bike-Ped Counts'!C495</f>
        <v>1</v>
      </c>
      <c r="D58" s="28">
        <f>'Hourly Bike-Ped Counts'!C496</f>
        <v>2</v>
      </c>
      <c r="E58" s="28">
        <f>'Hourly Bike-Ped Counts'!C497</f>
        <v>0</v>
      </c>
      <c r="F58" s="28">
        <f>'Hourly Bike-Ped Counts'!C498</f>
        <v>0</v>
      </c>
      <c r="G58" s="29">
        <f t="shared" si="1"/>
        <v>3</v>
      </c>
    </row>
    <row r="59" spans="2:7" x14ac:dyDescent="0.25">
      <c r="B59" s="4">
        <v>0.57291666666666696</v>
      </c>
      <c r="C59" s="28">
        <f>'Hourly Bike-Ped Counts'!C504</f>
        <v>3</v>
      </c>
      <c r="D59" s="28">
        <f>'Hourly Bike-Ped Counts'!C505</f>
        <v>0</v>
      </c>
      <c r="E59" s="28">
        <f>'Hourly Bike-Ped Counts'!C506</f>
        <v>1</v>
      </c>
      <c r="F59" s="28">
        <f>'Hourly Bike-Ped Counts'!C507</f>
        <v>0</v>
      </c>
      <c r="G59" s="29">
        <f t="shared" si="1"/>
        <v>4</v>
      </c>
    </row>
    <row r="60" spans="2:7" x14ac:dyDescent="0.25">
      <c r="B60" s="4">
        <v>0.58333333333333304</v>
      </c>
      <c r="C60" s="28">
        <f>'Hourly Bike-Ped Counts'!C513</f>
        <v>0</v>
      </c>
      <c r="D60" s="28">
        <f>'Hourly Bike-Ped Counts'!C514</f>
        <v>3</v>
      </c>
      <c r="E60" s="28">
        <f>'Hourly Bike-Ped Counts'!C515</f>
        <v>0</v>
      </c>
      <c r="F60" s="28">
        <f>'Hourly Bike-Ped Counts'!C516</f>
        <v>0</v>
      </c>
      <c r="G60" s="29">
        <f t="shared" si="1"/>
        <v>3</v>
      </c>
    </row>
    <row r="61" spans="2:7" x14ac:dyDescent="0.25">
      <c r="B61" s="4">
        <v>0.59375</v>
      </c>
      <c r="C61" s="28">
        <f>'Hourly Bike-Ped Counts'!C522</f>
        <v>4</v>
      </c>
      <c r="D61" s="28">
        <f>'Hourly Bike-Ped Counts'!C523</f>
        <v>3</v>
      </c>
      <c r="E61" s="28">
        <f>'Hourly Bike-Ped Counts'!C524</f>
        <v>1</v>
      </c>
      <c r="F61" s="28">
        <f>'Hourly Bike-Ped Counts'!C525</f>
        <v>0</v>
      </c>
      <c r="G61" s="29">
        <f t="shared" si="1"/>
        <v>8</v>
      </c>
    </row>
    <row r="62" spans="2:7" x14ac:dyDescent="0.25">
      <c r="B62" s="4">
        <v>0.60416666666666696</v>
      </c>
      <c r="C62" s="28">
        <f>'Hourly Bike-Ped Counts'!C531</f>
        <v>2</v>
      </c>
      <c r="D62" s="28">
        <f>'Hourly Bike-Ped Counts'!C532</f>
        <v>2</v>
      </c>
      <c r="E62" s="28">
        <f>'Hourly Bike-Ped Counts'!C533</f>
        <v>0</v>
      </c>
      <c r="F62" s="28">
        <f>'Hourly Bike-Ped Counts'!C534</f>
        <v>0</v>
      </c>
      <c r="G62" s="29">
        <f t="shared" si="1"/>
        <v>4</v>
      </c>
    </row>
    <row r="63" spans="2:7" x14ac:dyDescent="0.25">
      <c r="B63" s="4">
        <v>0.61458333333333304</v>
      </c>
      <c r="C63" s="28">
        <f>'Hourly Bike-Ped Counts'!C540</f>
        <v>0</v>
      </c>
      <c r="D63" s="28">
        <f>'Hourly Bike-Ped Counts'!C541</f>
        <v>0</v>
      </c>
      <c r="E63" s="28">
        <f>'Hourly Bike-Ped Counts'!C542</f>
        <v>0</v>
      </c>
      <c r="F63" s="28">
        <f>'Hourly Bike-Ped Counts'!C543</f>
        <v>0</v>
      </c>
      <c r="G63" s="29">
        <f t="shared" si="1"/>
        <v>0</v>
      </c>
    </row>
    <row r="64" spans="2:7" x14ac:dyDescent="0.25">
      <c r="B64" s="4">
        <v>0.625</v>
      </c>
      <c r="C64" s="28">
        <f>'Hourly Bike-Ped Counts'!C549</f>
        <v>4</v>
      </c>
      <c r="D64" s="28">
        <f>'Hourly Bike-Ped Counts'!C550</f>
        <v>0</v>
      </c>
      <c r="E64" s="28">
        <f>'Hourly Bike-Ped Counts'!C551</f>
        <v>0</v>
      </c>
      <c r="F64" s="28">
        <f>'Hourly Bike-Ped Counts'!C552</f>
        <v>0</v>
      </c>
      <c r="G64" s="29">
        <f t="shared" si="1"/>
        <v>4</v>
      </c>
    </row>
    <row r="65" spans="2:7" x14ac:dyDescent="0.25">
      <c r="B65" s="4">
        <v>0.63541666666666696</v>
      </c>
      <c r="C65" s="28">
        <f>'Hourly Bike-Ped Counts'!C558</f>
        <v>7</v>
      </c>
      <c r="D65" s="28">
        <f>'Hourly Bike-Ped Counts'!C559</f>
        <v>3</v>
      </c>
      <c r="E65" s="28">
        <f>'Hourly Bike-Ped Counts'!C560</f>
        <v>4</v>
      </c>
      <c r="F65" s="28">
        <f>'Hourly Bike-Ped Counts'!C561</f>
        <v>0</v>
      </c>
      <c r="G65" s="29">
        <f t="shared" si="1"/>
        <v>14</v>
      </c>
    </row>
    <row r="66" spans="2:7" x14ac:dyDescent="0.25">
      <c r="B66" s="4">
        <v>0.64583333333333304</v>
      </c>
      <c r="C66" s="28">
        <f>'Hourly Bike-Ped Counts'!C567</f>
        <v>83</v>
      </c>
      <c r="D66" s="28">
        <f>'Hourly Bike-Ped Counts'!C568</f>
        <v>74</v>
      </c>
      <c r="E66" s="28">
        <f>'Hourly Bike-Ped Counts'!C569</f>
        <v>60</v>
      </c>
      <c r="F66" s="28">
        <f>'Hourly Bike-Ped Counts'!C570</f>
        <v>1</v>
      </c>
      <c r="G66" s="29">
        <f t="shared" si="1"/>
        <v>218</v>
      </c>
    </row>
    <row r="67" spans="2:7" x14ac:dyDescent="0.25">
      <c r="B67" s="4">
        <v>0.65625</v>
      </c>
      <c r="C67" s="28">
        <f>'Hourly Bike-Ped Counts'!C576</f>
        <v>1</v>
      </c>
      <c r="D67" s="28">
        <f>'Hourly Bike-Ped Counts'!C577</f>
        <v>1</v>
      </c>
      <c r="E67" s="28">
        <f>'Hourly Bike-Ped Counts'!C578</f>
        <v>0</v>
      </c>
      <c r="F67" s="28">
        <f>'Hourly Bike-Ped Counts'!C579</f>
        <v>0</v>
      </c>
      <c r="G67" s="29">
        <f t="shared" si="1"/>
        <v>2</v>
      </c>
    </row>
    <row r="68" spans="2:7" x14ac:dyDescent="0.25">
      <c r="B68" s="4">
        <v>0.66666666666666696</v>
      </c>
      <c r="C68" s="28">
        <f>'Hourly Bike-Ped Counts'!C585</f>
        <v>1</v>
      </c>
      <c r="D68" s="28">
        <f>'Hourly Bike-Ped Counts'!C586</f>
        <v>0</v>
      </c>
      <c r="E68" s="28">
        <f>'Hourly Bike-Ped Counts'!C587</f>
        <v>0</v>
      </c>
      <c r="F68" s="28">
        <f>'Hourly Bike-Ped Counts'!C588</f>
        <v>0</v>
      </c>
      <c r="G68" s="29">
        <f t="shared" si="1"/>
        <v>1</v>
      </c>
    </row>
    <row r="69" spans="2:7" x14ac:dyDescent="0.25">
      <c r="B69" s="4">
        <v>0.67708333333333304</v>
      </c>
      <c r="C69" s="28">
        <f>'Hourly Bike-Ped Counts'!C594</f>
        <v>1</v>
      </c>
      <c r="D69" s="28">
        <f>'Hourly Bike-Ped Counts'!C595</f>
        <v>0</v>
      </c>
      <c r="E69" s="28">
        <f>'Hourly Bike-Ped Counts'!C596</f>
        <v>0</v>
      </c>
      <c r="F69" s="28">
        <f>'Hourly Bike-Ped Counts'!C597</f>
        <v>0</v>
      </c>
      <c r="G69" s="29">
        <f t="shared" ref="G69:G99" si="27">SUM(C69:F69)</f>
        <v>1</v>
      </c>
    </row>
    <row r="70" spans="2:7" x14ac:dyDescent="0.25">
      <c r="B70" s="4">
        <v>0.6875</v>
      </c>
      <c r="C70" s="28">
        <f>'Hourly Bike-Ped Counts'!C603</f>
        <v>2</v>
      </c>
      <c r="D70" s="28">
        <f>'Hourly Bike-Ped Counts'!C604</f>
        <v>1</v>
      </c>
      <c r="E70" s="28">
        <f>'Hourly Bike-Ped Counts'!C605</f>
        <v>1</v>
      </c>
      <c r="F70" s="28">
        <f>'Hourly Bike-Ped Counts'!C606</f>
        <v>0</v>
      </c>
      <c r="G70" s="29">
        <f t="shared" si="27"/>
        <v>4</v>
      </c>
    </row>
    <row r="71" spans="2:7" x14ac:dyDescent="0.25">
      <c r="B71" s="4">
        <v>0.69791666666666696</v>
      </c>
      <c r="C71" s="28">
        <f>'Hourly Bike-Ped Counts'!C612</f>
        <v>11</v>
      </c>
      <c r="D71" s="28">
        <f>'Hourly Bike-Ped Counts'!C613</f>
        <v>1</v>
      </c>
      <c r="E71" s="28">
        <f>'Hourly Bike-Ped Counts'!C614</f>
        <v>0</v>
      </c>
      <c r="F71" s="28">
        <f>'Hourly Bike-Ped Counts'!C615</f>
        <v>0</v>
      </c>
      <c r="G71" s="29">
        <f t="shared" si="27"/>
        <v>12</v>
      </c>
    </row>
    <row r="72" spans="2:7" x14ac:dyDescent="0.25">
      <c r="B72" s="4">
        <v>0.70833333333333304</v>
      </c>
      <c r="C72" s="28">
        <f>'Hourly Bike-Ped Counts'!C621</f>
        <v>3</v>
      </c>
      <c r="D72" s="28">
        <f>'Hourly Bike-Ped Counts'!C622</f>
        <v>2</v>
      </c>
      <c r="E72" s="28">
        <f>'Hourly Bike-Ped Counts'!C623</f>
        <v>0</v>
      </c>
      <c r="F72" s="28">
        <f>'Hourly Bike-Ped Counts'!C624</f>
        <v>0</v>
      </c>
      <c r="G72" s="29">
        <f t="shared" si="27"/>
        <v>5</v>
      </c>
    </row>
    <row r="73" spans="2:7" x14ac:dyDescent="0.25">
      <c r="B73" s="4">
        <v>0.71875</v>
      </c>
      <c r="C73" s="28">
        <f>'Hourly Bike-Ped Counts'!C630</f>
        <v>4</v>
      </c>
      <c r="D73" s="28">
        <f>'Hourly Bike-Ped Counts'!C631</f>
        <v>2</v>
      </c>
      <c r="E73" s="28">
        <f>'Hourly Bike-Ped Counts'!C632</f>
        <v>0</v>
      </c>
      <c r="F73" s="28">
        <f>'Hourly Bike-Ped Counts'!C633</f>
        <v>0</v>
      </c>
      <c r="G73" s="29">
        <f t="shared" si="27"/>
        <v>6</v>
      </c>
    </row>
    <row r="74" spans="2:7" x14ac:dyDescent="0.25">
      <c r="B74" s="4">
        <v>0.72916666666666696</v>
      </c>
      <c r="C74" s="28">
        <f>'Hourly Bike-Ped Counts'!C639</f>
        <v>4</v>
      </c>
      <c r="D74" s="28">
        <f>'Hourly Bike-Ped Counts'!C640</f>
        <v>0</v>
      </c>
      <c r="E74" s="28">
        <f>'Hourly Bike-Ped Counts'!C641</f>
        <v>0</v>
      </c>
      <c r="F74" s="28">
        <f>'Hourly Bike-Ped Counts'!C642</f>
        <v>0</v>
      </c>
      <c r="G74" s="29">
        <f t="shared" si="27"/>
        <v>4</v>
      </c>
    </row>
    <row r="75" spans="2:7" x14ac:dyDescent="0.25">
      <c r="B75" s="4">
        <v>0.73958333333333304</v>
      </c>
      <c r="C75" s="28">
        <f>'Hourly Bike-Ped Counts'!C648</f>
        <v>3</v>
      </c>
      <c r="D75" s="28">
        <f>'Hourly Bike-Ped Counts'!C649</f>
        <v>1</v>
      </c>
      <c r="E75" s="28">
        <f>'Hourly Bike-Ped Counts'!C650</f>
        <v>0</v>
      </c>
      <c r="F75" s="28">
        <f>'Hourly Bike-Ped Counts'!C651</f>
        <v>0</v>
      </c>
      <c r="G75" s="29">
        <f t="shared" si="27"/>
        <v>4</v>
      </c>
    </row>
    <row r="76" spans="2:7" x14ac:dyDescent="0.25">
      <c r="B76" s="4">
        <v>0.75</v>
      </c>
      <c r="C76" s="28">
        <f>'Hourly Bike-Ped Counts'!C657</f>
        <v>1</v>
      </c>
      <c r="D76" s="28">
        <f>'Hourly Bike-Ped Counts'!C658</f>
        <v>0</v>
      </c>
      <c r="E76" s="28">
        <f>'Hourly Bike-Ped Counts'!C659</f>
        <v>0</v>
      </c>
      <c r="F76" s="28">
        <f>'Hourly Bike-Ped Counts'!C660</f>
        <v>0</v>
      </c>
      <c r="G76" s="29">
        <f t="shared" si="27"/>
        <v>1</v>
      </c>
    </row>
    <row r="77" spans="2:7" x14ac:dyDescent="0.25">
      <c r="B77" s="4">
        <v>0.76041666666666696</v>
      </c>
      <c r="C77" s="28">
        <f>'Hourly Bike-Ped Counts'!C666</f>
        <v>0</v>
      </c>
      <c r="D77" s="28">
        <f>'Hourly Bike-Ped Counts'!C667</f>
        <v>2</v>
      </c>
      <c r="E77" s="28">
        <f>'Hourly Bike-Ped Counts'!C668</f>
        <v>0</v>
      </c>
      <c r="F77" s="28">
        <f>'Hourly Bike-Ped Counts'!C669</f>
        <v>0</v>
      </c>
      <c r="G77" s="29">
        <f t="shared" si="27"/>
        <v>2</v>
      </c>
    </row>
    <row r="78" spans="2:7" x14ac:dyDescent="0.25">
      <c r="B78" s="4">
        <v>0.77083333333333304</v>
      </c>
      <c r="C78" s="28">
        <f>'Hourly Bike-Ped Counts'!C675</f>
        <v>3</v>
      </c>
      <c r="D78" s="28">
        <f>'Hourly Bike-Ped Counts'!C676</f>
        <v>0</v>
      </c>
      <c r="E78" s="28">
        <f>'Hourly Bike-Ped Counts'!C677</f>
        <v>0</v>
      </c>
      <c r="F78" s="28">
        <f>'Hourly Bike-Ped Counts'!C678</f>
        <v>0</v>
      </c>
      <c r="G78" s="29">
        <f t="shared" si="27"/>
        <v>3</v>
      </c>
    </row>
    <row r="79" spans="2:7" x14ac:dyDescent="0.25">
      <c r="B79" s="4">
        <v>0.78125</v>
      </c>
      <c r="C79" s="28">
        <f>'Hourly Bike-Ped Counts'!C684</f>
        <v>4</v>
      </c>
      <c r="D79" s="28">
        <f>'Hourly Bike-Ped Counts'!C685</f>
        <v>0</v>
      </c>
      <c r="E79" s="28">
        <f>'Hourly Bike-Ped Counts'!C686</f>
        <v>0</v>
      </c>
      <c r="F79" s="28">
        <f>'Hourly Bike-Ped Counts'!C687</f>
        <v>0</v>
      </c>
      <c r="G79" s="29">
        <f t="shared" si="27"/>
        <v>4</v>
      </c>
    </row>
    <row r="80" spans="2:7" x14ac:dyDescent="0.25">
      <c r="B80" s="4">
        <v>0.79166666666666696</v>
      </c>
      <c r="C80" s="28">
        <f>'Hourly Bike-Ped Counts'!C693</f>
        <v>1</v>
      </c>
      <c r="D80" s="28">
        <f>'Hourly Bike-Ped Counts'!C694</f>
        <v>0</v>
      </c>
      <c r="E80" s="28">
        <f>'Hourly Bike-Ped Counts'!C695</f>
        <v>0</v>
      </c>
      <c r="F80" s="28">
        <f>'Hourly Bike-Ped Counts'!C696</f>
        <v>0</v>
      </c>
      <c r="G80" s="29">
        <f t="shared" si="27"/>
        <v>1</v>
      </c>
    </row>
    <row r="81" spans="2:7" x14ac:dyDescent="0.25">
      <c r="B81" s="4">
        <v>0.80208333333333304</v>
      </c>
      <c r="C81" s="28">
        <f>'Hourly Bike-Ped Counts'!C702</f>
        <v>0</v>
      </c>
      <c r="D81" s="28">
        <f>'Hourly Bike-Ped Counts'!C703</f>
        <v>0</v>
      </c>
      <c r="E81" s="28">
        <f>'Hourly Bike-Ped Counts'!C704</f>
        <v>0</v>
      </c>
      <c r="F81" s="28">
        <f>'Hourly Bike-Ped Counts'!C705</f>
        <v>0</v>
      </c>
      <c r="G81" s="29">
        <f t="shared" si="27"/>
        <v>0</v>
      </c>
    </row>
    <row r="82" spans="2:7" x14ac:dyDescent="0.25">
      <c r="B82" s="4">
        <v>0.8125</v>
      </c>
      <c r="C82" s="28">
        <f>'Hourly Bike-Ped Counts'!C711</f>
        <v>2</v>
      </c>
      <c r="D82" s="28">
        <f>'Hourly Bike-Ped Counts'!C712</f>
        <v>0</v>
      </c>
      <c r="E82" s="28">
        <f>'Hourly Bike-Ped Counts'!C713</f>
        <v>0</v>
      </c>
      <c r="F82" s="28">
        <f>'Hourly Bike-Ped Counts'!C714</f>
        <v>0</v>
      </c>
      <c r="G82" s="29">
        <f t="shared" si="27"/>
        <v>2</v>
      </c>
    </row>
    <row r="83" spans="2:7" x14ac:dyDescent="0.25">
      <c r="B83" s="4">
        <v>0.82291666666666696</v>
      </c>
      <c r="C83" s="28">
        <f>'Hourly Bike-Ped Counts'!C720</f>
        <v>0</v>
      </c>
      <c r="D83" s="28">
        <f>'Hourly Bike-Ped Counts'!C721</f>
        <v>0</v>
      </c>
      <c r="E83" s="28">
        <f>'Hourly Bike-Ped Counts'!C722</f>
        <v>0</v>
      </c>
      <c r="F83" s="28">
        <f>'Hourly Bike-Ped Counts'!C723</f>
        <v>0</v>
      </c>
      <c r="G83" s="29">
        <f t="shared" si="27"/>
        <v>0</v>
      </c>
    </row>
    <row r="84" spans="2:7" x14ac:dyDescent="0.25">
      <c r="B84" s="4">
        <v>0.83333333333333304</v>
      </c>
      <c r="C84" s="28">
        <f>'Hourly Bike-Ped Counts'!C729</f>
        <v>0</v>
      </c>
      <c r="D84" s="28">
        <f>'Hourly Bike-Ped Counts'!C730</f>
        <v>1</v>
      </c>
      <c r="E84" s="28">
        <f>'Hourly Bike-Ped Counts'!C731</f>
        <v>0</v>
      </c>
      <c r="F84" s="28">
        <f>'Hourly Bike-Ped Counts'!C732</f>
        <v>0</v>
      </c>
      <c r="G84" s="29">
        <f t="shared" si="27"/>
        <v>1</v>
      </c>
    </row>
    <row r="85" spans="2:7" x14ac:dyDescent="0.25">
      <c r="B85" s="4">
        <v>0.84375</v>
      </c>
      <c r="C85" s="28">
        <f>'Hourly Bike-Ped Counts'!C738</f>
        <v>0</v>
      </c>
      <c r="D85" s="28">
        <f>'Hourly Bike-Ped Counts'!C739</f>
        <v>0</v>
      </c>
      <c r="E85" s="28">
        <f>'Hourly Bike-Ped Counts'!C740</f>
        <v>0</v>
      </c>
      <c r="F85" s="28">
        <f>'Hourly Bike-Ped Counts'!C741</f>
        <v>0</v>
      </c>
      <c r="G85" s="29">
        <f t="shared" si="27"/>
        <v>0</v>
      </c>
    </row>
    <row r="86" spans="2:7" x14ac:dyDescent="0.25">
      <c r="B86" s="4">
        <v>0.85416666666666696</v>
      </c>
      <c r="C86" s="28">
        <f>'Hourly Bike-Ped Counts'!C747</f>
        <v>0</v>
      </c>
      <c r="D86" s="28">
        <f>'Hourly Bike-Ped Counts'!C748</f>
        <v>0</v>
      </c>
      <c r="E86" s="28">
        <f>'Hourly Bike-Ped Counts'!C749</f>
        <v>0</v>
      </c>
      <c r="F86" s="28">
        <f>'Hourly Bike-Ped Counts'!C750</f>
        <v>0</v>
      </c>
      <c r="G86" s="29">
        <f t="shared" si="27"/>
        <v>0</v>
      </c>
    </row>
    <row r="87" spans="2:7" x14ac:dyDescent="0.25">
      <c r="B87" s="4">
        <v>0.86458333333333304</v>
      </c>
      <c r="C87" s="28">
        <f>'Hourly Bike-Ped Counts'!C756</f>
        <v>0</v>
      </c>
      <c r="D87" s="28">
        <f>'Hourly Bike-Ped Counts'!C757</f>
        <v>0</v>
      </c>
      <c r="E87" s="28">
        <f>'Hourly Bike-Ped Counts'!C758</f>
        <v>0</v>
      </c>
      <c r="F87" s="28">
        <f>'Hourly Bike-Ped Counts'!C759</f>
        <v>0</v>
      </c>
      <c r="G87" s="29">
        <f t="shared" si="27"/>
        <v>0</v>
      </c>
    </row>
    <row r="88" spans="2:7" x14ac:dyDescent="0.25">
      <c r="B88" s="4">
        <v>0.875</v>
      </c>
      <c r="C88" s="28">
        <f>'Hourly Bike-Ped Counts'!C765</f>
        <v>0</v>
      </c>
      <c r="D88" s="28">
        <f>'Hourly Bike-Ped Counts'!C766</f>
        <v>0</v>
      </c>
      <c r="E88" s="28">
        <f>'Hourly Bike-Ped Counts'!C767</f>
        <v>0</v>
      </c>
      <c r="F88" s="28">
        <f>'Hourly Bike-Ped Counts'!C768</f>
        <v>0</v>
      </c>
      <c r="G88" s="29">
        <f t="shared" si="27"/>
        <v>0</v>
      </c>
    </row>
    <row r="89" spans="2:7" x14ac:dyDescent="0.25">
      <c r="B89" s="4">
        <v>0.88541666666666696</v>
      </c>
      <c r="C89" s="28">
        <f>'Hourly Bike-Ped Counts'!C774</f>
        <v>0</v>
      </c>
      <c r="D89" s="28">
        <f>'Hourly Bike-Ped Counts'!C775</f>
        <v>0</v>
      </c>
      <c r="E89" s="28">
        <f>'Hourly Bike-Ped Counts'!C776</f>
        <v>0</v>
      </c>
      <c r="F89" s="28">
        <f>'Hourly Bike-Ped Counts'!C777</f>
        <v>0</v>
      </c>
      <c r="G89" s="29">
        <f t="shared" si="27"/>
        <v>0</v>
      </c>
    </row>
    <row r="90" spans="2:7" x14ac:dyDescent="0.25">
      <c r="B90" s="4">
        <v>0.89583333333333304</v>
      </c>
      <c r="C90" s="28">
        <f>'Hourly Bike-Ped Counts'!C783</f>
        <v>0</v>
      </c>
      <c r="D90" s="28">
        <f>'Hourly Bike-Ped Counts'!C784</f>
        <v>0</v>
      </c>
      <c r="E90" s="28">
        <f>'Hourly Bike-Ped Counts'!C785</f>
        <v>0</v>
      </c>
      <c r="F90" s="28">
        <f>'Hourly Bike-Ped Counts'!C786</f>
        <v>0</v>
      </c>
      <c r="G90" s="29">
        <f t="shared" si="27"/>
        <v>0</v>
      </c>
    </row>
    <row r="91" spans="2:7" x14ac:dyDescent="0.25">
      <c r="B91" s="4">
        <v>0.90625</v>
      </c>
      <c r="C91" s="28">
        <f>'Hourly Bike-Ped Counts'!C792</f>
        <v>2</v>
      </c>
      <c r="D91" s="28">
        <f>'Hourly Bike-Ped Counts'!C793</f>
        <v>0</v>
      </c>
      <c r="E91" s="28">
        <f>'Hourly Bike-Ped Counts'!C794</f>
        <v>0</v>
      </c>
      <c r="F91" s="28">
        <f>'Hourly Bike-Ped Counts'!C795</f>
        <v>0</v>
      </c>
      <c r="G91" s="29">
        <f t="shared" si="27"/>
        <v>2</v>
      </c>
    </row>
    <row r="92" spans="2:7" x14ac:dyDescent="0.25">
      <c r="B92" s="4">
        <v>0.91666666666666696</v>
      </c>
      <c r="C92" s="28">
        <f>'Hourly Bike-Ped Counts'!C801</f>
        <v>0</v>
      </c>
      <c r="D92" s="28">
        <f>'Hourly Bike-Ped Counts'!C802</f>
        <v>0</v>
      </c>
      <c r="E92" s="28">
        <f>'Hourly Bike-Ped Counts'!C803</f>
        <v>2</v>
      </c>
      <c r="F92" s="28">
        <f>'Hourly Bike-Ped Counts'!C804</f>
        <v>0</v>
      </c>
      <c r="G92" s="29">
        <f t="shared" si="27"/>
        <v>2</v>
      </c>
    </row>
    <row r="93" spans="2:7" x14ac:dyDescent="0.25">
      <c r="B93" s="4">
        <v>0.92708333333333304</v>
      </c>
      <c r="C93" s="28">
        <f>'Hourly Bike-Ped Counts'!C810</f>
        <v>0</v>
      </c>
      <c r="D93" s="28">
        <f>'Hourly Bike-Ped Counts'!C811</f>
        <v>0</v>
      </c>
      <c r="E93" s="28">
        <f>'Hourly Bike-Ped Counts'!C812</f>
        <v>0</v>
      </c>
      <c r="F93" s="28">
        <f>'Hourly Bike-Ped Counts'!C813</f>
        <v>0</v>
      </c>
      <c r="G93" s="29">
        <f t="shared" si="27"/>
        <v>0</v>
      </c>
    </row>
    <row r="94" spans="2:7" x14ac:dyDescent="0.25">
      <c r="B94" s="4">
        <v>0.9375</v>
      </c>
      <c r="C94" s="28">
        <f>'Hourly Bike-Ped Counts'!C819</f>
        <v>0</v>
      </c>
      <c r="D94" s="28">
        <f>'Hourly Bike-Ped Counts'!C820</f>
        <v>0</v>
      </c>
      <c r="E94" s="28">
        <f>'Hourly Bike-Ped Counts'!C821</f>
        <v>0</v>
      </c>
      <c r="F94" s="28">
        <f>'Hourly Bike-Ped Counts'!C822</f>
        <v>0</v>
      </c>
      <c r="G94" s="29">
        <f t="shared" si="27"/>
        <v>0</v>
      </c>
    </row>
    <row r="95" spans="2:7" x14ac:dyDescent="0.25">
      <c r="B95" s="4">
        <v>0.94791666666666696</v>
      </c>
      <c r="C95" s="28">
        <f>'Hourly Bike-Ped Counts'!C828</f>
        <v>0</v>
      </c>
      <c r="D95" s="28">
        <f>'Hourly Bike-Ped Counts'!C829</f>
        <v>0</v>
      </c>
      <c r="E95" s="28">
        <f>'Hourly Bike-Ped Counts'!C830</f>
        <v>0</v>
      </c>
      <c r="F95" s="28">
        <f>'Hourly Bike-Ped Counts'!C831</f>
        <v>0</v>
      </c>
      <c r="G95" s="29">
        <f t="shared" si="27"/>
        <v>0</v>
      </c>
    </row>
    <row r="96" spans="2:7" x14ac:dyDescent="0.25">
      <c r="B96" s="4">
        <v>0.95833333333333304</v>
      </c>
      <c r="C96" s="28">
        <f>'Hourly Bike-Ped Counts'!C837</f>
        <v>0</v>
      </c>
      <c r="D96" s="28">
        <f>'Hourly Bike-Ped Counts'!C838</f>
        <v>0</v>
      </c>
      <c r="E96" s="28">
        <f>'Hourly Bike-Ped Counts'!C839</f>
        <v>0</v>
      </c>
      <c r="F96" s="28">
        <f>'Hourly Bike-Ped Counts'!C840</f>
        <v>0</v>
      </c>
      <c r="G96" s="29">
        <f t="shared" si="27"/>
        <v>0</v>
      </c>
    </row>
    <row r="97" spans="2:7" x14ac:dyDescent="0.25">
      <c r="B97" s="4">
        <v>0.96875</v>
      </c>
      <c r="C97" s="28">
        <f>'Hourly Bike-Ped Counts'!C846</f>
        <v>1</v>
      </c>
      <c r="D97" s="28">
        <f>'Hourly Bike-Ped Counts'!C847</f>
        <v>0</v>
      </c>
      <c r="E97" s="28">
        <f>'Hourly Bike-Ped Counts'!C848</f>
        <v>0</v>
      </c>
      <c r="F97" s="28">
        <f>'Hourly Bike-Ped Counts'!C849</f>
        <v>0</v>
      </c>
      <c r="G97" s="29">
        <f t="shared" si="27"/>
        <v>1</v>
      </c>
    </row>
    <row r="98" spans="2:7" x14ac:dyDescent="0.25">
      <c r="B98" s="4">
        <v>0.97916666666666696</v>
      </c>
      <c r="C98" s="28">
        <f>'Hourly Bike-Ped Counts'!C855</f>
        <v>1</v>
      </c>
      <c r="D98" s="28">
        <f>'Hourly Bike-Ped Counts'!C856</f>
        <v>0</v>
      </c>
      <c r="E98" s="28">
        <f>'Hourly Bike-Ped Counts'!C857</f>
        <v>0</v>
      </c>
      <c r="F98" s="28">
        <f>'Hourly Bike-Ped Counts'!C858</f>
        <v>0</v>
      </c>
      <c r="G98" s="29">
        <f t="shared" si="27"/>
        <v>1</v>
      </c>
    </row>
    <row r="99" spans="2:7" ht="15.75" thickBot="1" x14ac:dyDescent="0.3">
      <c r="B99" s="26">
        <v>0.98958333333333304</v>
      </c>
      <c r="C99" s="30">
        <f>'Hourly Bike-Ped Counts'!C864</f>
        <v>0</v>
      </c>
      <c r="D99" s="30">
        <f>'Hourly Bike-Ped Counts'!C865</f>
        <v>0</v>
      </c>
      <c r="E99" s="30">
        <f>'Hourly Bike-Ped Counts'!C866</f>
        <v>0</v>
      </c>
      <c r="F99" s="30">
        <f>'Hourly Bike-Ped Counts'!C867</f>
        <v>0</v>
      </c>
      <c r="G99" s="31">
        <f t="shared" si="27"/>
        <v>0</v>
      </c>
    </row>
    <row r="100" spans="2:7" x14ac:dyDescent="0.25">
      <c r="B100" s="3" t="s">
        <v>4</v>
      </c>
      <c r="C100" s="3">
        <f>SUM(C4:C99)</f>
        <v>279</v>
      </c>
      <c r="D100" s="3">
        <f t="shared" ref="D100:G100" si="28">SUM(D4:D99)</f>
        <v>190</v>
      </c>
      <c r="E100" s="3">
        <f t="shared" si="28"/>
        <v>157</v>
      </c>
      <c r="F100" s="3">
        <f t="shared" si="28"/>
        <v>1</v>
      </c>
      <c r="G100" s="3">
        <f t="shared" si="28"/>
        <v>627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4800-ED71-436C-915C-5C94EACD1D68}">
  <dimension ref="B14:AN36"/>
  <sheetViews>
    <sheetView topLeftCell="A7" zoomScaleNormal="100" workbookViewId="0">
      <selection activeCell="V19" sqref="V19"/>
    </sheetView>
  </sheetViews>
  <sheetFormatPr defaultRowHeight="15" x14ac:dyDescent="0.25"/>
  <cols>
    <col min="1" max="1" width="8.7109375" customWidth="1"/>
    <col min="2" max="2" width="12.85546875" customWidth="1"/>
    <col min="3" max="3" width="7.140625" customWidth="1"/>
    <col min="4" max="4" width="5.7109375" customWidth="1"/>
    <col min="5" max="7" width="2.85546875" customWidth="1"/>
    <col min="8" max="8" width="4.28515625" customWidth="1"/>
    <col min="9" max="17" width="2.85546875" customWidth="1"/>
    <col min="18" max="18" width="5.7109375" customWidth="1"/>
    <col min="19" max="19" width="7.5703125" customWidth="1"/>
    <col min="20" max="20" width="12.28515625" customWidth="1"/>
    <col min="22" max="22" width="13.28515625" customWidth="1"/>
    <col min="23" max="23" width="7.7109375" customWidth="1"/>
    <col min="24" max="24" width="5.7109375" customWidth="1"/>
    <col min="25" max="27" width="2.85546875" customWidth="1"/>
    <col min="28" max="28" width="4.42578125" customWidth="1"/>
    <col min="29" max="33" width="2.85546875" customWidth="1"/>
    <col min="34" max="34" width="3.85546875" customWidth="1"/>
    <col min="35" max="37" width="2.85546875" customWidth="1"/>
    <col min="38" max="38" width="4.5703125" customWidth="1"/>
    <col min="39" max="39" width="8.28515625" customWidth="1"/>
    <col min="40" max="40" width="13.140625" customWidth="1"/>
  </cols>
  <sheetData>
    <row r="14" spans="2:22" ht="15.75" x14ac:dyDescent="0.25">
      <c r="B14" s="93" t="s">
        <v>17</v>
      </c>
      <c r="V14" s="94" t="s">
        <v>16</v>
      </c>
    </row>
    <row r="17" spans="2:40" ht="72" x14ac:dyDescent="0.25">
      <c r="H17" s="35" t="s">
        <v>30</v>
      </c>
      <c r="I17" s="35" t="s">
        <v>37</v>
      </c>
      <c r="J17" s="86" t="s">
        <v>23</v>
      </c>
      <c r="K17" s="86"/>
      <c r="L17" s="86"/>
      <c r="M17" s="35" t="s">
        <v>38</v>
      </c>
      <c r="N17" s="35" t="s">
        <v>33</v>
      </c>
      <c r="AB17" s="35" t="s">
        <v>30</v>
      </c>
      <c r="AC17" s="35" t="s">
        <v>37</v>
      </c>
      <c r="AD17" s="86" t="s">
        <v>23</v>
      </c>
      <c r="AE17" s="86"/>
      <c r="AF17" s="86"/>
      <c r="AG17" s="35" t="s">
        <v>38</v>
      </c>
      <c r="AH17" s="35" t="s">
        <v>33</v>
      </c>
    </row>
    <row r="18" spans="2:40" x14ac:dyDescent="0.25">
      <c r="H18" s="34"/>
      <c r="I18" s="34"/>
      <c r="J18" s="42"/>
      <c r="K18" s="42"/>
      <c r="L18" s="42"/>
      <c r="M18" s="34"/>
      <c r="AB18" s="34"/>
      <c r="AC18" s="34"/>
      <c r="AD18" s="42"/>
      <c r="AE18" s="42"/>
      <c r="AF18" s="42"/>
      <c r="AG18" s="34"/>
    </row>
    <row r="19" spans="2:40" ht="41.45" customHeight="1" x14ac:dyDescent="0.25">
      <c r="H19" s="39">
        <f>H20/'Hourly Bike-Ped Counts'!$F$881</f>
        <v>0.12440191387559808</v>
      </c>
      <c r="I19" s="39">
        <f>I20/'Hourly Bike-Ped Counts'!$F$881</f>
        <v>2.0733652312599681E-2</v>
      </c>
      <c r="J19" s="85">
        <f>J20/'Hourly Bike-Ped Counts'!$F$881</f>
        <v>0</v>
      </c>
      <c r="K19" s="85"/>
      <c r="L19" s="85"/>
      <c r="M19" s="39">
        <f>M20/'Hourly Bike-Ped Counts'!$F$881</f>
        <v>7.9744816586921844E-3</v>
      </c>
      <c r="N19" s="39">
        <f>N20/'Hourly Bike-Ped Counts'!$F$881</f>
        <v>6.3795853269537475E-2</v>
      </c>
      <c r="AB19" s="39">
        <f>AB20/'Hourly Bike-Ped Counts'!$X$881</f>
        <v>0.12918660287081341</v>
      </c>
      <c r="AC19" s="39">
        <f>AC20/'Hourly Bike-Ped Counts'!$X$881</f>
        <v>2.3923444976076555E-2</v>
      </c>
      <c r="AD19" s="85">
        <f>AD20/'Hourly Bike-Ped Counts'!$X$881</f>
        <v>0</v>
      </c>
      <c r="AE19" s="85"/>
      <c r="AF19" s="85"/>
      <c r="AG19" s="39">
        <f>AG20/'Hourly Bike-Ped Counts'!$X$881</f>
        <v>1.9138755980861243E-2</v>
      </c>
      <c r="AH19" s="39">
        <f>AH20/'Hourly Bike-Ped Counts'!$X$881</f>
        <v>8.9314194577352471E-2</v>
      </c>
    </row>
    <row r="20" spans="2:40" x14ac:dyDescent="0.25">
      <c r="H20">
        <f>'Hourly Bike-Ped Counts'!R879</f>
        <v>78</v>
      </c>
      <c r="I20">
        <f>'Hourly Bike-Ped Counts'!J879</f>
        <v>13</v>
      </c>
      <c r="J20" s="84">
        <f>'Hourly Bike-Ped Counts'!G879</f>
        <v>0</v>
      </c>
      <c r="K20" s="84"/>
      <c r="L20" s="84"/>
      <c r="M20">
        <f>'Hourly Bike-Ped Counts'!K879</f>
        <v>5</v>
      </c>
      <c r="N20">
        <f>'Hourly Bike-Ped Counts'!S879</f>
        <v>40</v>
      </c>
      <c r="AB20">
        <f>'Hourly Bike-Ped Counts'!AJ879</f>
        <v>81</v>
      </c>
      <c r="AC20">
        <f>'Hourly Bike-Ped Counts'!AB879</f>
        <v>15</v>
      </c>
      <c r="AD20" s="84">
        <f>'Hourly Bike-Ped Counts'!Y879</f>
        <v>0</v>
      </c>
      <c r="AE20" s="84"/>
      <c r="AF20" s="84"/>
      <c r="AG20">
        <f>'Hourly Bike-Ped Counts'!AC879</f>
        <v>12</v>
      </c>
      <c r="AH20">
        <f>'Hourly Bike-Ped Counts'!AK879</f>
        <v>56</v>
      </c>
    </row>
    <row r="21" spans="2:40" x14ac:dyDescent="0.25">
      <c r="H21" s="32"/>
      <c r="I21" s="33"/>
      <c r="J21" s="44"/>
      <c r="K21" s="47"/>
      <c r="L21" s="44"/>
      <c r="M21" s="33"/>
      <c r="N21" s="32"/>
      <c r="AB21" s="32"/>
      <c r="AC21" s="33"/>
      <c r="AD21" s="44"/>
      <c r="AE21" s="47"/>
      <c r="AF21" s="44"/>
      <c r="AG21" s="33"/>
      <c r="AH21" s="32"/>
    </row>
    <row r="22" spans="2:40" x14ac:dyDescent="0.25">
      <c r="H22" s="32"/>
      <c r="I22" s="33"/>
      <c r="J22" s="44"/>
      <c r="K22" s="47"/>
      <c r="L22" s="44"/>
      <c r="M22" s="33"/>
      <c r="N22" s="32"/>
      <c r="AB22" s="32"/>
      <c r="AC22" s="33"/>
      <c r="AD22" s="44"/>
      <c r="AE22" s="47"/>
      <c r="AF22" s="44"/>
      <c r="AG22" s="33"/>
      <c r="AH22" s="32"/>
    </row>
    <row r="23" spans="2:40" x14ac:dyDescent="0.25">
      <c r="H23" s="32"/>
      <c r="I23" s="33"/>
      <c r="J23" s="44"/>
      <c r="K23" s="47"/>
      <c r="L23" s="44"/>
      <c r="M23" s="33"/>
      <c r="N23" s="32"/>
      <c r="AB23" s="32"/>
      <c r="AC23" s="33"/>
      <c r="AD23" s="44"/>
      <c r="AE23" s="47"/>
      <c r="AF23" s="44"/>
      <c r="AG23" s="33"/>
      <c r="AH23" s="32"/>
    </row>
    <row r="24" spans="2:40" ht="15.75" thickBot="1" x14ac:dyDescent="0.3">
      <c r="B24" s="37" t="s">
        <v>27</v>
      </c>
      <c r="C24" s="52">
        <f>D24/'Hourly Bike-Ped Counts'!$F$881</f>
        <v>7.3365231259968106E-2</v>
      </c>
      <c r="D24" s="41">
        <f>'Hourly Bike-Ped Counts'!Q879</f>
        <v>46</v>
      </c>
      <c r="E24" s="32"/>
      <c r="F24" s="32"/>
      <c r="G24" s="32"/>
      <c r="H24" s="56"/>
      <c r="I24" s="33"/>
      <c r="J24" s="44"/>
      <c r="K24" s="47"/>
      <c r="L24" s="44"/>
      <c r="M24" s="33"/>
      <c r="N24" s="55"/>
      <c r="O24" s="32"/>
      <c r="P24" s="32"/>
      <c r="Q24" s="32"/>
      <c r="R24" s="53">
        <f>'Hourly Bike-Ped Counts'!T879</f>
        <v>37</v>
      </c>
      <c r="S24" s="52">
        <f>R24/'Hourly Bike-Ped Counts'!$F$881</f>
        <v>5.9011164274322167E-2</v>
      </c>
      <c r="T24" s="36" t="s">
        <v>29</v>
      </c>
      <c r="V24" s="37" t="s">
        <v>27</v>
      </c>
      <c r="W24" s="52">
        <f>X24/'Hourly Bike-Ped Counts'!$X$881</f>
        <v>6.2200956937799042E-2</v>
      </c>
      <c r="X24" s="41">
        <f>'Hourly Bike-Ped Counts'!AI879</f>
        <v>39</v>
      </c>
      <c r="Y24" s="32"/>
      <c r="Z24" s="32"/>
      <c r="AA24" s="32"/>
      <c r="AB24" s="56"/>
      <c r="AC24" s="33"/>
      <c r="AD24" s="44"/>
      <c r="AE24" s="47"/>
      <c r="AF24" s="44"/>
      <c r="AG24" s="33"/>
      <c r="AH24" s="55"/>
      <c r="AI24" s="32"/>
      <c r="AJ24" s="32"/>
      <c r="AK24" s="32"/>
      <c r="AL24" s="53">
        <f>'Hourly Bike-Ped Counts'!AL879</f>
        <v>36</v>
      </c>
      <c r="AM24" s="52">
        <f>AL24/'Hourly Bike-Ped Counts'!$X$881</f>
        <v>5.7416267942583733E-2</v>
      </c>
      <c r="AN24" s="36" t="s">
        <v>29</v>
      </c>
    </row>
    <row r="25" spans="2:40" ht="9.6" customHeight="1" thickTop="1" x14ac:dyDescent="0.25">
      <c r="B25" s="92" t="s">
        <v>35</v>
      </c>
      <c r="C25" s="87">
        <f>D25/'Hourly Bike-Ped Counts'!$F$881</f>
        <v>3.5087719298245612E-2</v>
      </c>
      <c r="D25" s="88">
        <f>'Hourly Bike-Ped Counts'!N879</f>
        <v>22</v>
      </c>
      <c r="E25" s="43"/>
      <c r="F25" s="33"/>
      <c r="G25" s="43"/>
      <c r="H25" s="33"/>
      <c r="I25" s="43"/>
      <c r="J25" s="51"/>
      <c r="K25" s="51"/>
      <c r="L25" s="51"/>
      <c r="M25" s="43"/>
      <c r="N25" s="33"/>
      <c r="O25" s="43"/>
      <c r="P25" s="33"/>
      <c r="Q25" s="43"/>
      <c r="R25" s="88">
        <f>'Hourly Bike-Ped Counts'!O879</f>
        <v>57</v>
      </c>
      <c r="S25" s="91">
        <f>R25/'Hourly Bike-Ped Counts'!$F$881</f>
        <v>9.0909090909090912E-2</v>
      </c>
      <c r="T25" s="90" t="s">
        <v>36</v>
      </c>
      <c r="V25" s="92" t="s">
        <v>35</v>
      </c>
      <c r="W25" s="87">
        <f>X25/'Hourly Bike-Ped Counts'!$X$881</f>
        <v>5.5821371610845293E-2</v>
      </c>
      <c r="X25" s="88">
        <f>'Hourly Bike-Ped Counts'!AF879</f>
        <v>35</v>
      </c>
      <c r="Y25" s="43"/>
      <c r="Z25" s="33"/>
      <c r="AA25" s="43"/>
      <c r="AB25" s="33"/>
      <c r="AC25" s="43"/>
      <c r="AD25" s="51"/>
      <c r="AE25" s="51"/>
      <c r="AF25" s="51"/>
      <c r="AG25" s="43"/>
      <c r="AH25" s="33"/>
      <c r="AI25" s="43"/>
      <c r="AJ25" s="33"/>
      <c r="AK25" s="43"/>
      <c r="AL25" s="88">
        <f>'Hourly Bike-Ped Counts'!AG879</f>
        <v>63</v>
      </c>
      <c r="AM25" s="91">
        <f>AL25/'Hourly Bike-Ped Counts'!$X$881</f>
        <v>0.10047846889952153</v>
      </c>
      <c r="AN25" s="90" t="s">
        <v>36</v>
      </c>
    </row>
    <row r="26" spans="2:40" ht="9.6" customHeight="1" x14ac:dyDescent="0.25">
      <c r="B26" s="92"/>
      <c r="C26" s="87"/>
      <c r="D26" s="88"/>
      <c r="E26" s="33"/>
      <c r="F26" s="33"/>
      <c r="G26" s="33"/>
      <c r="H26" s="33"/>
      <c r="I26" s="33"/>
      <c r="J26" s="40"/>
      <c r="K26" s="40"/>
      <c r="L26" s="40"/>
      <c r="M26" s="33"/>
      <c r="N26" s="33"/>
      <c r="O26" s="33"/>
      <c r="P26" s="33"/>
      <c r="Q26" s="33"/>
      <c r="R26" s="88"/>
      <c r="S26" s="91"/>
      <c r="T26" s="90"/>
      <c r="V26" s="92"/>
      <c r="W26" s="87"/>
      <c r="X26" s="88"/>
      <c r="Y26" s="33"/>
      <c r="Z26" s="33"/>
      <c r="AA26" s="33"/>
      <c r="AB26" s="33"/>
      <c r="AC26" s="33"/>
      <c r="AD26" s="40"/>
      <c r="AE26" s="40"/>
      <c r="AF26" s="40"/>
      <c r="AG26" s="33"/>
      <c r="AH26" s="33"/>
      <c r="AI26" s="33"/>
      <c r="AJ26" s="33"/>
      <c r="AK26" s="33"/>
      <c r="AL26" s="88"/>
      <c r="AM26" s="91"/>
      <c r="AN26" s="90"/>
    </row>
    <row r="27" spans="2:40" ht="15.75" thickBot="1" x14ac:dyDescent="0.3">
      <c r="B27" s="92" t="s">
        <v>25</v>
      </c>
      <c r="C27" s="87">
        <f>D27/'Hourly Bike-Ped Counts'!$F$881</f>
        <v>4.7846889952153108E-3</v>
      </c>
      <c r="D27" s="88">
        <f>'Hourly Bike-Ped Counts'!F879</f>
        <v>3</v>
      </c>
      <c r="E27" s="45"/>
      <c r="F27" s="45"/>
      <c r="G27" s="45"/>
      <c r="H27" s="45"/>
      <c r="I27" s="48"/>
      <c r="J27" s="44"/>
      <c r="K27" s="44"/>
      <c r="L27" s="44"/>
      <c r="M27" s="48"/>
      <c r="N27" s="45"/>
      <c r="O27" s="45"/>
      <c r="P27" s="45"/>
      <c r="Q27" s="45"/>
      <c r="R27" s="88">
        <f>'Hourly Bike-Ped Counts'!H879</f>
        <v>4</v>
      </c>
      <c r="S27" s="91">
        <f>R27/'Hourly Bike-Ped Counts'!$F$881</f>
        <v>6.379585326953748E-3</v>
      </c>
      <c r="T27" s="90" t="s">
        <v>26</v>
      </c>
      <c r="V27" s="92" t="s">
        <v>25</v>
      </c>
      <c r="W27" s="87">
        <f>X27/'Hourly Bike-Ped Counts'!$X$881</f>
        <v>4.7846889952153108E-3</v>
      </c>
      <c r="X27" s="88">
        <f>'Hourly Bike-Ped Counts'!X879</f>
        <v>3</v>
      </c>
      <c r="Y27" s="45"/>
      <c r="Z27" s="45"/>
      <c r="AA27" s="45"/>
      <c r="AB27" s="45"/>
      <c r="AC27" s="48"/>
      <c r="AD27" s="44"/>
      <c r="AE27" s="44"/>
      <c r="AF27" s="44"/>
      <c r="AG27" s="48"/>
      <c r="AH27" s="45"/>
      <c r="AI27" s="45"/>
      <c r="AJ27" s="45"/>
      <c r="AK27" s="45"/>
      <c r="AL27" s="88">
        <f>'Hourly Bike-Ped Counts'!Z879</f>
        <v>3</v>
      </c>
      <c r="AM27" s="91">
        <f>AL27/'Hourly Bike-Ped Counts'!$X$881</f>
        <v>4.7846889952153108E-3</v>
      </c>
      <c r="AN27" s="90" t="s">
        <v>26</v>
      </c>
    </row>
    <row r="28" spans="2:40" ht="16.5" thickTop="1" thickBot="1" x14ac:dyDescent="0.3">
      <c r="B28" s="92"/>
      <c r="C28" s="87"/>
      <c r="D28" s="88"/>
      <c r="E28" s="44"/>
      <c r="F28" s="44"/>
      <c r="G28" s="44"/>
      <c r="H28" s="44"/>
      <c r="I28" s="48"/>
      <c r="J28" s="44"/>
      <c r="K28" s="44"/>
      <c r="L28" s="44"/>
      <c r="M28" s="48"/>
      <c r="N28" s="44"/>
      <c r="O28" s="44"/>
      <c r="P28" s="44"/>
      <c r="Q28" s="44"/>
      <c r="R28" s="88"/>
      <c r="S28" s="91"/>
      <c r="T28" s="90"/>
      <c r="V28" s="92"/>
      <c r="W28" s="87"/>
      <c r="X28" s="88"/>
      <c r="Y28" s="44"/>
      <c r="Z28" s="44"/>
      <c r="AA28" s="44"/>
      <c r="AB28" s="44"/>
      <c r="AC28" s="48"/>
      <c r="AD28" s="44"/>
      <c r="AE28" s="44"/>
      <c r="AF28" s="44"/>
      <c r="AG28" s="48"/>
      <c r="AH28" s="44"/>
      <c r="AI28" s="44"/>
      <c r="AJ28" s="44"/>
      <c r="AK28" s="44"/>
      <c r="AL28" s="88"/>
      <c r="AM28" s="91"/>
      <c r="AN28" s="90"/>
    </row>
    <row r="29" spans="2:40" ht="15.75" thickTop="1" x14ac:dyDescent="0.25">
      <c r="B29" s="37" t="s">
        <v>28</v>
      </c>
      <c r="C29" s="52">
        <f>D29/'Hourly Bike-Ped Counts'!$F$881</f>
        <v>2.8708133971291867E-2</v>
      </c>
      <c r="D29" s="41">
        <f>'Hourly Bike-Ped Counts'!P879</f>
        <v>18</v>
      </c>
      <c r="E29" s="32"/>
      <c r="F29" s="32"/>
      <c r="G29" s="32"/>
      <c r="H29" s="57"/>
      <c r="I29" s="33"/>
      <c r="J29" s="49"/>
      <c r="K29" s="49"/>
      <c r="L29" s="49"/>
      <c r="M29" s="33"/>
      <c r="N29" s="54"/>
      <c r="O29" s="50"/>
      <c r="P29" s="50"/>
      <c r="Q29" s="50"/>
      <c r="R29" s="53">
        <f>'Hourly Bike-Ped Counts'!U879</f>
        <v>43</v>
      </c>
      <c r="S29" s="52">
        <f>R29/'Hourly Bike-Ped Counts'!$F$881</f>
        <v>6.8580542264752797E-2</v>
      </c>
      <c r="T29" s="36" t="s">
        <v>34</v>
      </c>
      <c r="V29" s="37" t="s">
        <v>28</v>
      </c>
      <c r="W29" s="52">
        <f>X29/'Hourly Bike-Ped Counts'!$X$881</f>
        <v>3.8277511961722487E-2</v>
      </c>
      <c r="X29" s="41">
        <f>'Hourly Bike-Ped Counts'!AH879</f>
        <v>24</v>
      </c>
      <c r="Y29" s="32"/>
      <c r="Z29" s="32"/>
      <c r="AA29" s="32"/>
      <c r="AB29" s="57"/>
      <c r="AC29" s="33"/>
      <c r="AD29" s="49"/>
      <c r="AE29" s="49"/>
      <c r="AF29" s="49"/>
      <c r="AG29" s="33"/>
      <c r="AH29" s="54"/>
      <c r="AI29" s="50"/>
      <c r="AJ29" s="50"/>
      <c r="AK29" s="50"/>
      <c r="AL29" s="53">
        <f>'Hourly Bike-Ped Counts'!AM879</f>
        <v>31</v>
      </c>
      <c r="AM29" s="52">
        <f>AL29/'Hourly Bike-Ped Counts'!$X$881</f>
        <v>4.9441786283891544E-2</v>
      </c>
      <c r="AN29" s="36" t="s">
        <v>34</v>
      </c>
    </row>
    <row r="30" spans="2:40" x14ac:dyDescent="0.25">
      <c r="H30" s="32"/>
      <c r="I30" s="33"/>
      <c r="J30" s="44"/>
      <c r="K30" s="46"/>
      <c r="L30" s="44"/>
      <c r="M30" s="33"/>
      <c r="N30" s="32"/>
      <c r="AB30" s="32"/>
      <c r="AC30" s="33"/>
      <c r="AD30" s="44"/>
      <c r="AE30" s="46"/>
      <c r="AF30" s="44"/>
      <c r="AG30" s="33"/>
      <c r="AH30" s="32"/>
    </row>
    <row r="31" spans="2:40" x14ac:dyDescent="0.25">
      <c r="H31" s="32"/>
      <c r="I31" s="33"/>
      <c r="J31" s="44"/>
      <c r="K31" s="46"/>
      <c r="L31" s="44"/>
      <c r="M31" s="33"/>
      <c r="N31" s="32"/>
      <c r="AB31" s="32"/>
      <c r="AC31" s="33"/>
      <c r="AD31" s="44"/>
      <c r="AE31" s="46"/>
      <c r="AF31" s="44"/>
      <c r="AG31" s="33"/>
      <c r="AH31" s="32"/>
    </row>
    <row r="32" spans="2:40" x14ac:dyDescent="0.25">
      <c r="H32" s="32"/>
      <c r="I32" s="33"/>
      <c r="J32" s="44"/>
      <c r="K32" s="46"/>
      <c r="L32" s="44"/>
      <c r="M32" s="33"/>
      <c r="N32" s="32"/>
      <c r="AB32" s="32"/>
      <c r="AC32" s="33"/>
      <c r="AD32" s="44"/>
      <c r="AE32" s="46"/>
      <c r="AF32" s="44"/>
      <c r="AG32" s="33"/>
      <c r="AH32" s="32"/>
    </row>
    <row r="33" spans="8:34" x14ac:dyDescent="0.25">
      <c r="H33">
        <f>'Hourly Bike-Ped Counts'!W879</f>
        <v>236</v>
      </c>
      <c r="I33">
        <f>'Hourly Bike-Ped Counts'!M879</f>
        <v>2</v>
      </c>
      <c r="J33" s="84">
        <f>'Hourly Bike-Ped Counts'!I879</f>
        <v>0</v>
      </c>
      <c r="K33" s="84"/>
      <c r="L33" s="84"/>
      <c r="M33">
        <f>'Hourly Bike-Ped Counts'!L879</f>
        <v>6</v>
      </c>
      <c r="N33">
        <f>'Hourly Bike-Ped Counts'!V879</f>
        <v>17</v>
      </c>
      <c r="AB33">
        <f>'Hourly Bike-Ped Counts'!AO879</f>
        <v>195</v>
      </c>
      <c r="AC33">
        <f>'Hourly Bike-Ped Counts'!AE879</f>
        <v>8</v>
      </c>
      <c r="AD33" s="84">
        <f>'Hourly Bike-Ped Counts'!AA879</f>
        <v>0</v>
      </c>
      <c r="AE33" s="84"/>
      <c r="AF33" s="84"/>
      <c r="AG33">
        <f>'Hourly Bike-Ped Counts'!AD879</f>
        <v>0</v>
      </c>
      <c r="AH33">
        <f>'Hourly Bike-Ped Counts'!AN879</f>
        <v>26</v>
      </c>
    </row>
    <row r="34" spans="8:34" ht="43.15" customHeight="1" x14ac:dyDescent="0.25">
      <c r="H34" s="39">
        <f>H33/'Hourly Bike-Ped Counts'!$F$881</f>
        <v>0.37639553429027112</v>
      </c>
      <c r="I34" s="39">
        <f>I33/'Hourly Bike-Ped Counts'!$F$881</f>
        <v>3.189792663476874E-3</v>
      </c>
      <c r="J34" s="85">
        <f>J33/'Hourly Bike-Ped Counts'!$F$881</f>
        <v>0</v>
      </c>
      <c r="K34" s="85"/>
      <c r="L34" s="85"/>
      <c r="M34" s="39">
        <f>M33/'Hourly Bike-Ped Counts'!$F$881</f>
        <v>9.5693779904306216E-3</v>
      </c>
      <c r="N34" s="39">
        <f>N33/'Hourly Bike-Ped Counts'!$F$881</f>
        <v>2.7113237639553429E-2</v>
      </c>
      <c r="AB34" s="39">
        <f>AB33/'Hourly Bike-Ped Counts'!$X$881</f>
        <v>0.31100478468899523</v>
      </c>
      <c r="AC34" s="39">
        <f>AC33/'Hourly Bike-Ped Counts'!$X$881</f>
        <v>1.2759170653907496E-2</v>
      </c>
      <c r="AD34" s="85">
        <f>AD33/'Hourly Bike-Ped Counts'!$X$881</f>
        <v>0</v>
      </c>
      <c r="AE34" s="85"/>
      <c r="AF34" s="85"/>
      <c r="AG34" s="39">
        <f>AG33/'Hourly Bike-Ped Counts'!$X$881</f>
        <v>0</v>
      </c>
      <c r="AH34" s="39">
        <f>AH33/'Hourly Bike-Ped Counts'!$X$881</f>
        <v>4.1467304625199361E-2</v>
      </c>
    </row>
    <row r="35" spans="8:34" x14ac:dyDescent="0.25">
      <c r="H35" s="9"/>
      <c r="I35" s="9"/>
      <c r="J35" s="9"/>
      <c r="K35" s="9"/>
      <c r="L35" s="9"/>
      <c r="M35" s="9"/>
      <c r="N35" s="9"/>
      <c r="AB35" s="9"/>
      <c r="AC35" s="9"/>
      <c r="AD35" s="9"/>
      <c r="AE35" s="9"/>
      <c r="AF35" s="9"/>
      <c r="AG35" s="9"/>
      <c r="AH35" s="9"/>
    </row>
    <row r="36" spans="8:34" ht="67.150000000000006" customHeight="1" x14ac:dyDescent="0.25">
      <c r="H36" s="38" t="s">
        <v>31</v>
      </c>
      <c r="I36" s="38" t="s">
        <v>40</v>
      </c>
      <c r="J36" s="89" t="s">
        <v>24</v>
      </c>
      <c r="K36" s="89"/>
      <c r="L36" s="89"/>
      <c r="M36" s="38" t="s">
        <v>39</v>
      </c>
      <c r="N36" s="38" t="s">
        <v>32</v>
      </c>
      <c r="AB36" s="38" t="s">
        <v>31</v>
      </c>
      <c r="AC36" s="38" t="s">
        <v>40</v>
      </c>
      <c r="AD36" s="89" t="s">
        <v>24</v>
      </c>
      <c r="AE36" s="89"/>
      <c r="AF36" s="89"/>
      <c r="AG36" s="38" t="s">
        <v>39</v>
      </c>
      <c r="AH36" s="38" t="s">
        <v>32</v>
      </c>
    </row>
  </sheetData>
  <mergeCells count="36">
    <mergeCell ref="AL25:AL26"/>
    <mergeCell ref="AM25:AM26"/>
    <mergeCell ref="AN25:AN26"/>
    <mergeCell ref="V27:V28"/>
    <mergeCell ref="W27:W28"/>
    <mergeCell ref="X27:X28"/>
    <mergeCell ref="AL27:AL28"/>
    <mergeCell ref="AM27:AM28"/>
    <mergeCell ref="AN27:AN28"/>
    <mergeCell ref="AD36:AF36"/>
    <mergeCell ref="T25:T26"/>
    <mergeCell ref="S25:S26"/>
    <mergeCell ref="C25:C26"/>
    <mergeCell ref="B25:B26"/>
    <mergeCell ref="J36:L36"/>
    <mergeCell ref="J34:L34"/>
    <mergeCell ref="J33:L33"/>
    <mergeCell ref="B27:B28"/>
    <mergeCell ref="C27:C28"/>
    <mergeCell ref="D27:D28"/>
    <mergeCell ref="D25:D26"/>
    <mergeCell ref="R27:R28"/>
    <mergeCell ref="S27:S28"/>
    <mergeCell ref="T27:T28"/>
    <mergeCell ref="V25:V26"/>
    <mergeCell ref="J20:L20"/>
    <mergeCell ref="J19:L19"/>
    <mergeCell ref="J17:L17"/>
    <mergeCell ref="AD33:AF33"/>
    <mergeCell ref="AD34:AF34"/>
    <mergeCell ref="AD17:AF17"/>
    <mergeCell ref="AD19:AF19"/>
    <mergeCell ref="AD20:AF20"/>
    <mergeCell ref="W25:W26"/>
    <mergeCell ref="X25:X26"/>
    <mergeCell ref="R25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Hourly Bike-Ped Counts</vt:lpstr>
      <vt:lpstr>Count 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Harriet Parkinson</dc:creator>
  <cp:lastModifiedBy>Mike E. West</cp:lastModifiedBy>
  <dcterms:created xsi:type="dcterms:W3CDTF">2025-03-05T16:40:40Z</dcterms:created>
  <dcterms:modified xsi:type="dcterms:W3CDTF">2026-03-17T20:09:14Z</dcterms:modified>
</cp:coreProperties>
</file>
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munity Development\Planning Division\Misc\Staff Research\Bike Ped Data\Count Cam\Data Sheets\2025\"/>
    </mc:Choice>
  </mc:AlternateContent>
  <xr:revisionPtr revIDLastSave="0" documentId="13_ncr:1_{11E46847-2DA7-4E2E-85DF-99E1BA44C541}" xr6:coauthVersionLast="47" xr6:coauthVersionMax="47" xr10:uidLastSave="{00000000-0000-0000-0000-000000000000}"/>
  <bookViews>
    <workbookView xWindow="-120" yWindow="-120" windowWidth="38640" windowHeight="21120" xr2:uid="{5A0C25E7-6350-4337-B5FC-9C2ED4158F48}"/>
  </bookViews>
  <sheets>
    <sheet name="Hourly Bike-Ped Counts" sheetId="1" r:id="rId1"/>
    <sheet name="Count Summary" sheetId="2" r:id="rId2"/>
    <sheet name="Char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8" i="1" l="1"/>
  <c r="E879" i="1"/>
  <c r="E880" i="1"/>
  <c r="E877" i="1"/>
  <c r="AZ878" i="1"/>
  <c r="BA878" i="1"/>
  <c r="AZ879" i="1"/>
  <c r="BA879" i="1"/>
  <c r="AZ880" i="1"/>
  <c r="BA880" i="1"/>
  <c r="BA877" i="1"/>
  <c r="BA881" i="1" s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AM878" i="1"/>
  <c r="AN878" i="1"/>
  <c r="AO878" i="1"/>
  <c r="AP878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K879" i="1"/>
  <c r="AL879" i="1"/>
  <c r="AM879" i="1"/>
  <c r="AN879" i="1"/>
  <c r="AO879" i="1"/>
  <c r="AP879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K880" i="1"/>
  <c r="AL880" i="1"/>
  <c r="AM880" i="1"/>
  <c r="AN880" i="1"/>
  <c r="AO880" i="1"/>
  <c r="AP880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AL877" i="1"/>
  <c r="AM877" i="1"/>
  <c r="AN877" i="1"/>
  <c r="AO877" i="1"/>
  <c r="AP877" i="1"/>
  <c r="Y877" i="1"/>
  <c r="AQ880" i="1"/>
  <c r="AS880" i="1"/>
  <c r="AT880" i="1"/>
  <c r="AU880" i="1"/>
  <c r="AV880" i="1"/>
  <c r="AW880" i="1"/>
  <c r="AR880" i="1"/>
  <c r="AR878" i="1"/>
  <c r="AR879" i="1"/>
  <c r="AR877" i="1"/>
  <c r="AY878" i="1"/>
  <c r="AY879" i="1"/>
  <c r="AY880" i="1"/>
  <c r="AZ877" i="1"/>
  <c r="AX878" i="1"/>
  <c r="AX879" i="1"/>
  <c r="AX880" i="1"/>
  <c r="AY877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AQ878" i="1"/>
  <c r="AS878" i="1"/>
  <c r="AT878" i="1"/>
  <c r="AU878" i="1"/>
  <c r="AV878" i="1"/>
  <c r="AW878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AQ879" i="1"/>
  <c r="AS879" i="1"/>
  <c r="AT879" i="1"/>
  <c r="AU879" i="1"/>
  <c r="AV879" i="1"/>
  <c r="AW879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AQ877" i="1"/>
  <c r="AS877" i="1"/>
  <c r="AT877" i="1"/>
  <c r="AU877" i="1"/>
  <c r="AU881" i="1" s="1"/>
  <c r="AV877" i="1"/>
  <c r="AW877" i="1"/>
  <c r="AX877" i="1"/>
  <c r="G877" i="1"/>
  <c r="D407" i="1"/>
  <c r="C48" i="2" s="1"/>
  <c r="C10" i="2"/>
  <c r="D869" i="1"/>
  <c r="F99" i="2" s="1"/>
  <c r="D868" i="1"/>
  <c r="E99" i="2" s="1"/>
  <c r="D867" i="1"/>
  <c r="D99" i="2" s="1"/>
  <c r="D866" i="1"/>
  <c r="C99" i="2" s="1"/>
  <c r="D860" i="1"/>
  <c r="F98" i="2" s="1"/>
  <c r="D859" i="1"/>
  <c r="E98" i="2" s="1"/>
  <c r="D858" i="1"/>
  <c r="D98" i="2" s="1"/>
  <c r="D857" i="1"/>
  <c r="C98" i="2" s="1"/>
  <c r="D851" i="1"/>
  <c r="F97" i="2" s="1"/>
  <c r="D850" i="1"/>
  <c r="E97" i="2" s="1"/>
  <c r="D849" i="1"/>
  <c r="D97" i="2" s="1"/>
  <c r="D848" i="1"/>
  <c r="C97" i="2" s="1"/>
  <c r="D842" i="1"/>
  <c r="F96" i="2" s="1"/>
  <c r="D841" i="1"/>
  <c r="E96" i="2" s="1"/>
  <c r="D840" i="1"/>
  <c r="D96" i="2" s="1"/>
  <c r="D839" i="1"/>
  <c r="C96" i="2" s="1"/>
  <c r="D833" i="1"/>
  <c r="F95" i="2" s="1"/>
  <c r="D832" i="1"/>
  <c r="E95" i="2" s="1"/>
  <c r="D831" i="1"/>
  <c r="D95" i="2" s="1"/>
  <c r="D830" i="1"/>
  <c r="C95" i="2" s="1"/>
  <c r="D824" i="1"/>
  <c r="F94" i="2" s="1"/>
  <c r="D823" i="1"/>
  <c r="E94" i="2" s="1"/>
  <c r="D822" i="1"/>
  <c r="D94" i="2" s="1"/>
  <c r="D821" i="1"/>
  <c r="C94" i="2" s="1"/>
  <c r="D815" i="1"/>
  <c r="F93" i="2" s="1"/>
  <c r="D814" i="1"/>
  <c r="E93" i="2" s="1"/>
  <c r="D813" i="1"/>
  <c r="D93" i="2" s="1"/>
  <c r="D812" i="1"/>
  <c r="C93" i="2" s="1"/>
  <c r="D806" i="1"/>
  <c r="F92" i="2" s="1"/>
  <c r="D805" i="1"/>
  <c r="E92" i="2" s="1"/>
  <c r="D804" i="1"/>
  <c r="D92" i="2" s="1"/>
  <c r="D803" i="1"/>
  <c r="C92" i="2" s="1"/>
  <c r="D797" i="1"/>
  <c r="F91" i="2" s="1"/>
  <c r="D796" i="1"/>
  <c r="E91" i="2" s="1"/>
  <c r="D795" i="1"/>
  <c r="D91" i="2" s="1"/>
  <c r="D794" i="1"/>
  <c r="C91" i="2" s="1"/>
  <c r="D788" i="1"/>
  <c r="F90" i="2" s="1"/>
  <c r="D787" i="1"/>
  <c r="E90" i="2" s="1"/>
  <c r="D786" i="1"/>
  <c r="D90" i="2" s="1"/>
  <c r="D785" i="1"/>
  <c r="C90" i="2" s="1"/>
  <c r="D779" i="1"/>
  <c r="F89" i="2" s="1"/>
  <c r="D778" i="1"/>
  <c r="E89" i="2" s="1"/>
  <c r="D777" i="1"/>
  <c r="D89" i="2" s="1"/>
  <c r="D776" i="1"/>
  <c r="C89" i="2" s="1"/>
  <c r="D770" i="1"/>
  <c r="F88" i="2" s="1"/>
  <c r="D769" i="1"/>
  <c r="E88" i="2" s="1"/>
  <c r="D768" i="1"/>
  <c r="D88" i="2" s="1"/>
  <c r="D767" i="1"/>
  <c r="C88" i="2" s="1"/>
  <c r="D761" i="1"/>
  <c r="F87" i="2" s="1"/>
  <c r="D760" i="1"/>
  <c r="E87" i="2" s="1"/>
  <c r="D759" i="1"/>
  <c r="D87" i="2" s="1"/>
  <c r="D758" i="1"/>
  <c r="C87" i="2" s="1"/>
  <c r="D752" i="1"/>
  <c r="F86" i="2" s="1"/>
  <c r="D751" i="1"/>
  <c r="E86" i="2" s="1"/>
  <c r="D750" i="1"/>
  <c r="D86" i="2" s="1"/>
  <c r="D749" i="1"/>
  <c r="C86" i="2" s="1"/>
  <c r="D743" i="1"/>
  <c r="F85" i="2" s="1"/>
  <c r="D742" i="1"/>
  <c r="E85" i="2" s="1"/>
  <c r="D741" i="1"/>
  <c r="D85" i="2" s="1"/>
  <c r="D740" i="1"/>
  <c r="C85" i="2" s="1"/>
  <c r="D734" i="1"/>
  <c r="F84" i="2" s="1"/>
  <c r="D733" i="1"/>
  <c r="E84" i="2" s="1"/>
  <c r="D732" i="1"/>
  <c r="D84" i="2" s="1"/>
  <c r="D731" i="1"/>
  <c r="C84" i="2" s="1"/>
  <c r="D725" i="1"/>
  <c r="F83" i="2" s="1"/>
  <c r="D724" i="1"/>
  <c r="E83" i="2" s="1"/>
  <c r="D723" i="1"/>
  <c r="D83" i="2" s="1"/>
  <c r="D722" i="1"/>
  <c r="C83" i="2" s="1"/>
  <c r="D716" i="1"/>
  <c r="F82" i="2" s="1"/>
  <c r="D715" i="1"/>
  <c r="E82" i="2" s="1"/>
  <c r="D714" i="1"/>
  <c r="D82" i="2" s="1"/>
  <c r="D713" i="1"/>
  <c r="C82" i="2" s="1"/>
  <c r="D707" i="1"/>
  <c r="F81" i="2" s="1"/>
  <c r="D706" i="1"/>
  <c r="E81" i="2" s="1"/>
  <c r="D705" i="1"/>
  <c r="D81" i="2" s="1"/>
  <c r="D704" i="1"/>
  <c r="C81" i="2" s="1"/>
  <c r="D698" i="1"/>
  <c r="F80" i="2" s="1"/>
  <c r="D697" i="1"/>
  <c r="E80" i="2" s="1"/>
  <c r="D696" i="1"/>
  <c r="D80" i="2" s="1"/>
  <c r="D695" i="1"/>
  <c r="C80" i="2" s="1"/>
  <c r="D689" i="1"/>
  <c r="F79" i="2" s="1"/>
  <c r="D688" i="1"/>
  <c r="E79" i="2" s="1"/>
  <c r="D687" i="1"/>
  <c r="D79" i="2" s="1"/>
  <c r="D686" i="1"/>
  <c r="C79" i="2" s="1"/>
  <c r="D680" i="1"/>
  <c r="F78" i="2" s="1"/>
  <c r="D679" i="1"/>
  <c r="E78" i="2" s="1"/>
  <c r="D678" i="1"/>
  <c r="D78" i="2" s="1"/>
  <c r="D677" i="1"/>
  <c r="C78" i="2" s="1"/>
  <c r="D671" i="1"/>
  <c r="F77" i="2" s="1"/>
  <c r="D670" i="1"/>
  <c r="E77" i="2" s="1"/>
  <c r="D669" i="1"/>
  <c r="D77" i="2" s="1"/>
  <c r="D668" i="1"/>
  <c r="C77" i="2" s="1"/>
  <c r="D662" i="1"/>
  <c r="F76" i="2" s="1"/>
  <c r="D661" i="1"/>
  <c r="E76" i="2" s="1"/>
  <c r="D660" i="1"/>
  <c r="D76" i="2" s="1"/>
  <c r="D659" i="1"/>
  <c r="C76" i="2" s="1"/>
  <c r="D653" i="1"/>
  <c r="F75" i="2" s="1"/>
  <c r="D652" i="1"/>
  <c r="E75" i="2" s="1"/>
  <c r="D651" i="1"/>
  <c r="D75" i="2" s="1"/>
  <c r="D650" i="1"/>
  <c r="C75" i="2" s="1"/>
  <c r="D644" i="1"/>
  <c r="F74" i="2" s="1"/>
  <c r="D643" i="1"/>
  <c r="E74" i="2" s="1"/>
  <c r="D642" i="1"/>
  <c r="D74" i="2" s="1"/>
  <c r="D641" i="1"/>
  <c r="C74" i="2" s="1"/>
  <c r="D635" i="1"/>
  <c r="F73" i="2" s="1"/>
  <c r="D634" i="1"/>
  <c r="E73" i="2" s="1"/>
  <c r="D633" i="1"/>
  <c r="D73" i="2" s="1"/>
  <c r="D632" i="1"/>
  <c r="C73" i="2" s="1"/>
  <c r="D626" i="1"/>
  <c r="F72" i="2" s="1"/>
  <c r="D625" i="1"/>
  <c r="E72" i="2" s="1"/>
  <c r="D624" i="1"/>
  <c r="D72" i="2" s="1"/>
  <c r="D623" i="1"/>
  <c r="C72" i="2" s="1"/>
  <c r="D617" i="1"/>
  <c r="F71" i="2" s="1"/>
  <c r="D616" i="1"/>
  <c r="E71" i="2" s="1"/>
  <c r="D615" i="1"/>
  <c r="D71" i="2" s="1"/>
  <c r="D614" i="1"/>
  <c r="D608" i="1"/>
  <c r="F70" i="2" s="1"/>
  <c r="D607" i="1"/>
  <c r="E70" i="2" s="1"/>
  <c r="D606" i="1"/>
  <c r="D70" i="2" s="1"/>
  <c r="D605" i="1"/>
  <c r="C70" i="2" s="1"/>
  <c r="D599" i="1"/>
  <c r="F69" i="2" s="1"/>
  <c r="D598" i="1"/>
  <c r="E69" i="2" s="1"/>
  <c r="D597" i="1"/>
  <c r="D69" i="2" s="1"/>
  <c r="D596" i="1"/>
  <c r="C69" i="2" s="1"/>
  <c r="D590" i="1"/>
  <c r="F68" i="2" s="1"/>
  <c r="D589" i="1"/>
  <c r="E68" i="2" s="1"/>
  <c r="D588" i="1"/>
  <c r="D68" i="2" s="1"/>
  <c r="D587" i="1"/>
  <c r="C68" i="2" s="1"/>
  <c r="D581" i="1"/>
  <c r="F67" i="2" s="1"/>
  <c r="D580" i="1"/>
  <c r="E67" i="2" s="1"/>
  <c r="D579" i="1"/>
  <c r="D67" i="2" s="1"/>
  <c r="D578" i="1"/>
  <c r="C67" i="2" s="1"/>
  <c r="D572" i="1"/>
  <c r="F66" i="2" s="1"/>
  <c r="D571" i="1"/>
  <c r="E66" i="2" s="1"/>
  <c r="D570" i="1"/>
  <c r="D66" i="2" s="1"/>
  <c r="D569" i="1"/>
  <c r="C66" i="2" s="1"/>
  <c r="D563" i="1"/>
  <c r="F65" i="2" s="1"/>
  <c r="D562" i="1"/>
  <c r="E65" i="2" s="1"/>
  <c r="D561" i="1"/>
  <c r="D65" i="2" s="1"/>
  <c r="D560" i="1"/>
  <c r="C65" i="2" s="1"/>
  <c r="D554" i="1"/>
  <c r="F64" i="2" s="1"/>
  <c r="D553" i="1"/>
  <c r="E64" i="2" s="1"/>
  <c r="D552" i="1"/>
  <c r="D64" i="2" s="1"/>
  <c r="D551" i="1"/>
  <c r="C64" i="2" s="1"/>
  <c r="D545" i="1"/>
  <c r="F63" i="2" s="1"/>
  <c r="D544" i="1"/>
  <c r="E63" i="2" s="1"/>
  <c r="D543" i="1"/>
  <c r="D63" i="2" s="1"/>
  <c r="D542" i="1"/>
  <c r="C63" i="2" s="1"/>
  <c r="D536" i="1"/>
  <c r="F62" i="2" s="1"/>
  <c r="D535" i="1"/>
  <c r="E62" i="2" s="1"/>
  <c r="D534" i="1"/>
  <c r="D62" i="2" s="1"/>
  <c r="D533" i="1"/>
  <c r="D527" i="1"/>
  <c r="F61" i="2" s="1"/>
  <c r="D526" i="1"/>
  <c r="E61" i="2" s="1"/>
  <c r="D525" i="1"/>
  <c r="D61" i="2" s="1"/>
  <c r="D524" i="1"/>
  <c r="C61" i="2" s="1"/>
  <c r="D518" i="1"/>
  <c r="F60" i="2" s="1"/>
  <c r="D517" i="1"/>
  <c r="E60" i="2" s="1"/>
  <c r="D516" i="1"/>
  <c r="D60" i="2" s="1"/>
  <c r="D515" i="1"/>
  <c r="C60" i="2" s="1"/>
  <c r="D509" i="1"/>
  <c r="F59" i="2" s="1"/>
  <c r="D508" i="1"/>
  <c r="E59" i="2" s="1"/>
  <c r="D507" i="1"/>
  <c r="D59" i="2" s="1"/>
  <c r="D506" i="1"/>
  <c r="C59" i="2" s="1"/>
  <c r="D500" i="1"/>
  <c r="F58" i="2" s="1"/>
  <c r="D499" i="1"/>
  <c r="E58" i="2" s="1"/>
  <c r="D498" i="1"/>
  <c r="D58" i="2" s="1"/>
  <c r="D497" i="1"/>
  <c r="C58" i="2" s="1"/>
  <c r="D491" i="1"/>
  <c r="F57" i="2" s="1"/>
  <c r="D490" i="1"/>
  <c r="E57" i="2" s="1"/>
  <c r="D489" i="1"/>
  <c r="D57" i="2" s="1"/>
  <c r="D488" i="1"/>
  <c r="C57" i="2" s="1"/>
  <c r="D482" i="1"/>
  <c r="F56" i="2" s="1"/>
  <c r="D481" i="1"/>
  <c r="E56" i="2" s="1"/>
  <c r="D480" i="1"/>
  <c r="D56" i="2" s="1"/>
  <c r="D479" i="1"/>
  <c r="C56" i="2" s="1"/>
  <c r="D473" i="1"/>
  <c r="F55" i="2" s="1"/>
  <c r="D472" i="1"/>
  <c r="E55" i="2" s="1"/>
  <c r="D471" i="1"/>
  <c r="D55" i="2" s="1"/>
  <c r="D470" i="1"/>
  <c r="C55" i="2" s="1"/>
  <c r="D464" i="1"/>
  <c r="F54" i="2" s="1"/>
  <c r="D463" i="1"/>
  <c r="E54" i="2" s="1"/>
  <c r="D462" i="1"/>
  <c r="D54" i="2" s="1"/>
  <c r="D461" i="1"/>
  <c r="C54" i="2" s="1"/>
  <c r="D455" i="1"/>
  <c r="F53" i="2" s="1"/>
  <c r="D454" i="1"/>
  <c r="E53" i="2" s="1"/>
  <c r="D453" i="1"/>
  <c r="D53" i="2" s="1"/>
  <c r="D452" i="1"/>
  <c r="D446" i="1"/>
  <c r="F52" i="2" s="1"/>
  <c r="D445" i="1"/>
  <c r="E52" i="2" s="1"/>
  <c r="D444" i="1"/>
  <c r="D52" i="2" s="1"/>
  <c r="D443" i="1"/>
  <c r="C52" i="2" s="1"/>
  <c r="D437" i="1"/>
  <c r="F51" i="2" s="1"/>
  <c r="D436" i="1"/>
  <c r="E51" i="2" s="1"/>
  <c r="D435" i="1"/>
  <c r="D51" i="2" s="1"/>
  <c r="D434" i="1"/>
  <c r="C51" i="2" s="1"/>
  <c r="D428" i="1"/>
  <c r="F50" i="2" s="1"/>
  <c r="D427" i="1"/>
  <c r="E50" i="2" s="1"/>
  <c r="D426" i="1"/>
  <c r="D50" i="2" s="1"/>
  <c r="D425" i="1"/>
  <c r="C50" i="2" s="1"/>
  <c r="D419" i="1"/>
  <c r="F49" i="2" s="1"/>
  <c r="D418" i="1"/>
  <c r="E49" i="2" s="1"/>
  <c r="D417" i="1"/>
  <c r="D49" i="2" s="1"/>
  <c r="D416" i="1"/>
  <c r="C49" i="2" s="1"/>
  <c r="D410" i="1"/>
  <c r="F48" i="2" s="1"/>
  <c r="D409" i="1"/>
  <c r="E48" i="2" s="1"/>
  <c r="D408" i="1"/>
  <c r="D48" i="2" s="1"/>
  <c r="D401" i="1"/>
  <c r="F47" i="2" s="1"/>
  <c r="D400" i="1"/>
  <c r="E47" i="2" s="1"/>
  <c r="D399" i="1"/>
  <c r="D47" i="2" s="1"/>
  <c r="D398" i="1"/>
  <c r="C47" i="2" s="1"/>
  <c r="D392" i="1"/>
  <c r="F46" i="2" s="1"/>
  <c r="D391" i="1"/>
  <c r="E46" i="2" s="1"/>
  <c r="D390" i="1"/>
  <c r="D46" i="2" s="1"/>
  <c r="D389" i="1"/>
  <c r="C46" i="2" s="1"/>
  <c r="D383" i="1"/>
  <c r="F45" i="2" s="1"/>
  <c r="D382" i="1"/>
  <c r="E45" i="2" s="1"/>
  <c r="D381" i="1"/>
  <c r="D45" i="2" s="1"/>
  <c r="D380" i="1"/>
  <c r="C45" i="2" s="1"/>
  <c r="D374" i="1"/>
  <c r="F44" i="2" s="1"/>
  <c r="D373" i="1"/>
  <c r="E44" i="2" s="1"/>
  <c r="D372" i="1"/>
  <c r="D44" i="2" s="1"/>
  <c r="D371" i="1"/>
  <c r="C44" i="2" s="1"/>
  <c r="D365" i="1"/>
  <c r="F43" i="2" s="1"/>
  <c r="D364" i="1"/>
  <c r="E43" i="2" s="1"/>
  <c r="D363" i="1"/>
  <c r="D43" i="2" s="1"/>
  <c r="D362" i="1"/>
  <c r="C43" i="2" s="1"/>
  <c r="D356" i="1"/>
  <c r="F42" i="2" s="1"/>
  <c r="D355" i="1"/>
  <c r="E42" i="2" s="1"/>
  <c r="D354" i="1"/>
  <c r="D42" i="2" s="1"/>
  <c r="D353" i="1"/>
  <c r="C42" i="2" s="1"/>
  <c r="D347" i="1"/>
  <c r="F41" i="2" s="1"/>
  <c r="D346" i="1"/>
  <c r="E41" i="2" s="1"/>
  <c r="D345" i="1"/>
  <c r="D41" i="2" s="1"/>
  <c r="D344" i="1"/>
  <c r="C41" i="2" s="1"/>
  <c r="D338" i="1"/>
  <c r="F40" i="2" s="1"/>
  <c r="D337" i="1"/>
  <c r="E40" i="2" s="1"/>
  <c r="D336" i="1"/>
  <c r="D40" i="2" s="1"/>
  <c r="D335" i="1"/>
  <c r="C40" i="2" s="1"/>
  <c r="D329" i="1"/>
  <c r="F39" i="2" s="1"/>
  <c r="D328" i="1"/>
  <c r="E39" i="2" s="1"/>
  <c r="D327" i="1"/>
  <c r="D39" i="2" s="1"/>
  <c r="D326" i="1"/>
  <c r="C39" i="2" s="1"/>
  <c r="D320" i="1"/>
  <c r="F38" i="2" s="1"/>
  <c r="D319" i="1"/>
  <c r="E38" i="2" s="1"/>
  <c r="D318" i="1"/>
  <c r="D38" i="2" s="1"/>
  <c r="D317" i="1"/>
  <c r="C38" i="2" s="1"/>
  <c r="D311" i="1"/>
  <c r="F37" i="2" s="1"/>
  <c r="D310" i="1"/>
  <c r="E37" i="2" s="1"/>
  <c r="D309" i="1"/>
  <c r="D37" i="2" s="1"/>
  <c r="D308" i="1"/>
  <c r="C37" i="2" s="1"/>
  <c r="D302" i="1"/>
  <c r="F36" i="2" s="1"/>
  <c r="D301" i="1"/>
  <c r="E36" i="2" s="1"/>
  <c r="D300" i="1"/>
  <c r="D36" i="2" s="1"/>
  <c r="D299" i="1"/>
  <c r="C36" i="2" s="1"/>
  <c r="D293" i="1"/>
  <c r="F35" i="2" s="1"/>
  <c r="D292" i="1"/>
  <c r="E35" i="2" s="1"/>
  <c r="D291" i="1"/>
  <c r="D35" i="2" s="1"/>
  <c r="D290" i="1"/>
  <c r="C35" i="2" s="1"/>
  <c r="D284" i="1"/>
  <c r="F34" i="2" s="1"/>
  <c r="D283" i="1"/>
  <c r="E34" i="2" s="1"/>
  <c r="D282" i="1"/>
  <c r="D34" i="2" s="1"/>
  <c r="D281" i="1"/>
  <c r="C34" i="2" s="1"/>
  <c r="D275" i="1"/>
  <c r="F33" i="2" s="1"/>
  <c r="D274" i="1"/>
  <c r="E33" i="2" s="1"/>
  <c r="D273" i="1"/>
  <c r="D33" i="2" s="1"/>
  <c r="D272" i="1"/>
  <c r="C33" i="2" s="1"/>
  <c r="D266" i="1"/>
  <c r="F32" i="2" s="1"/>
  <c r="D265" i="1"/>
  <c r="E32" i="2" s="1"/>
  <c r="D264" i="1"/>
  <c r="D32" i="2" s="1"/>
  <c r="D263" i="1"/>
  <c r="C32" i="2" s="1"/>
  <c r="D257" i="1"/>
  <c r="F31" i="2" s="1"/>
  <c r="D256" i="1"/>
  <c r="E31" i="2" s="1"/>
  <c r="D255" i="1"/>
  <c r="D31" i="2" s="1"/>
  <c r="D254" i="1"/>
  <c r="C31" i="2" s="1"/>
  <c r="D248" i="1"/>
  <c r="F30" i="2" s="1"/>
  <c r="D247" i="1"/>
  <c r="E30" i="2" s="1"/>
  <c r="D246" i="1"/>
  <c r="D30" i="2" s="1"/>
  <c r="D245" i="1"/>
  <c r="C30" i="2" s="1"/>
  <c r="D239" i="1"/>
  <c r="F29" i="2" s="1"/>
  <c r="D238" i="1"/>
  <c r="E29" i="2" s="1"/>
  <c r="D237" i="1"/>
  <c r="D29" i="2" s="1"/>
  <c r="D236" i="1"/>
  <c r="C29" i="2" s="1"/>
  <c r="D230" i="1"/>
  <c r="F28" i="2" s="1"/>
  <c r="D229" i="1"/>
  <c r="E28" i="2" s="1"/>
  <c r="D228" i="1"/>
  <c r="D28" i="2" s="1"/>
  <c r="D227" i="1"/>
  <c r="C28" i="2" s="1"/>
  <c r="D221" i="1"/>
  <c r="F27" i="2" s="1"/>
  <c r="D220" i="1"/>
  <c r="E27" i="2" s="1"/>
  <c r="D219" i="1"/>
  <c r="D27" i="2" s="1"/>
  <c r="D218" i="1"/>
  <c r="C27" i="2" s="1"/>
  <c r="D212" i="1"/>
  <c r="F26" i="2" s="1"/>
  <c r="D211" i="1"/>
  <c r="E26" i="2" s="1"/>
  <c r="D210" i="1"/>
  <c r="D26" i="2" s="1"/>
  <c r="D209" i="1"/>
  <c r="C26" i="2" s="1"/>
  <c r="D203" i="1"/>
  <c r="F25" i="2" s="1"/>
  <c r="D202" i="1"/>
  <c r="E25" i="2" s="1"/>
  <c r="D201" i="1"/>
  <c r="D25" i="2" s="1"/>
  <c r="D200" i="1"/>
  <c r="D194" i="1"/>
  <c r="F24" i="2" s="1"/>
  <c r="D193" i="1"/>
  <c r="E24" i="2" s="1"/>
  <c r="D192" i="1"/>
  <c r="D24" i="2" s="1"/>
  <c r="D191" i="1"/>
  <c r="C24" i="2" s="1"/>
  <c r="D185" i="1"/>
  <c r="F23" i="2" s="1"/>
  <c r="D184" i="1"/>
  <c r="E23" i="2" s="1"/>
  <c r="D183" i="1"/>
  <c r="D23" i="2" s="1"/>
  <c r="D182" i="1"/>
  <c r="C23" i="2" s="1"/>
  <c r="D176" i="1"/>
  <c r="F22" i="2" s="1"/>
  <c r="D175" i="1"/>
  <c r="E22" i="2" s="1"/>
  <c r="D174" i="1"/>
  <c r="D22" i="2" s="1"/>
  <c r="D173" i="1"/>
  <c r="C22" i="2" s="1"/>
  <c r="D167" i="1"/>
  <c r="F21" i="2" s="1"/>
  <c r="D166" i="1"/>
  <c r="E21" i="2" s="1"/>
  <c r="D165" i="1"/>
  <c r="D21" i="2" s="1"/>
  <c r="D164" i="1"/>
  <c r="C21" i="2" s="1"/>
  <c r="D158" i="1"/>
  <c r="F20" i="2" s="1"/>
  <c r="D157" i="1"/>
  <c r="E20" i="2" s="1"/>
  <c r="D156" i="1"/>
  <c r="D20" i="2" s="1"/>
  <c r="D155" i="1"/>
  <c r="C20" i="2" s="1"/>
  <c r="D149" i="1"/>
  <c r="F19" i="2" s="1"/>
  <c r="D148" i="1"/>
  <c r="E19" i="2" s="1"/>
  <c r="D147" i="1"/>
  <c r="D19" i="2" s="1"/>
  <c r="D146" i="1"/>
  <c r="C19" i="2" s="1"/>
  <c r="D140" i="1"/>
  <c r="F18" i="2" s="1"/>
  <c r="D139" i="1"/>
  <c r="E18" i="2" s="1"/>
  <c r="D138" i="1"/>
  <c r="D18" i="2" s="1"/>
  <c r="D137" i="1"/>
  <c r="C18" i="2" s="1"/>
  <c r="D131" i="1"/>
  <c r="F17" i="2" s="1"/>
  <c r="D130" i="1"/>
  <c r="E17" i="2" s="1"/>
  <c r="D129" i="1"/>
  <c r="D17" i="2" s="1"/>
  <c r="D128" i="1"/>
  <c r="C17" i="2" s="1"/>
  <c r="D122" i="1"/>
  <c r="F16" i="2" s="1"/>
  <c r="D121" i="1"/>
  <c r="E16" i="2" s="1"/>
  <c r="D120" i="1"/>
  <c r="D16" i="2" s="1"/>
  <c r="D119" i="1"/>
  <c r="C16" i="2" s="1"/>
  <c r="D113" i="1"/>
  <c r="F15" i="2" s="1"/>
  <c r="D112" i="1"/>
  <c r="E15" i="2" s="1"/>
  <c r="D111" i="1"/>
  <c r="D15" i="2" s="1"/>
  <c r="D110" i="1"/>
  <c r="C15" i="2" s="1"/>
  <c r="D104" i="1"/>
  <c r="F14" i="2" s="1"/>
  <c r="D103" i="1"/>
  <c r="E14" i="2" s="1"/>
  <c r="D102" i="1"/>
  <c r="D14" i="2" s="1"/>
  <c r="D101" i="1"/>
  <c r="C14" i="2" s="1"/>
  <c r="D95" i="1"/>
  <c r="F13" i="2" s="1"/>
  <c r="D94" i="1"/>
  <c r="E13" i="2" s="1"/>
  <c r="D93" i="1"/>
  <c r="D13" i="2" s="1"/>
  <c r="D92" i="1"/>
  <c r="C13" i="2" s="1"/>
  <c r="D86" i="1"/>
  <c r="F12" i="2" s="1"/>
  <c r="D85" i="1"/>
  <c r="E12" i="2" s="1"/>
  <c r="D84" i="1"/>
  <c r="D12" i="2" s="1"/>
  <c r="D83" i="1"/>
  <c r="C12" i="2" s="1"/>
  <c r="D77" i="1"/>
  <c r="F11" i="2" s="1"/>
  <c r="D76" i="1"/>
  <c r="E11" i="2" s="1"/>
  <c r="D75" i="1"/>
  <c r="D11" i="2" s="1"/>
  <c r="D74" i="1"/>
  <c r="C11" i="2" s="1"/>
  <c r="D68" i="1"/>
  <c r="F10" i="2" s="1"/>
  <c r="D67" i="1"/>
  <c r="E10" i="2" s="1"/>
  <c r="D66" i="1"/>
  <c r="D10" i="2" s="1"/>
  <c r="D65" i="1"/>
  <c r="D58" i="1"/>
  <c r="E9" i="2" s="1"/>
  <c r="D59" i="1"/>
  <c r="F9" i="2" s="1"/>
  <c r="D57" i="1"/>
  <c r="D9" i="2" s="1"/>
  <c r="D56" i="1"/>
  <c r="C9" i="2" s="1"/>
  <c r="D50" i="1"/>
  <c r="F8" i="2" s="1"/>
  <c r="D49" i="1"/>
  <c r="E8" i="2" s="1"/>
  <c r="D48" i="1"/>
  <c r="D8" i="2" s="1"/>
  <c r="D47" i="1"/>
  <c r="C8" i="2" s="1"/>
  <c r="D41" i="1"/>
  <c r="D40" i="1"/>
  <c r="E7" i="2" s="1"/>
  <c r="D39" i="1"/>
  <c r="D7" i="2" s="1"/>
  <c r="D38" i="1"/>
  <c r="C7" i="2" s="1"/>
  <c r="D32" i="1"/>
  <c r="F6" i="2" s="1"/>
  <c r="D31" i="1"/>
  <c r="E6" i="2" s="1"/>
  <c r="D30" i="1"/>
  <c r="D6" i="2" s="1"/>
  <c r="D29" i="1"/>
  <c r="C6" i="2" s="1"/>
  <c r="D23" i="1"/>
  <c r="F5" i="2" s="1"/>
  <c r="D22" i="1"/>
  <c r="E5" i="2" s="1"/>
  <c r="D21" i="1"/>
  <c r="D5" i="2" s="1"/>
  <c r="D20" i="1"/>
  <c r="C5" i="2" s="1"/>
  <c r="D12" i="1"/>
  <c r="D4" i="2" s="1"/>
  <c r="D13" i="1"/>
  <c r="E4" i="2" s="1"/>
  <c r="D14" i="1"/>
  <c r="F4" i="2" s="1"/>
  <c r="D11" i="1"/>
  <c r="C4" i="2" s="1"/>
  <c r="AB881" i="1" l="1"/>
  <c r="AD33" i="4" s="1"/>
  <c r="Z881" i="1"/>
  <c r="AX881" i="1"/>
  <c r="AN881" i="1"/>
  <c r="AL29" i="4" s="1"/>
  <c r="AS881" i="1"/>
  <c r="AW881" i="1"/>
  <c r="L881" i="1"/>
  <c r="M20" i="4" s="1"/>
  <c r="AM881" i="1"/>
  <c r="AL24" i="4" s="1"/>
  <c r="N881" i="1"/>
  <c r="I33" i="4" s="1"/>
  <c r="K881" i="1"/>
  <c r="I20" i="4" s="1"/>
  <c r="AF881" i="1"/>
  <c r="AC33" i="4" s="1"/>
  <c r="T881" i="1"/>
  <c r="N20" i="4" s="1"/>
  <c r="U881" i="1"/>
  <c r="R24" i="4" s="1"/>
  <c r="AQ881" i="1"/>
  <c r="AR881" i="1"/>
  <c r="AL881" i="1"/>
  <c r="AH20" i="4" s="1"/>
  <c r="Q881" i="1"/>
  <c r="D29" i="4" s="1"/>
  <c r="AE881" i="1"/>
  <c r="AG33" i="4" s="1"/>
  <c r="AC881" i="1"/>
  <c r="AC20" i="4" s="1"/>
  <c r="J881" i="1"/>
  <c r="J33" i="4" s="1"/>
  <c r="AA881" i="1"/>
  <c r="AL27" i="4" s="1"/>
  <c r="H881" i="1"/>
  <c r="J20" i="4" s="1"/>
  <c r="AO881" i="1"/>
  <c r="AH33" i="4" s="1"/>
  <c r="W881" i="1"/>
  <c r="N33" i="4" s="1"/>
  <c r="R881" i="1"/>
  <c r="D24" i="4" s="1"/>
  <c r="AI881" i="1"/>
  <c r="X29" i="4" s="1"/>
  <c r="G881" i="1"/>
  <c r="D27" i="4" s="1"/>
  <c r="AV881" i="1"/>
  <c r="AT881" i="1"/>
  <c r="AD20" i="4"/>
  <c r="M881" i="1"/>
  <c r="M33" i="4" s="1"/>
  <c r="X881" i="1"/>
  <c r="H33" i="4" s="1"/>
  <c r="S881" i="1"/>
  <c r="H20" i="4" s="1"/>
  <c r="V881" i="1"/>
  <c r="R29" i="4" s="1"/>
  <c r="Y881" i="1"/>
  <c r="X27" i="4" s="1"/>
  <c r="I881" i="1"/>
  <c r="R27" i="4" s="1"/>
  <c r="AH881" i="1"/>
  <c r="AL25" i="4" s="1"/>
  <c r="O881" i="1"/>
  <c r="D25" i="4" s="1"/>
  <c r="AJ881" i="1"/>
  <c r="X24" i="4" s="1"/>
  <c r="AP881" i="1"/>
  <c r="AB33" i="4" s="1"/>
  <c r="AZ881" i="1"/>
  <c r="AD881" i="1"/>
  <c r="AG20" i="4" s="1"/>
  <c r="AY881" i="1"/>
  <c r="AG881" i="1"/>
  <c r="X25" i="4" s="1"/>
  <c r="P881" i="1"/>
  <c r="R25" i="4" s="1"/>
  <c r="AK881" i="1"/>
  <c r="AB20" i="4" s="1"/>
  <c r="G38" i="2"/>
  <c r="D204" i="1"/>
  <c r="G98" i="2"/>
  <c r="M18" i="2"/>
  <c r="M13" i="2"/>
  <c r="J6" i="2"/>
  <c r="G19" i="2"/>
  <c r="G11" i="2"/>
  <c r="L27" i="2"/>
  <c r="K26" i="2"/>
  <c r="M27" i="2"/>
  <c r="G79" i="2"/>
  <c r="G88" i="2"/>
  <c r="G48" i="2"/>
  <c r="G91" i="2"/>
  <c r="G5" i="2"/>
  <c r="G15" i="2"/>
  <c r="L24" i="2"/>
  <c r="G96" i="2"/>
  <c r="M16" i="2"/>
  <c r="K8" i="2"/>
  <c r="L14" i="2"/>
  <c r="K7" i="2"/>
  <c r="G75" i="2"/>
  <c r="L15" i="2"/>
  <c r="G95" i="2"/>
  <c r="G6" i="2"/>
  <c r="G61" i="2"/>
  <c r="L8" i="2"/>
  <c r="M26" i="2"/>
  <c r="L25" i="2"/>
  <c r="G93" i="2"/>
  <c r="M25" i="2"/>
  <c r="G94" i="2"/>
  <c r="G21" i="2"/>
  <c r="M7" i="2"/>
  <c r="M17" i="2"/>
  <c r="K27" i="2"/>
  <c r="G89" i="2"/>
  <c r="G22" i="2"/>
  <c r="K4" i="2"/>
  <c r="M9" i="2"/>
  <c r="L26" i="2"/>
  <c r="G16" i="2"/>
  <c r="J7" i="2"/>
  <c r="K16" i="2"/>
  <c r="M8" i="2"/>
  <c r="L16" i="2"/>
  <c r="L17" i="2"/>
  <c r="J5" i="2"/>
  <c r="G8" i="2"/>
  <c r="L6" i="2"/>
  <c r="K25" i="2"/>
  <c r="K5" i="2"/>
  <c r="K9" i="2"/>
  <c r="J24" i="2"/>
  <c r="G85" i="2"/>
  <c r="K22" i="2"/>
  <c r="M23" i="2"/>
  <c r="M22" i="2"/>
  <c r="M5" i="2"/>
  <c r="G13" i="2"/>
  <c r="M14" i="2"/>
  <c r="J8" i="2"/>
  <c r="G20" i="2"/>
  <c r="L7" i="2"/>
  <c r="G57" i="2"/>
  <c r="K6" i="2"/>
  <c r="M21" i="2"/>
  <c r="L10" i="2"/>
  <c r="M19" i="2"/>
  <c r="M24" i="2"/>
  <c r="M6" i="2"/>
  <c r="L23" i="2"/>
  <c r="J4" i="2"/>
  <c r="L4" i="2"/>
  <c r="G9" i="2"/>
  <c r="L5" i="2"/>
  <c r="G99" i="2"/>
  <c r="G23" i="2"/>
  <c r="M11" i="2"/>
  <c r="K20" i="2"/>
  <c r="D456" i="1"/>
  <c r="D537" i="1"/>
  <c r="D618" i="1"/>
  <c r="D861" i="1"/>
  <c r="G12" i="2"/>
  <c r="J13" i="2"/>
  <c r="K14" i="2"/>
  <c r="M12" i="2"/>
  <c r="L20" i="2"/>
  <c r="L9" i="2"/>
  <c r="G51" i="2"/>
  <c r="G35" i="2"/>
  <c r="M15" i="2"/>
  <c r="L21" i="2"/>
  <c r="G86" i="2"/>
  <c r="G74" i="2"/>
  <c r="G39" i="2"/>
  <c r="J21" i="2"/>
  <c r="G50" i="2"/>
  <c r="K21" i="2"/>
  <c r="K12" i="2"/>
  <c r="L18" i="2"/>
  <c r="G77" i="2"/>
  <c r="L12" i="2"/>
  <c r="C53" i="2"/>
  <c r="G53" i="2" s="1"/>
  <c r="G56" i="2"/>
  <c r="J26" i="2"/>
  <c r="G37" i="2"/>
  <c r="M20" i="2"/>
  <c r="G42" i="2"/>
  <c r="G87" i="2"/>
  <c r="K13" i="2"/>
  <c r="L13" i="2"/>
  <c r="J22" i="2"/>
  <c r="J14" i="2"/>
  <c r="G80" i="2"/>
  <c r="G55" i="2"/>
  <c r="J19" i="2"/>
  <c r="C62" i="2"/>
  <c r="G62" i="2" s="1"/>
  <c r="G65" i="2"/>
  <c r="G83" i="2"/>
  <c r="K24" i="2"/>
  <c r="G84" i="2"/>
  <c r="G90" i="2"/>
  <c r="J25" i="2"/>
  <c r="G68" i="2"/>
  <c r="K23" i="2"/>
  <c r="G78" i="2"/>
  <c r="L22" i="2"/>
  <c r="K19" i="2"/>
  <c r="G67" i="2"/>
  <c r="L19" i="2"/>
  <c r="K18" i="2"/>
  <c r="G76" i="2"/>
  <c r="J23" i="2"/>
  <c r="C71" i="2"/>
  <c r="G71" i="2" s="1"/>
  <c r="G64" i="2"/>
  <c r="G72" i="2"/>
  <c r="G92" i="2"/>
  <c r="G60" i="2"/>
  <c r="J15" i="2"/>
  <c r="G49" i="2"/>
  <c r="J17" i="2"/>
  <c r="G58" i="2"/>
  <c r="K15" i="2"/>
  <c r="G59" i="2"/>
  <c r="G54" i="2"/>
  <c r="K17" i="2"/>
  <c r="G52" i="2"/>
  <c r="G36" i="2"/>
  <c r="J12" i="2"/>
  <c r="G41" i="2"/>
  <c r="L11" i="2"/>
  <c r="G34" i="2"/>
  <c r="K11" i="2"/>
  <c r="G40" i="2"/>
  <c r="D366" i="1"/>
  <c r="G43" i="2"/>
  <c r="G44" i="2"/>
  <c r="G33" i="2"/>
  <c r="J11" i="2"/>
  <c r="G32" i="2"/>
  <c r="G31" i="2"/>
  <c r="G30" i="2"/>
  <c r="K10" i="2"/>
  <c r="J10" i="2"/>
  <c r="M10" i="2"/>
  <c r="G29" i="2"/>
  <c r="G28" i="2"/>
  <c r="G27" i="2"/>
  <c r="G26" i="2"/>
  <c r="C25" i="2"/>
  <c r="J9" i="2" s="1"/>
  <c r="G97" i="2"/>
  <c r="J27" i="2"/>
  <c r="G17" i="2"/>
  <c r="G47" i="2"/>
  <c r="G46" i="2"/>
  <c r="G14" i="2"/>
  <c r="G70" i="2"/>
  <c r="G24" i="2"/>
  <c r="G73" i="2"/>
  <c r="G18" i="2"/>
  <c r="G45" i="2"/>
  <c r="G63" i="2"/>
  <c r="G81" i="2"/>
  <c r="E100" i="2"/>
  <c r="G82" i="2"/>
  <c r="G66" i="2"/>
  <c r="G10" i="2"/>
  <c r="G69" i="2"/>
  <c r="D100" i="2"/>
  <c r="D132" i="1"/>
  <c r="D51" i="1"/>
  <c r="D375" i="1"/>
  <c r="D294" i="1"/>
  <c r="D285" i="1"/>
  <c r="D78" i="1"/>
  <c r="D564" i="1"/>
  <c r="D645" i="1"/>
  <c r="D213" i="1"/>
  <c r="D447" i="1"/>
  <c r="D609" i="1"/>
  <c r="D528" i="1"/>
  <c r="D726" i="1"/>
  <c r="D411" i="1"/>
  <c r="D492" i="1"/>
  <c r="D573" i="1"/>
  <c r="D654" i="1"/>
  <c r="D816" i="1"/>
  <c r="D735" i="1"/>
  <c r="D195" i="1"/>
  <c r="D357" i="1"/>
  <c r="D600" i="1"/>
  <c r="D762" i="1"/>
  <c r="D681" i="1"/>
  <c r="D672" i="1"/>
  <c r="D15" i="1"/>
  <c r="D96" i="1"/>
  <c r="D177" i="1"/>
  <c r="D258" i="1"/>
  <c r="D339" i="1"/>
  <c r="D60" i="1"/>
  <c r="D141" i="1"/>
  <c r="D222" i="1"/>
  <c r="D303" i="1"/>
  <c r="D627" i="1"/>
  <c r="D807" i="1"/>
  <c r="D33" i="1"/>
  <c r="D87" i="1"/>
  <c r="D168" i="1"/>
  <c r="D249" i="1"/>
  <c r="D330" i="1"/>
  <c r="D690" i="1"/>
  <c r="D771" i="1"/>
  <c r="D852" i="1"/>
  <c r="D420" i="1"/>
  <c r="D501" i="1"/>
  <c r="D582" i="1"/>
  <c r="D663" i="1"/>
  <c r="D24" i="1"/>
  <c r="D105" i="1"/>
  <c r="D267" i="1"/>
  <c r="D348" i="1"/>
  <c r="D708" i="1"/>
  <c r="D789" i="1"/>
  <c r="D870" i="1"/>
  <c r="D510" i="1"/>
  <c r="D843" i="1"/>
  <c r="D231" i="1"/>
  <c r="D312" i="1"/>
  <c r="D519" i="1"/>
  <c r="D474" i="1"/>
  <c r="D69" i="1"/>
  <c r="D186" i="1"/>
  <c r="D384" i="1"/>
  <c r="D465" i="1"/>
  <c r="D699" i="1"/>
  <c r="D780" i="1"/>
  <c r="D150" i="1"/>
  <c r="D429" i="1"/>
  <c r="D546" i="1"/>
  <c r="D744" i="1"/>
  <c r="D825" i="1"/>
  <c r="D114" i="1"/>
  <c r="D393" i="1"/>
  <c r="D483" i="1"/>
  <c r="D42" i="1"/>
  <c r="F7" i="2" s="1"/>
  <c r="M4" i="2" s="1"/>
  <c r="D276" i="1"/>
  <c r="D591" i="1"/>
  <c r="D159" i="1"/>
  <c r="D438" i="1"/>
  <c r="D555" i="1"/>
  <c r="D753" i="1"/>
  <c r="D834" i="1"/>
  <c r="D240" i="1"/>
  <c r="D321" i="1"/>
  <c r="D636" i="1"/>
  <c r="D880" i="1"/>
  <c r="D123" i="1"/>
  <c r="D402" i="1"/>
  <c r="D717" i="1"/>
  <c r="D798" i="1"/>
  <c r="D879" i="1"/>
  <c r="D877" i="1"/>
  <c r="D878" i="1"/>
  <c r="G4" i="2"/>
  <c r="AQ883" i="1" l="1"/>
  <c r="J16" i="2"/>
  <c r="N16" i="2" s="1"/>
  <c r="G883" i="1"/>
  <c r="N34" i="4" s="1"/>
  <c r="Y883" i="1"/>
  <c r="AB19" i="4" s="1"/>
  <c r="C100" i="2"/>
  <c r="J18" i="2"/>
  <c r="N18" i="2" s="1"/>
  <c r="N26" i="2"/>
  <c r="N8" i="2"/>
  <c r="N24" i="2"/>
  <c r="N14" i="2"/>
  <c r="N11" i="2"/>
  <c r="N15" i="2"/>
  <c r="N23" i="2"/>
  <c r="J20" i="2"/>
  <c r="N20" i="2" s="1"/>
  <c r="N27" i="2"/>
  <c r="N21" i="2"/>
  <c r="M28" i="2"/>
  <c r="N19" i="2"/>
  <c r="N22" i="2"/>
  <c r="L28" i="2"/>
  <c r="N9" i="2"/>
  <c r="N10" i="2"/>
  <c r="N6" i="2"/>
  <c r="N13" i="2"/>
  <c r="N25" i="2"/>
  <c r="N5" i="2"/>
  <c r="F100" i="2"/>
  <c r="N12" i="2"/>
  <c r="N4" i="2"/>
  <c r="N7" i="2"/>
  <c r="G7" i="2"/>
  <c r="N17" i="2"/>
  <c r="K28" i="2"/>
  <c r="G25" i="2"/>
  <c r="D881" i="1"/>
  <c r="M19" i="4" l="1"/>
  <c r="S29" i="4"/>
  <c r="C29" i="4"/>
  <c r="M34" i="4"/>
  <c r="C27" i="4"/>
  <c r="N19" i="4"/>
  <c r="S27" i="4"/>
  <c r="AH34" i="4"/>
  <c r="AG34" i="4"/>
  <c r="AD34" i="4"/>
  <c r="AC34" i="4"/>
  <c r="AB34" i="4"/>
  <c r="AM29" i="4"/>
  <c r="AM27" i="4"/>
  <c r="AM25" i="4"/>
  <c r="AM24" i="4"/>
  <c r="AH19" i="4"/>
  <c r="AG19" i="4"/>
  <c r="AC19" i="4"/>
  <c r="W29" i="4"/>
  <c r="W27" i="4"/>
  <c r="W25" i="4"/>
  <c r="W24" i="4"/>
  <c r="AD19" i="4"/>
  <c r="J28" i="2"/>
  <c r="G100" i="2"/>
  <c r="N28" i="2"/>
  <c r="H19" i="4"/>
  <c r="H34" i="4"/>
  <c r="I34" i="4"/>
  <c r="J34" i="4"/>
  <c r="S24" i="4"/>
  <c r="J19" i="4"/>
  <c r="C25" i="4"/>
  <c r="S25" i="4"/>
  <c r="C24" i="4"/>
  <c r="I19" i="4"/>
</calcChain>
</file>

<file path=xl/sharedStrings.xml><?xml version="1.0" encoding="utf-8"?>
<sst xmlns="http://schemas.openxmlformats.org/spreadsheetml/2006/main" count="6506" uniqueCount="96">
  <si>
    <t>Pedestrian</t>
  </si>
  <si>
    <t>Bike</t>
  </si>
  <si>
    <t>Scooter</t>
  </si>
  <si>
    <t>Other</t>
  </si>
  <si>
    <t>gender, age, rec/commute/school</t>
  </si>
  <si>
    <t>Total</t>
  </si>
  <si>
    <t>Totals</t>
  </si>
  <si>
    <t>Time</t>
  </si>
  <si>
    <t>Ped Counter. 1 block for each hour. If desired, record demographic (want to see % of women + children). i.e. mid-aged woman, senior woman, elementary girl etc.</t>
  </si>
  <si>
    <t>In = going _____</t>
  </si>
  <si>
    <t>Out = going _____</t>
  </si>
  <si>
    <t>Hourly Total</t>
  </si>
  <si>
    <t>Daily Total</t>
  </si>
  <si>
    <t>Intersection Count</t>
  </si>
  <si>
    <t>Road</t>
  </si>
  <si>
    <t>Bike Lane</t>
  </si>
  <si>
    <t>Sidewalk</t>
  </si>
  <si>
    <t>N</t>
  </si>
  <si>
    <t>S</t>
  </si>
  <si>
    <t>E</t>
  </si>
  <si>
    <t>W</t>
  </si>
  <si>
    <t>To</t>
  </si>
  <si>
    <t>From</t>
  </si>
  <si>
    <t>Date:</t>
  </si>
  <si>
    <t>TOTAL</t>
  </si>
  <si>
    <t>15-min Interval Total</t>
  </si>
  <si>
    <t>DAILY TOTALS</t>
  </si>
  <si>
    <t>Ped Out of Crosswalk</t>
  </si>
  <si>
    <t>Other - One Wheel</t>
  </si>
  <si>
    <t>Other - Surron</t>
  </si>
  <si>
    <t>15-Minute Intervals</t>
  </si>
  <si>
    <t>1-Hour Intervals</t>
  </si>
  <si>
    <t>15-min Total</t>
  </si>
  <si>
    <t>Road N</t>
  </si>
  <si>
    <t>Road S</t>
  </si>
  <si>
    <t>Road W</t>
  </si>
  <si>
    <t>Road E</t>
  </si>
  <si>
    <t>Sidewalk W-N</t>
  </si>
  <si>
    <t>Sidewalk W-S</t>
  </si>
  <si>
    <t>Sidewalk E-N</t>
  </si>
  <si>
    <t>Sidewalk N-W</t>
  </si>
  <si>
    <t>Sidewalk S-W</t>
  </si>
  <si>
    <t>Sidewalk S-E</t>
  </si>
  <si>
    <t>Sidewalk N-E</t>
  </si>
  <si>
    <t>Trail E-S</t>
  </si>
  <si>
    <t>Bikeway W</t>
  </si>
  <si>
    <t>Bikeway E</t>
  </si>
  <si>
    <t>Bike Lane N-W</t>
  </si>
  <si>
    <t>Bike Lane N-E</t>
  </si>
  <si>
    <t>Bike Lane S-E</t>
  </si>
  <si>
    <t>Bike Lane S-W</t>
  </si>
  <si>
    <t>N-E</t>
  </si>
  <si>
    <t>N-W</t>
  </si>
  <si>
    <t>S-E</t>
  </si>
  <si>
    <t>S-W</t>
  </si>
  <si>
    <t>W-S</t>
  </si>
  <si>
    <t>W-N</t>
  </si>
  <si>
    <t>E-N</t>
  </si>
  <si>
    <t>E-S</t>
  </si>
  <si>
    <t>Bikeway</t>
  </si>
  <si>
    <t>Car No Yield</t>
  </si>
  <si>
    <t>Student</t>
  </si>
  <si>
    <t>Bike Passenger</t>
  </si>
  <si>
    <t>Jogger</t>
  </si>
  <si>
    <t>Stroller</t>
  </si>
  <si>
    <t>Car in Bikeway</t>
  </si>
  <si>
    <t>Dog</t>
  </si>
  <si>
    <t>Backpack</t>
  </si>
  <si>
    <t xml:space="preserve">Other </t>
  </si>
  <si>
    <t>Pickup starts to go WB on 700 S but stops at crosswalk, has yield zone to wait in so N/S traffic keeps moving @8:17:33</t>
  </si>
  <si>
    <t>Car Yield</t>
  </si>
  <si>
    <t>Boy falls off bike when stopped on the NE corner - girl helps him up @8:47:47</t>
  </si>
  <si>
    <t>Numbers off here</t>
  </si>
  <si>
    <t>Other - e-skateboard</t>
  </si>
  <si>
    <t>Bike no Stop*</t>
  </si>
  <si>
    <t>*When the bike should stop since a car was at the intersection</t>
  </si>
  <si>
    <t>Yield Rate</t>
  </si>
  <si>
    <t>Truck makes long sweeping turn with extra long trailer @9:54:13</t>
  </si>
  <si>
    <t>Truck with long trailer and bobcat makes right turn @10:27:16</t>
  </si>
  <si>
    <t>Mail truck in bikeway @10:50:09</t>
  </si>
  <si>
    <t>Long-tail cargo bike with two kids @11:20:38</t>
  </si>
  <si>
    <t>Man on adult tricycle @11:21:56</t>
  </si>
  <si>
    <t>UPS truck manages a U-turn in the intersection @11:48:00</t>
  </si>
  <si>
    <t>Long-tail cargo bike with two kids @11:52:13</t>
  </si>
  <si>
    <t>Double trailer semi makes left turn with pickup waiting - pickup moves a little - semi gets through @11:53:55</t>
  </si>
  <si>
    <t>Car sneaks through when crossing guard starts walking out @15:28:33</t>
  </si>
  <si>
    <t>Cars parked in bike lanes on SW leg @15:28:00</t>
  </si>
  <si>
    <t>Other - skateboard</t>
  </si>
  <si>
    <t>Bike No Stop</t>
  </si>
  <si>
    <t>Child on the back of ebike w parent @18:50:16</t>
  </si>
  <si>
    <t>Recumbent bike @19:23:19</t>
  </si>
  <si>
    <t>Bike with child in front stops, but car yields and let's them go, despite the car was stopped first @19:31:05</t>
  </si>
  <si>
    <t>Dog in the back of a bike @19:50:29</t>
  </si>
  <si>
    <t>Motorcycle in bikeway W? @20:31:42</t>
  </si>
  <si>
    <t>Car was going to turn to the right place, but then backed up and went into the bikeway - later exited the bikeway @23:22:08</t>
  </si>
  <si>
    <t>Car waited well in advance of people crossing the street and waited until they were all the way across @6:35:40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</si>
</sst>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FFFF00"/>
      </bottom>
      <diagonal/>
    </border>
    <border>
      <left style="double">
        <color rgb="FFFFFF00"/>
      </left>
      <right style="thin">
        <color theme="0"/>
      </right>
      <top/>
      <bottom/>
      <diagonal/>
    </border>
    <border>
      <left style="thin">
        <color theme="0"/>
      </left>
      <right style="double">
        <color rgb="FFFFFF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thin">
        <color theme="0"/>
      </top>
      <bottom style="thin">
        <color rgb="FFFFFF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14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164" fontId="0" fillId="0" borderId="0" xfId="0" applyNumberFormat="1"/>
    <xf numFmtId="0" fontId="3" fillId="0" borderId="6" xfId="0" applyFont="1" applyBorder="1"/>
    <xf numFmtId="0" fontId="0" fillId="0" borderId="7" xfId="0" applyBorder="1"/>
    <xf numFmtId="0" fontId="2" fillId="0" borderId="7" xfId="0" applyFont="1" applyBorder="1" applyAlignment="1">
      <alignment vertical="center"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0" fillId="0" borderId="6" xfId="0" applyBorder="1"/>
    <xf numFmtId="0" fontId="1" fillId="0" borderId="1" xfId="0" applyFont="1" applyBorder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13" xfId="0" applyBorder="1"/>
    <xf numFmtId="0" fontId="4" fillId="0" borderId="0" xfId="0" applyFont="1" applyAlignment="1">
      <alignment wrapText="1"/>
    </xf>
    <xf numFmtId="0" fontId="0" fillId="0" borderId="14" xfId="0" applyBorder="1"/>
    <xf numFmtId="0" fontId="0" fillId="0" borderId="5" xfId="0" applyBorder="1"/>
    <xf numFmtId="0" fontId="0" fillId="0" borderId="3" xfId="0" applyBorder="1"/>
    <xf numFmtId="19" fontId="1" fillId="4" borderId="1" xfId="0" applyNumberFormat="1" applyFont="1" applyFill="1" applyBorder="1" applyAlignment="1">
      <alignment vertical="center" wrapText="1"/>
    </xf>
    <xf numFmtId="19" fontId="1" fillId="5" borderId="1" xfId="0" applyNumberFormat="1" applyFont="1" applyFill="1" applyBorder="1" applyAlignment="1">
      <alignment vertical="center" wrapText="1"/>
    </xf>
    <xf numFmtId="0" fontId="3" fillId="0" borderId="7" xfId="0" applyFont="1" applyBorder="1"/>
    <xf numFmtId="0" fontId="4" fillId="6" borderId="1" xfId="0" applyFont="1" applyFill="1" applyBorder="1"/>
    <xf numFmtId="0" fontId="1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4" fillId="7" borderId="0" xfId="0" applyFont="1" applyFill="1"/>
    <xf numFmtId="0" fontId="0" fillId="7" borderId="0" xfId="0" applyFill="1"/>
    <xf numFmtId="0" fontId="6" fillId="0" borderId="0" xfId="0" applyFont="1"/>
    <xf numFmtId="0" fontId="1" fillId="0" borderId="1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64" fontId="0" fillId="0" borderId="13" xfId="0" applyNumberFormat="1" applyBorder="1"/>
    <xf numFmtId="0" fontId="3" fillId="0" borderId="13" xfId="0" applyFont="1" applyBorder="1"/>
    <xf numFmtId="1" fontId="0" fillId="0" borderId="0" xfId="0" applyNumberFormat="1"/>
    <xf numFmtId="1" fontId="3" fillId="0" borderId="0" xfId="0" applyNumberFormat="1" applyFont="1"/>
    <xf numFmtId="1" fontId="0" fillId="0" borderId="13" xfId="0" applyNumberFormat="1" applyBorder="1"/>
    <xf numFmtId="1" fontId="3" fillId="0" borderId="13" xfId="0" applyNumberFormat="1" applyFont="1" applyBorder="1"/>
    <xf numFmtId="0" fontId="0" fillId="8" borderId="0" xfId="0" applyFill="1"/>
    <xf numFmtId="0" fontId="0" fillId="10" borderId="0" xfId="0" applyFill="1"/>
    <xf numFmtId="0" fontId="0" fillId="0" borderId="0" xfId="0" applyAlignment="1">
      <alignment textRotation="90"/>
    </xf>
    <xf numFmtId="0" fontId="0" fillId="0" borderId="6" xfId="0" applyBorder="1" applyAlignment="1">
      <alignment textRotation="90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0" borderId="0" xfId="0" applyAlignment="1">
      <alignment horizontal="center" vertical="top" textRotation="90"/>
    </xf>
    <xf numFmtId="165" fontId="0" fillId="0" borderId="0" xfId="1" applyNumberFormat="1" applyFont="1" applyAlignment="1">
      <alignment textRotation="90"/>
    </xf>
    <xf numFmtId="0" fontId="0" fillId="9" borderId="19" xfId="0" applyFill="1" applyBorder="1"/>
    <xf numFmtId="0" fontId="0" fillId="0" borderId="0" xfId="0" applyAlignment="1">
      <alignment horizontal="center"/>
    </xf>
    <xf numFmtId="0" fontId="0" fillId="0" borderId="20" xfId="0" applyBorder="1" applyAlignment="1">
      <alignment textRotation="90"/>
    </xf>
    <xf numFmtId="0" fontId="0" fillId="10" borderId="18" xfId="0" applyFill="1" applyBorder="1"/>
    <xf numFmtId="0" fontId="0" fillId="9" borderId="0" xfId="0" applyFill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11" borderId="26" xfId="0" applyFill="1" applyBorder="1"/>
    <xf numFmtId="0" fontId="0" fillId="9" borderId="27" xfId="0" applyFill="1" applyBorder="1"/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8" borderId="28" xfId="0" applyFill="1" applyBorder="1"/>
    <xf numFmtId="0" fontId="0" fillId="8" borderId="29" xfId="0" applyFill="1" applyBorder="1"/>
    <xf numFmtId="0" fontId="0" fillId="8" borderId="30" xfId="0" applyFill="1" applyBorder="1"/>
    <xf numFmtId="0" fontId="0" fillId="8" borderId="31" xfId="0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5" fontId="0" fillId="0" borderId="0" xfId="1" applyNumberFormat="1" applyFont="1"/>
    <xf numFmtId="0" fontId="1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right" vertical="center"/>
    </xf>
    <xf numFmtId="165" fontId="0" fillId="0" borderId="16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top" textRotation="90"/>
    </xf>
    <xf numFmtId="165" fontId="0" fillId="0" borderId="0" xfId="1" applyNumberFormat="1" applyFont="1" applyAlignment="1">
      <alignment horizontal="center" textRotation="90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textRotation="90"/>
    </xf>
    <xf numFmtId="0" fontId="4" fillId="3" borderId="0" xfId="0" applyFont="1" applyFill="1" applyAlignment="1"/>
    <xf numFmtId="0" fontId="4" fillId="2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15-Minute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Summary'!$C$3</c:f>
              <c:strCache>
                <c:ptCount val="1"/>
                <c:pt idx="0">
                  <c:v>Pedestrian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Summary'!$C$4:$C$99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4</c:v>
                </c:pt>
                <c:pt idx="25">
                  <c:v>12</c:v>
                </c:pt>
                <c:pt idx="26">
                  <c:v>8</c:v>
                </c:pt>
                <c:pt idx="27">
                  <c:v>12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9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6</c:v>
                </c:pt>
                <c:pt idx="39">
                  <c:v>1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6</c:v>
                </c:pt>
                <c:pt idx="60">
                  <c:v>3</c:v>
                </c:pt>
                <c:pt idx="61">
                  <c:v>16</c:v>
                </c:pt>
                <c:pt idx="62">
                  <c:v>101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5</c:v>
                </c:pt>
                <c:pt idx="67">
                  <c:v>0</c:v>
                </c:pt>
                <c:pt idx="68">
                  <c:v>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7</c:v>
                </c:pt>
                <c:pt idx="78">
                  <c:v>5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10</c:v>
                </c:pt>
                <c:pt idx="83">
                  <c:v>5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4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C-4D6A-ACD3-70FCF790FE03}"/>
            </c:ext>
          </c:extLst>
        </c:ser>
        <c:ser>
          <c:idx val="1"/>
          <c:order val="1"/>
          <c:tx>
            <c:strRef>
              <c:f>'Count Summary'!$D$3</c:f>
              <c:strCache>
                <c:ptCount val="1"/>
                <c:pt idx="0">
                  <c:v>Bike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Summary'!$D$4:$D$99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6</c:v>
                </c:pt>
                <c:pt idx="35">
                  <c:v>60</c:v>
                </c:pt>
                <c:pt idx="36">
                  <c:v>23</c:v>
                </c:pt>
                <c:pt idx="37">
                  <c:v>12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5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8</c:v>
                </c:pt>
                <c:pt idx="61">
                  <c:v>10</c:v>
                </c:pt>
                <c:pt idx="62">
                  <c:v>85</c:v>
                </c:pt>
                <c:pt idx="63">
                  <c:v>5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2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5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C-4D6A-ACD3-70FCF790FE03}"/>
            </c:ext>
          </c:extLst>
        </c:ser>
        <c:ser>
          <c:idx val="2"/>
          <c:order val="2"/>
          <c:tx>
            <c:strRef>
              <c:f>'Count Summary'!$E$3</c:f>
              <c:strCache>
                <c:ptCount val="1"/>
                <c:pt idx="0">
                  <c:v>Scooter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Summary'!$E$4:$E$99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35</c:v>
                </c:pt>
                <c:pt idx="36">
                  <c:v>17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</c:v>
                </c:pt>
                <c:pt idx="62">
                  <c:v>39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C-4D6A-ACD3-70FCF790FE03}"/>
            </c:ext>
          </c:extLst>
        </c:ser>
        <c:ser>
          <c:idx val="3"/>
          <c:order val="3"/>
          <c:tx>
            <c:strRef>
              <c:f>'Count Summary'!$F$3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Summary'!$F$4:$F$99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C-4D6A-ACD3-70FCF790FE03}"/>
            </c:ext>
          </c:extLst>
        </c:ser>
        <c:ser>
          <c:idx val="4"/>
          <c:order val="4"/>
          <c:tx>
            <c:strRef>
              <c:f>'Count Summary'!$G$3</c:f>
              <c:strCache>
                <c:ptCount val="1"/>
                <c:pt idx="0">
                  <c:v>15-min 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Summary'!$G$4:$G$99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4</c:v>
                </c:pt>
                <c:pt idx="25">
                  <c:v>12</c:v>
                </c:pt>
                <c:pt idx="26">
                  <c:v>8</c:v>
                </c:pt>
                <c:pt idx="27">
                  <c:v>12</c:v>
                </c:pt>
                <c:pt idx="28">
                  <c:v>9</c:v>
                </c:pt>
                <c:pt idx="29">
                  <c:v>8</c:v>
                </c:pt>
                <c:pt idx="30">
                  <c:v>4</c:v>
                </c:pt>
                <c:pt idx="31">
                  <c:v>8</c:v>
                </c:pt>
                <c:pt idx="32">
                  <c:v>6</c:v>
                </c:pt>
                <c:pt idx="33">
                  <c:v>7</c:v>
                </c:pt>
                <c:pt idx="34">
                  <c:v>17</c:v>
                </c:pt>
                <c:pt idx="35">
                  <c:v>152</c:v>
                </c:pt>
                <c:pt idx="36">
                  <c:v>82</c:v>
                </c:pt>
                <c:pt idx="37">
                  <c:v>48</c:v>
                </c:pt>
                <c:pt idx="38">
                  <c:v>6</c:v>
                </c:pt>
                <c:pt idx="39">
                  <c:v>1</c:v>
                </c:pt>
                <c:pt idx="40">
                  <c:v>0</c:v>
                </c:pt>
                <c:pt idx="41">
                  <c:v>5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6</c:v>
                </c:pt>
                <c:pt idx="46">
                  <c:v>3</c:v>
                </c:pt>
                <c:pt idx="47">
                  <c:v>5</c:v>
                </c:pt>
                <c:pt idx="48">
                  <c:v>3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6</c:v>
                </c:pt>
                <c:pt idx="60">
                  <c:v>11</c:v>
                </c:pt>
                <c:pt idx="61">
                  <c:v>29</c:v>
                </c:pt>
                <c:pt idx="62">
                  <c:v>226</c:v>
                </c:pt>
                <c:pt idx="63">
                  <c:v>7</c:v>
                </c:pt>
                <c:pt idx="64">
                  <c:v>0</c:v>
                </c:pt>
                <c:pt idx="65">
                  <c:v>4</c:v>
                </c:pt>
                <c:pt idx="66">
                  <c:v>10</c:v>
                </c:pt>
                <c:pt idx="67">
                  <c:v>1</c:v>
                </c:pt>
                <c:pt idx="68">
                  <c:v>5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4</c:v>
                </c:pt>
                <c:pt idx="75">
                  <c:v>2</c:v>
                </c:pt>
                <c:pt idx="76">
                  <c:v>1</c:v>
                </c:pt>
                <c:pt idx="77">
                  <c:v>8</c:v>
                </c:pt>
                <c:pt idx="78">
                  <c:v>8</c:v>
                </c:pt>
                <c:pt idx="79">
                  <c:v>4</c:v>
                </c:pt>
                <c:pt idx="80">
                  <c:v>8</c:v>
                </c:pt>
                <c:pt idx="81">
                  <c:v>3</c:v>
                </c:pt>
                <c:pt idx="82">
                  <c:v>12</c:v>
                </c:pt>
                <c:pt idx="83">
                  <c:v>6</c:v>
                </c:pt>
                <c:pt idx="84">
                  <c:v>0</c:v>
                </c:pt>
                <c:pt idx="85">
                  <c:v>0</c:v>
                </c:pt>
                <c:pt idx="86">
                  <c:v>4</c:v>
                </c:pt>
                <c:pt idx="87">
                  <c:v>4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C-4D6A-ACD3-70FCF790F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97887"/>
        <c:axId val="32498367"/>
      </c:lineChart>
      <c:catAx>
        <c:axId val="32497887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8367"/>
        <c:crosses val="autoZero"/>
        <c:auto val="1"/>
        <c:lblAlgn val="ctr"/>
        <c:lblOffset val="100"/>
        <c:noMultiLvlLbl val="0"/>
      </c:catAx>
      <c:valAx>
        <c:axId val="324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Summary'!$J$3</c:f>
              <c:strCache>
                <c:ptCount val="1"/>
                <c:pt idx="0">
                  <c:v>Pedestrian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36</c:v>
                </c:pt>
                <c:pt idx="7">
                  <c:v>19</c:v>
                </c:pt>
                <c:pt idx="8">
                  <c:v>75</c:v>
                </c:pt>
                <c:pt idx="9">
                  <c:v>82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5">
                  <c:v>122</c:v>
                </c:pt>
                <c:pt idx="16">
                  <c:v>6</c:v>
                </c:pt>
                <c:pt idx="17">
                  <c:v>5</c:v>
                </c:pt>
                <c:pt idx="18">
                  <c:v>0</c:v>
                </c:pt>
                <c:pt idx="19">
                  <c:v>15</c:v>
                </c:pt>
                <c:pt idx="20">
                  <c:v>21</c:v>
                </c:pt>
                <c:pt idx="21">
                  <c:v>6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3-437D-A8CD-DF790F376EBD}"/>
            </c:ext>
          </c:extLst>
        </c:ser>
        <c:ser>
          <c:idx val="1"/>
          <c:order val="1"/>
          <c:tx>
            <c:strRef>
              <c:f>'Count Summary'!$K$3</c:f>
              <c:strCache>
                <c:ptCount val="1"/>
                <c:pt idx="0">
                  <c:v>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70</c:v>
                </c:pt>
                <c:pt idx="9">
                  <c:v>35</c:v>
                </c:pt>
                <c:pt idx="10">
                  <c:v>6</c:v>
                </c:pt>
                <c:pt idx="11">
                  <c:v>9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108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3-437D-A8CD-DF790F376EBD}"/>
            </c:ext>
          </c:extLst>
        </c:ser>
        <c:ser>
          <c:idx val="2"/>
          <c:order val="2"/>
          <c:tx>
            <c:strRef>
              <c:f>'Count Summary'!$L$3</c:f>
              <c:strCache>
                <c:ptCount val="1"/>
                <c:pt idx="0">
                  <c:v>Scooter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37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42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3-437D-A8CD-DF790F376EBD}"/>
            </c:ext>
          </c:extLst>
        </c:ser>
        <c:ser>
          <c:idx val="3"/>
          <c:order val="3"/>
          <c:tx>
            <c:strRef>
              <c:f>'Count Summary'!$M$3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3-437D-A8CD-DF790F376EBD}"/>
            </c:ext>
          </c:extLst>
        </c:ser>
        <c:ser>
          <c:idx val="4"/>
          <c:order val="4"/>
          <c:tx>
            <c:strRef>
              <c:f>'Count Summary'!$N$3</c:f>
              <c:strCache>
                <c:ptCount val="1"/>
                <c:pt idx="0">
                  <c:v>Hourly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36</c:v>
                </c:pt>
                <c:pt idx="7">
                  <c:v>29</c:v>
                </c:pt>
                <c:pt idx="8">
                  <c:v>182</c:v>
                </c:pt>
                <c:pt idx="9">
                  <c:v>137</c:v>
                </c:pt>
                <c:pt idx="10">
                  <c:v>10</c:v>
                </c:pt>
                <c:pt idx="11">
                  <c:v>15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273</c:v>
                </c:pt>
                <c:pt idx="16">
                  <c:v>15</c:v>
                </c:pt>
                <c:pt idx="17">
                  <c:v>10</c:v>
                </c:pt>
                <c:pt idx="18">
                  <c:v>8</c:v>
                </c:pt>
                <c:pt idx="19">
                  <c:v>21</c:v>
                </c:pt>
                <c:pt idx="20">
                  <c:v>29</c:v>
                </c:pt>
                <c:pt idx="21">
                  <c:v>8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3-437D-A8CD-DF790F376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5695"/>
        <c:axId val="1944312287"/>
      </c:lineChart>
      <c:catAx>
        <c:axId val="46815695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12287"/>
        <c:crosses val="autoZero"/>
        <c:auto val="1"/>
        <c:lblAlgn val="ctr"/>
        <c:lblOffset val="100"/>
        <c:noMultiLvlLbl val="0"/>
      </c:catAx>
      <c:valAx>
        <c:axId val="19443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385761</xdr:colOff>
      <xdr:row>37</xdr:row>
      <xdr:rowOff>33336</xdr:rowOff>
    </xdr:from>
    <xdr:to>
      <xdr:col>17</xdr:col>
      <xdr:colOff>600074</xdr:colOff>
      <xdr:row>64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25DF-EBBF-777C-8A0D-054F6B53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211591</xdr:colOff>
      <xdr:row>8</xdr:row>
      <xdr:rowOff>90486</xdr:rowOff>
    </xdr:from>
    <xdr:to>
      <xdr:col>26</xdr:col>
      <xdr:colOff>176893</xdr:colOff>
      <xdr:row>32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2A185-573D-664C-801F-6F18A60C7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599C-FE09-4208-A4FE-F7E68BE6ED1F}">
  <dimension ref="B3:BB883"/>
  <sheetViews>
    <sheetView tabSelected="1" topLeftCell="A841" zoomScale="85" zoomScaleNormal="85" workbookViewId="0">
      <selection activeCell="U859" sqref="U859"/>
    </sheetView>
  </sheetViews>
  <sheetFormatPr defaultRowHeight="15" x14ac:dyDescent="0.25"/>
  <cols>
    <col min="1" max="1" width="2.85546875" customWidth="1"/>
    <col min="2" max="2" width="17" customWidth="1"/>
    <col min="3" max="3" width="10.140625" customWidth="1"/>
    <col min="4" max="4" width="10.7109375" style="4" customWidth="1"/>
    <col min="6" max="6" width="14.5703125" customWidth="1"/>
    <col min="7" max="7" width="5.28515625" customWidth="1"/>
    <col min="8" max="10" width="4.42578125" customWidth="1"/>
    <col min="11" max="11" width="5.5703125" bestFit="1" customWidth="1"/>
    <col min="12" max="12" width="4.7109375" bestFit="1" customWidth="1"/>
    <col min="13" max="13" width="4.42578125" customWidth="1"/>
    <col min="14" max="14" width="5.28515625" bestFit="1" customWidth="1"/>
    <col min="15" max="16" width="5.28515625" customWidth="1"/>
    <col min="17" max="17" width="5.28515625" bestFit="1" customWidth="1"/>
    <col min="18" max="19" width="5.5703125" bestFit="1" customWidth="1"/>
    <col min="20" max="21" width="4.7109375" bestFit="1" customWidth="1"/>
    <col min="22" max="23" width="4.42578125" customWidth="1"/>
    <col min="24" max="24" width="5.28515625" bestFit="1" customWidth="1"/>
    <col min="25" max="25" width="6" customWidth="1"/>
    <col min="26" max="28" width="4.42578125" customWidth="1"/>
    <col min="29" max="29" width="5.5703125" bestFit="1" customWidth="1"/>
    <col min="30" max="30" width="4.7109375" bestFit="1" customWidth="1"/>
    <col min="31" max="31" width="4.42578125" customWidth="1"/>
    <col min="32" max="32" width="5.28515625" bestFit="1" customWidth="1"/>
    <col min="33" max="34" width="6" bestFit="1" customWidth="1"/>
    <col min="35" max="35" width="5.28515625" bestFit="1" customWidth="1"/>
    <col min="36" max="37" width="5.5703125" bestFit="1" customWidth="1"/>
    <col min="38" max="41" width="4.42578125" customWidth="1"/>
    <col min="42" max="42" width="5.28515625" bestFit="1" customWidth="1"/>
    <col min="43" max="44" width="7.28515625" customWidth="1"/>
    <col min="45" max="45" width="9.85546875" customWidth="1"/>
    <col min="46" max="46" width="9" customWidth="1"/>
    <col min="47" max="47" width="11.5703125" customWidth="1"/>
    <col min="48" max="48" width="11.85546875" customWidth="1"/>
    <col min="49" max="49" width="8.7109375" customWidth="1"/>
    <col min="50" max="50" width="8" customWidth="1"/>
    <col min="51" max="51" width="5.28515625" customWidth="1"/>
    <col min="52" max="52" width="11.140625" customWidth="1"/>
  </cols>
  <sheetData>
    <row r="3" spans="2:50" x14ac:dyDescent="0.25">
      <c r="B3" t="s">
        <v>8</v>
      </c>
    </row>
    <row r="4" spans="2:50" x14ac:dyDescent="0.25">
      <c r="B4" t="s">
        <v>4</v>
      </c>
    </row>
    <row r="5" spans="2:50" x14ac:dyDescent="0.25">
      <c r="B5" t="s">
        <v>9</v>
      </c>
      <c r="C5" t="s">
        <v>10</v>
      </c>
    </row>
    <row r="6" spans="2:50" x14ac:dyDescent="0.25">
      <c r="B6" t="s">
        <v>23</v>
      </c>
    </row>
    <row r="8" spans="2:50" ht="15.75" x14ac:dyDescent="0.25">
      <c r="G8" s="100" t="s">
        <v>22</v>
      </c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1" t="s">
        <v>21</v>
      </c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46"/>
      <c r="AR8" s="46"/>
      <c r="AS8" s="46"/>
      <c r="AT8" s="46"/>
      <c r="AU8" s="46"/>
      <c r="AV8" s="46"/>
      <c r="AW8" s="46"/>
      <c r="AX8" s="46"/>
    </row>
    <row r="9" spans="2:50" ht="32.25" thickBot="1" x14ac:dyDescent="0.3">
      <c r="G9" s="102" t="s">
        <v>14</v>
      </c>
      <c r="H9" s="102"/>
      <c r="I9" s="102"/>
      <c r="J9" s="102"/>
      <c r="K9" s="102" t="s">
        <v>15</v>
      </c>
      <c r="L9" s="102"/>
      <c r="M9" s="102"/>
      <c r="N9" s="102"/>
      <c r="O9" s="102" t="s">
        <v>59</v>
      </c>
      <c r="P9" s="102"/>
      <c r="Q9" s="102" t="s">
        <v>16</v>
      </c>
      <c r="R9" s="102"/>
      <c r="S9" s="102"/>
      <c r="T9" s="102"/>
      <c r="U9" s="102"/>
      <c r="V9" s="102"/>
      <c r="W9" s="102"/>
      <c r="X9" s="102"/>
      <c r="Y9" s="102" t="s">
        <v>14</v>
      </c>
      <c r="Z9" s="102"/>
      <c r="AA9" s="102"/>
      <c r="AB9" s="102"/>
      <c r="AC9" s="102" t="s">
        <v>15</v>
      </c>
      <c r="AD9" s="102"/>
      <c r="AE9" s="102"/>
      <c r="AF9" s="102"/>
      <c r="AG9" s="102" t="s">
        <v>59</v>
      </c>
      <c r="AH9" s="102"/>
      <c r="AI9" s="102" t="s">
        <v>16</v>
      </c>
      <c r="AJ9" s="102"/>
      <c r="AK9" s="102"/>
      <c r="AL9" s="102"/>
      <c r="AM9" s="102"/>
      <c r="AN9" s="102"/>
      <c r="AO9" s="102"/>
      <c r="AP9" s="102"/>
      <c r="AQ9" s="76" t="s">
        <v>60</v>
      </c>
      <c r="AR9" s="76"/>
      <c r="AS9" s="76" t="s">
        <v>65</v>
      </c>
      <c r="AT9" s="76" t="s">
        <v>61</v>
      </c>
      <c r="AU9" s="76" t="s">
        <v>62</v>
      </c>
      <c r="AV9" s="76" t="s">
        <v>27</v>
      </c>
      <c r="AW9" s="76" t="s">
        <v>64</v>
      </c>
      <c r="AX9" s="76" t="s">
        <v>63</v>
      </c>
    </row>
    <row r="10" spans="2:50" ht="48" thickBot="1" x14ac:dyDescent="0.3">
      <c r="B10" s="20">
        <v>0</v>
      </c>
      <c r="C10" s="14" t="s">
        <v>13</v>
      </c>
      <c r="D10" s="8" t="s">
        <v>6</v>
      </c>
      <c r="F10" s="13"/>
      <c r="G10" s="63" t="s">
        <v>20</v>
      </c>
      <c r="H10" s="64" t="s">
        <v>17</v>
      </c>
      <c r="I10" s="64" t="s">
        <v>19</v>
      </c>
      <c r="J10" s="64" t="s">
        <v>18</v>
      </c>
      <c r="K10" s="64" t="s">
        <v>52</v>
      </c>
      <c r="L10" s="64" t="s">
        <v>51</v>
      </c>
      <c r="M10" s="64" t="s">
        <v>53</v>
      </c>
      <c r="N10" s="64" t="s">
        <v>54</v>
      </c>
      <c r="O10" s="64" t="s">
        <v>20</v>
      </c>
      <c r="P10" s="64" t="s">
        <v>19</v>
      </c>
      <c r="Q10" s="64" t="s">
        <v>55</v>
      </c>
      <c r="R10" s="64" t="s">
        <v>56</v>
      </c>
      <c r="S10" s="64" t="s">
        <v>52</v>
      </c>
      <c r="T10" s="64" t="s">
        <v>51</v>
      </c>
      <c r="U10" s="64" t="s">
        <v>57</v>
      </c>
      <c r="V10" s="64" t="s">
        <v>58</v>
      </c>
      <c r="W10" s="64" t="s">
        <v>53</v>
      </c>
      <c r="X10" s="64" t="s">
        <v>54</v>
      </c>
      <c r="Y10" s="63" t="s">
        <v>20</v>
      </c>
      <c r="Z10" s="64" t="s">
        <v>17</v>
      </c>
      <c r="AA10" s="64" t="s">
        <v>19</v>
      </c>
      <c r="AB10" s="64" t="s">
        <v>18</v>
      </c>
      <c r="AC10" s="64" t="s">
        <v>52</v>
      </c>
      <c r="AD10" s="64" t="s">
        <v>51</v>
      </c>
      <c r="AE10" s="64" t="s">
        <v>53</v>
      </c>
      <c r="AF10" s="64" t="s">
        <v>54</v>
      </c>
      <c r="AG10" s="64" t="s">
        <v>20</v>
      </c>
      <c r="AH10" s="64" t="s">
        <v>19</v>
      </c>
      <c r="AI10" s="64" t="s">
        <v>55</v>
      </c>
      <c r="AJ10" s="64" t="s">
        <v>56</v>
      </c>
      <c r="AK10" s="64" t="s">
        <v>52</v>
      </c>
      <c r="AL10" s="64" t="s">
        <v>51</v>
      </c>
      <c r="AM10" s="64" t="s">
        <v>57</v>
      </c>
      <c r="AN10" s="64" t="s">
        <v>58</v>
      </c>
      <c r="AO10" s="64" t="s">
        <v>53</v>
      </c>
      <c r="AP10" s="64" t="s">
        <v>54</v>
      </c>
      <c r="AQ10" s="46"/>
      <c r="AR10" s="46"/>
      <c r="AS10" s="46"/>
      <c r="AT10" s="46"/>
      <c r="AU10" s="46"/>
      <c r="AV10" s="46"/>
      <c r="AW10" s="46"/>
      <c r="AX10" s="46"/>
    </row>
    <row r="11" spans="2:50" ht="16.5" customHeight="1" thickBot="1" x14ac:dyDescent="0.3">
      <c r="B11" s="1" t="s">
        <v>0</v>
      </c>
      <c r="C11" s="10"/>
      <c r="D11">
        <f>C11</f>
        <v>0</v>
      </c>
      <c r="F11" s="12" t="s">
        <v>0</v>
      </c>
      <c r="G11" s="77"/>
      <c r="H11" s="66"/>
      <c r="I11" s="66"/>
      <c r="J11" s="67"/>
      <c r="K11" s="65"/>
      <c r="L11" s="66"/>
      <c r="M11" s="66"/>
      <c r="N11" s="66"/>
      <c r="O11" s="65"/>
      <c r="P11" s="67"/>
      <c r="Q11" s="65"/>
      <c r="R11" s="66"/>
      <c r="S11" s="66"/>
      <c r="T11" s="66"/>
      <c r="U11" s="66"/>
      <c r="V11" s="66"/>
      <c r="W11" s="66"/>
      <c r="X11" s="67"/>
      <c r="Y11" s="77"/>
      <c r="Z11" s="66"/>
      <c r="AA11" s="66"/>
      <c r="AB11" s="66"/>
      <c r="AC11" s="65"/>
      <c r="AD11" s="66"/>
      <c r="AE11" s="66"/>
      <c r="AF11" s="67"/>
      <c r="AG11" s="66"/>
      <c r="AH11" s="67"/>
      <c r="AI11" s="66"/>
      <c r="AJ11" s="66"/>
      <c r="AK11" s="66"/>
      <c r="AL11" s="66"/>
      <c r="AM11" s="66"/>
      <c r="AN11" s="66"/>
      <c r="AO11" s="66"/>
      <c r="AP11" s="66"/>
      <c r="AQ11" s="65"/>
      <c r="AR11" s="65"/>
      <c r="AS11" s="65"/>
      <c r="AT11" s="65"/>
      <c r="AU11" s="65"/>
      <c r="AV11" s="65"/>
      <c r="AW11" s="65"/>
      <c r="AX11" s="68"/>
    </row>
    <row r="12" spans="2:50" ht="16.5" customHeight="1" thickBot="1" x14ac:dyDescent="0.3">
      <c r="B12" s="1" t="s">
        <v>1</v>
      </c>
      <c r="C12" s="10"/>
      <c r="D12">
        <f t="shared" ref="D12:D14" si="0">C12</f>
        <v>0</v>
      </c>
      <c r="F12" s="1" t="s">
        <v>1</v>
      </c>
      <c r="G12" s="78"/>
      <c r="H12" s="46"/>
      <c r="I12" s="46"/>
      <c r="J12" s="70"/>
      <c r="K12" s="69"/>
      <c r="L12" s="46"/>
      <c r="M12" s="46"/>
      <c r="N12" s="46"/>
      <c r="O12" s="69"/>
      <c r="P12" s="70"/>
      <c r="Q12" s="69"/>
      <c r="R12" s="46"/>
      <c r="S12" s="46"/>
      <c r="T12" s="46"/>
      <c r="U12" s="46"/>
      <c r="V12" s="46"/>
      <c r="W12" s="46"/>
      <c r="X12" s="70"/>
      <c r="Y12" s="78"/>
      <c r="Z12" s="46"/>
      <c r="AA12" s="46"/>
      <c r="AB12" s="46"/>
      <c r="AC12" s="69"/>
      <c r="AD12" s="46"/>
      <c r="AE12" s="46"/>
      <c r="AF12" s="70"/>
      <c r="AG12" s="46"/>
      <c r="AH12" s="70"/>
      <c r="AI12" s="46"/>
      <c r="AJ12" s="46"/>
      <c r="AK12" s="46"/>
      <c r="AL12" s="46"/>
      <c r="AM12" s="46"/>
      <c r="AN12" s="46"/>
      <c r="AO12" s="46"/>
      <c r="AP12" s="46"/>
      <c r="AQ12" s="69"/>
      <c r="AR12" s="69"/>
      <c r="AS12" s="69"/>
      <c r="AT12" s="69"/>
      <c r="AU12" s="69"/>
      <c r="AV12" s="69"/>
      <c r="AW12" s="69"/>
      <c r="AX12" s="71"/>
    </row>
    <row r="13" spans="2:50" ht="16.5" customHeight="1" thickBot="1" x14ac:dyDescent="0.3">
      <c r="B13" s="1" t="s">
        <v>2</v>
      </c>
      <c r="C13" s="10"/>
      <c r="D13">
        <f t="shared" si="0"/>
        <v>0</v>
      </c>
      <c r="F13" s="1" t="s">
        <v>2</v>
      </c>
      <c r="G13" s="78"/>
      <c r="H13" s="46"/>
      <c r="I13" s="46"/>
      <c r="J13" s="70"/>
      <c r="K13" s="69"/>
      <c r="L13" s="46"/>
      <c r="M13" s="46"/>
      <c r="N13" s="46"/>
      <c r="O13" s="69"/>
      <c r="P13" s="70"/>
      <c r="Q13" s="69"/>
      <c r="R13" s="46"/>
      <c r="S13" s="46"/>
      <c r="T13" s="46"/>
      <c r="U13" s="46"/>
      <c r="V13" s="46"/>
      <c r="W13" s="46"/>
      <c r="X13" s="70"/>
      <c r="Y13" s="78"/>
      <c r="Z13" s="46"/>
      <c r="AA13" s="46"/>
      <c r="AB13" s="46"/>
      <c r="AC13" s="69"/>
      <c r="AD13" s="46"/>
      <c r="AE13" s="46"/>
      <c r="AF13" s="70"/>
      <c r="AG13" s="46"/>
      <c r="AH13" s="70"/>
      <c r="AI13" s="46"/>
      <c r="AJ13" s="46"/>
      <c r="AK13" s="46"/>
      <c r="AL13" s="46"/>
      <c r="AM13" s="46"/>
      <c r="AN13" s="46"/>
      <c r="AO13" s="46"/>
      <c r="AP13" s="46"/>
      <c r="AQ13" s="69"/>
      <c r="AR13" s="69"/>
      <c r="AS13" s="69"/>
      <c r="AT13" s="69"/>
      <c r="AU13" s="69"/>
      <c r="AV13" s="69"/>
      <c r="AW13" s="69"/>
      <c r="AX13" s="71"/>
    </row>
    <row r="14" spans="2:50" ht="16.5" customHeight="1" thickBot="1" x14ac:dyDescent="0.3">
      <c r="B14" s="1" t="s">
        <v>3</v>
      </c>
      <c r="C14" s="10"/>
      <c r="D14" s="7">
        <f t="shared" si="0"/>
        <v>0</v>
      </c>
      <c r="F14" s="1" t="s">
        <v>3</v>
      </c>
      <c r="G14" s="79"/>
      <c r="H14" s="73"/>
      <c r="I14" s="73"/>
      <c r="J14" s="74"/>
      <c r="K14" s="72"/>
      <c r="L14" s="73"/>
      <c r="M14" s="73"/>
      <c r="N14" s="73"/>
      <c r="O14" s="72"/>
      <c r="P14" s="74"/>
      <c r="Q14" s="72"/>
      <c r="R14" s="73"/>
      <c r="S14" s="73"/>
      <c r="T14" s="73"/>
      <c r="U14" s="73"/>
      <c r="V14" s="73"/>
      <c r="W14" s="73"/>
      <c r="X14" s="74"/>
      <c r="Y14" s="79"/>
      <c r="Z14" s="73"/>
      <c r="AA14" s="73"/>
      <c r="AB14" s="73"/>
      <c r="AC14" s="72"/>
      <c r="AD14" s="73"/>
      <c r="AE14" s="73"/>
      <c r="AF14" s="74"/>
      <c r="AG14" s="73"/>
      <c r="AH14" s="74"/>
      <c r="AI14" s="73"/>
      <c r="AJ14" s="73"/>
      <c r="AK14" s="73"/>
      <c r="AL14" s="73"/>
      <c r="AM14" s="73"/>
      <c r="AN14" s="73"/>
      <c r="AO14" s="73"/>
      <c r="AP14" s="73"/>
      <c r="AQ14" s="72"/>
      <c r="AR14" s="72"/>
      <c r="AS14" s="72"/>
      <c r="AT14" s="72"/>
      <c r="AU14" s="72"/>
      <c r="AV14" s="72"/>
      <c r="AW14" s="72"/>
      <c r="AX14" s="75"/>
    </row>
    <row r="15" spans="2:50" ht="21" customHeight="1" x14ac:dyDescent="0.25">
      <c r="B15" s="2"/>
      <c r="C15" s="3" t="s">
        <v>25</v>
      </c>
      <c r="D15" s="9">
        <f>SUM(D11:D14)</f>
        <v>0</v>
      </c>
      <c r="G15" s="80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80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</row>
    <row r="16" spans="2:50" x14ac:dyDescent="0.25"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</row>
    <row r="17" spans="2:50" ht="15.75" x14ac:dyDescent="0.25">
      <c r="G17" s="100" t="s">
        <v>22</v>
      </c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1" t="s">
        <v>21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46"/>
      <c r="AR17" s="46"/>
      <c r="AS17" s="46"/>
      <c r="AT17" s="46"/>
      <c r="AU17" s="46"/>
      <c r="AV17" s="46"/>
      <c r="AW17" s="46"/>
      <c r="AX17" s="46"/>
    </row>
    <row r="18" spans="2:50" ht="32.25" thickBot="1" x14ac:dyDescent="0.3">
      <c r="G18" s="102" t="s">
        <v>14</v>
      </c>
      <c r="H18" s="102"/>
      <c r="I18" s="102"/>
      <c r="J18" s="102"/>
      <c r="K18" s="102" t="s">
        <v>15</v>
      </c>
      <c r="L18" s="102"/>
      <c r="M18" s="102"/>
      <c r="N18" s="102"/>
      <c r="O18" s="102" t="s">
        <v>59</v>
      </c>
      <c r="P18" s="102"/>
      <c r="Q18" s="102" t="s">
        <v>16</v>
      </c>
      <c r="R18" s="102"/>
      <c r="S18" s="102"/>
      <c r="T18" s="102"/>
      <c r="U18" s="102"/>
      <c r="V18" s="102"/>
      <c r="W18" s="102"/>
      <c r="X18" s="102"/>
      <c r="Y18" s="102" t="s">
        <v>14</v>
      </c>
      <c r="Z18" s="102"/>
      <c r="AA18" s="102"/>
      <c r="AB18" s="102"/>
      <c r="AC18" s="102" t="s">
        <v>15</v>
      </c>
      <c r="AD18" s="102"/>
      <c r="AE18" s="102"/>
      <c r="AF18" s="102"/>
      <c r="AG18" s="102" t="s">
        <v>59</v>
      </c>
      <c r="AH18" s="102"/>
      <c r="AI18" s="102" t="s">
        <v>16</v>
      </c>
      <c r="AJ18" s="102"/>
      <c r="AK18" s="102"/>
      <c r="AL18" s="102"/>
      <c r="AM18" s="102"/>
      <c r="AN18" s="102"/>
      <c r="AO18" s="102"/>
      <c r="AP18" s="102"/>
      <c r="AQ18" s="76" t="s">
        <v>60</v>
      </c>
      <c r="AR18" s="76"/>
      <c r="AS18" s="76" t="s">
        <v>65</v>
      </c>
      <c r="AT18" s="76" t="s">
        <v>61</v>
      </c>
      <c r="AU18" s="76" t="s">
        <v>62</v>
      </c>
      <c r="AV18" s="76" t="s">
        <v>27</v>
      </c>
      <c r="AW18" s="76" t="s">
        <v>64</v>
      </c>
      <c r="AX18" s="76" t="s">
        <v>63</v>
      </c>
    </row>
    <row r="19" spans="2:50" ht="48" thickBot="1" x14ac:dyDescent="0.3">
      <c r="B19" s="20">
        <v>1.0416666666666666E-2</v>
      </c>
      <c r="C19" s="14" t="s">
        <v>13</v>
      </c>
      <c r="D19" s="8" t="s">
        <v>6</v>
      </c>
      <c r="F19" s="13"/>
      <c r="G19" s="63" t="s">
        <v>20</v>
      </c>
      <c r="H19" s="64" t="s">
        <v>17</v>
      </c>
      <c r="I19" s="64" t="s">
        <v>19</v>
      </c>
      <c r="J19" s="64" t="s">
        <v>18</v>
      </c>
      <c r="K19" s="64" t="s">
        <v>52</v>
      </c>
      <c r="L19" s="64" t="s">
        <v>51</v>
      </c>
      <c r="M19" s="64" t="s">
        <v>53</v>
      </c>
      <c r="N19" s="64" t="s">
        <v>54</v>
      </c>
      <c r="O19" s="64" t="s">
        <v>20</v>
      </c>
      <c r="P19" s="64" t="s">
        <v>19</v>
      </c>
      <c r="Q19" s="64" t="s">
        <v>55</v>
      </c>
      <c r="R19" s="64" t="s">
        <v>56</v>
      </c>
      <c r="S19" s="64" t="s">
        <v>52</v>
      </c>
      <c r="T19" s="64" t="s">
        <v>51</v>
      </c>
      <c r="U19" s="64" t="s">
        <v>57</v>
      </c>
      <c r="V19" s="64" t="s">
        <v>58</v>
      </c>
      <c r="W19" s="64" t="s">
        <v>53</v>
      </c>
      <c r="X19" s="64" t="s">
        <v>54</v>
      </c>
      <c r="Y19" s="63" t="s">
        <v>20</v>
      </c>
      <c r="Z19" s="64" t="s">
        <v>17</v>
      </c>
      <c r="AA19" s="64" t="s">
        <v>19</v>
      </c>
      <c r="AB19" s="64" t="s">
        <v>18</v>
      </c>
      <c r="AC19" s="64" t="s">
        <v>52</v>
      </c>
      <c r="AD19" s="64" t="s">
        <v>51</v>
      </c>
      <c r="AE19" s="64" t="s">
        <v>53</v>
      </c>
      <c r="AF19" s="64" t="s">
        <v>54</v>
      </c>
      <c r="AG19" s="64" t="s">
        <v>20</v>
      </c>
      <c r="AH19" s="64" t="s">
        <v>19</v>
      </c>
      <c r="AI19" s="64" t="s">
        <v>55</v>
      </c>
      <c r="AJ19" s="64" t="s">
        <v>56</v>
      </c>
      <c r="AK19" s="64" t="s">
        <v>52</v>
      </c>
      <c r="AL19" s="64" t="s">
        <v>51</v>
      </c>
      <c r="AM19" s="64" t="s">
        <v>57</v>
      </c>
      <c r="AN19" s="64" t="s">
        <v>58</v>
      </c>
      <c r="AO19" s="64" t="s">
        <v>53</v>
      </c>
      <c r="AP19" s="64" t="s">
        <v>54</v>
      </c>
      <c r="AQ19" s="46"/>
      <c r="AR19" s="46"/>
      <c r="AS19" s="46"/>
      <c r="AT19" s="46"/>
      <c r="AU19" s="46"/>
      <c r="AV19" s="46"/>
      <c r="AW19" s="46"/>
      <c r="AX19" s="46"/>
    </row>
    <row r="20" spans="2:50" ht="16.5" customHeight="1" thickBot="1" x14ac:dyDescent="0.3">
      <c r="B20" s="1" t="s">
        <v>0</v>
      </c>
      <c r="C20" s="10"/>
      <c r="D20">
        <f>C20</f>
        <v>0</v>
      </c>
      <c r="F20" s="12" t="s">
        <v>0</v>
      </c>
      <c r="G20" s="77"/>
      <c r="H20" s="66"/>
      <c r="I20" s="66"/>
      <c r="J20" s="67"/>
      <c r="K20" s="65"/>
      <c r="L20" s="66"/>
      <c r="M20" s="66"/>
      <c r="N20" s="66"/>
      <c r="O20" s="65"/>
      <c r="P20" s="67"/>
      <c r="Q20" s="65"/>
      <c r="R20" s="66"/>
      <c r="S20" s="66"/>
      <c r="T20" s="66"/>
      <c r="U20" s="66"/>
      <c r="V20" s="66"/>
      <c r="W20" s="66"/>
      <c r="X20" s="67"/>
      <c r="Y20" s="77"/>
      <c r="Z20" s="66"/>
      <c r="AA20" s="66"/>
      <c r="AB20" s="66"/>
      <c r="AC20" s="65"/>
      <c r="AD20" s="66"/>
      <c r="AE20" s="66"/>
      <c r="AF20" s="67"/>
      <c r="AG20" s="66"/>
      <c r="AH20" s="67"/>
      <c r="AI20" s="66"/>
      <c r="AJ20" s="66"/>
      <c r="AK20" s="66"/>
      <c r="AL20" s="66"/>
      <c r="AM20" s="66"/>
      <c r="AN20" s="66"/>
      <c r="AO20" s="66"/>
      <c r="AP20" s="66"/>
      <c r="AQ20" s="65"/>
      <c r="AR20" s="65"/>
      <c r="AS20" s="65"/>
      <c r="AT20" s="65"/>
      <c r="AU20" s="65"/>
      <c r="AV20" s="65"/>
      <c r="AW20" s="65"/>
      <c r="AX20" s="68"/>
    </row>
    <row r="21" spans="2:50" ht="16.5" customHeight="1" thickBot="1" x14ac:dyDescent="0.3">
      <c r="B21" s="1" t="s">
        <v>1</v>
      </c>
      <c r="C21" s="10"/>
      <c r="D21">
        <f t="shared" ref="D21:D23" si="1">C21</f>
        <v>0</v>
      </c>
      <c r="F21" s="1" t="s">
        <v>1</v>
      </c>
      <c r="G21" s="78"/>
      <c r="H21" s="46"/>
      <c r="I21" s="46"/>
      <c r="J21" s="70"/>
      <c r="K21" s="69"/>
      <c r="L21" s="46"/>
      <c r="M21" s="46"/>
      <c r="N21" s="46"/>
      <c r="O21" s="69"/>
      <c r="P21" s="70"/>
      <c r="Q21" s="69"/>
      <c r="R21" s="46"/>
      <c r="S21" s="46"/>
      <c r="T21" s="46"/>
      <c r="U21" s="46"/>
      <c r="V21" s="46"/>
      <c r="W21" s="46"/>
      <c r="X21" s="70"/>
      <c r="Y21" s="78"/>
      <c r="Z21" s="46"/>
      <c r="AA21" s="46"/>
      <c r="AB21" s="46"/>
      <c r="AC21" s="69"/>
      <c r="AD21" s="46"/>
      <c r="AE21" s="46"/>
      <c r="AF21" s="70"/>
      <c r="AG21" s="46"/>
      <c r="AH21" s="70"/>
      <c r="AI21" s="46"/>
      <c r="AJ21" s="46"/>
      <c r="AK21" s="46"/>
      <c r="AL21" s="46"/>
      <c r="AM21" s="46"/>
      <c r="AN21" s="46"/>
      <c r="AO21" s="46"/>
      <c r="AP21" s="46"/>
      <c r="AQ21" s="69"/>
      <c r="AR21" s="69"/>
      <c r="AS21" s="69"/>
      <c r="AT21" s="69"/>
      <c r="AU21" s="69"/>
      <c r="AV21" s="69"/>
      <c r="AW21" s="69"/>
      <c r="AX21" s="71"/>
    </row>
    <row r="22" spans="2:50" ht="16.5" customHeight="1" thickBot="1" x14ac:dyDescent="0.3">
      <c r="B22" s="1" t="s">
        <v>2</v>
      </c>
      <c r="C22" s="10"/>
      <c r="D22">
        <f t="shared" si="1"/>
        <v>0</v>
      </c>
      <c r="F22" s="1" t="s">
        <v>2</v>
      </c>
      <c r="G22" s="78"/>
      <c r="H22" s="46"/>
      <c r="I22" s="46"/>
      <c r="J22" s="70"/>
      <c r="K22" s="69"/>
      <c r="L22" s="46"/>
      <c r="M22" s="46"/>
      <c r="N22" s="46"/>
      <c r="O22" s="69"/>
      <c r="P22" s="70"/>
      <c r="Q22" s="69"/>
      <c r="R22" s="46"/>
      <c r="S22" s="46"/>
      <c r="T22" s="46"/>
      <c r="U22" s="46"/>
      <c r="V22" s="46"/>
      <c r="W22" s="46"/>
      <c r="X22" s="70"/>
      <c r="Y22" s="78"/>
      <c r="Z22" s="46"/>
      <c r="AA22" s="46"/>
      <c r="AB22" s="46"/>
      <c r="AC22" s="69"/>
      <c r="AD22" s="46"/>
      <c r="AE22" s="46"/>
      <c r="AF22" s="70"/>
      <c r="AG22" s="46"/>
      <c r="AH22" s="70"/>
      <c r="AI22" s="46"/>
      <c r="AJ22" s="46"/>
      <c r="AK22" s="46"/>
      <c r="AL22" s="46"/>
      <c r="AM22" s="46"/>
      <c r="AN22" s="46"/>
      <c r="AO22" s="46"/>
      <c r="AP22" s="46"/>
      <c r="AQ22" s="69"/>
      <c r="AR22" s="69"/>
      <c r="AS22" s="69"/>
      <c r="AT22" s="69"/>
      <c r="AU22" s="69"/>
      <c r="AV22" s="69"/>
      <c r="AW22" s="69"/>
      <c r="AX22" s="71"/>
    </row>
    <row r="23" spans="2:50" ht="16.5" customHeight="1" thickBot="1" x14ac:dyDescent="0.3">
      <c r="B23" s="1" t="s">
        <v>3</v>
      </c>
      <c r="C23" s="10"/>
      <c r="D23" s="7">
        <f t="shared" si="1"/>
        <v>0</v>
      </c>
      <c r="F23" s="1" t="s">
        <v>3</v>
      </c>
      <c r="G23" s="79"/>
      <c r="H23" s="73"/>
      <c r="I23" s="73"/>
      <c r="J23" s="74"/>
      <c r="K23" s="72"/>
      <c r="L23" s="73"/>
      <c r="M23" s="73"/>
      <c r="N23" s="73"/>
      <c r="O23" s="72"/>
      <c r="P23" s="74"/>
      <c r="Q23" s="72"/>
      <c r="R23" s="73"/>
      <c r="S23" s="73"/>
      <c r="T23" s="73"/>
      <c r="U23" s="73"/>
      <c r="V23" s="73"/>
      <c r="W23" s="73"/>
      <c r="X23" s="74"/>
      <c r="Y23" s="79"/>
      <c r="Z23" s="73"/>
      <c r="AA23" s="73"/>
      <c r="AB23" s="73"/>
      <c r="AC23" s="72"/>
      <c r="AD23" s="73"/>
      <c r="AE23" s="73"/>
      <c r="AF23" s="74"/>
      <c r="AG23" s="73"/>
      <c r="AH23" s="74"/>
      <c r="AI23" s="73"/>
      <c r="AJ23" s="73"/>
      <c r="AK23" s="73"/>
      <c r="AL23" s="73"/>
      <c r="AM23" s="73"/>
      <c r="AN23" s="73"/>
      <c r="AO23" s="73"/>
      <c r="AP23" s="73"/>
      <c r="AQ23" s="72"/>
      <c r="AR23" s="72"/>
      <c r="AS23" s="72"/>
      <c r="AT23" s="72"/>
      <c r="AU23" s="72"/>
      <c r="AV23" s="72"/>
      <c r="AW23" s="72"/>
      <c r="AX23" s="75"/>
    </row>
    <row r="24" spans="2:50" ht="21" customHeight="1" x14ac:dyDescent="0.25">
      <c r="B24" s="2"/>
      <c r="C24" s="3" t="s">
        <v>25</v>
      </c>
      <c r="D24" s="9">
        <f>SUM(D20:D23)</f>
        <v>0</v>
      </c>
      <c r="G24" s="80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80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</row>
    <row r="25" spans="2:50" x14ac:dyDescent="0.25"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</row>
    <row r="26" spans="2:50" ht="15.75" x14ac:dyDescent="0.25">
      <c r="G26" s="100" t="s">
        <v>22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1" t="s">
        <v>21</v>
      </c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46"/>
      <c r="AR26" s="46"/>
      <c r="AS26" s="46"/>
      <c r="AT26" s="46"/>
      <c r="AU26" s="46"/>
      <c r="AV26" s="46"/>
      <c r="AW26" s="46"/>
      <c r="AX26" s="46"/>
    </row>
    <row r="27" spans="2:50" ht="32.25" thickBot="1" x14ac:dyDescent="0.3">
      <c r="G27" s="102" t="s">
        <v>14</v>
      </c>
      <c r="H27" s="102"/>
      <c r="I27" s="102"/>
      <c r="J27" s="102"/>
      <c r="K27" s="102" t="s">
        <v>15</v>
      </c>
      <c r="L27" s="102"/>
      <c r="M27" s="102"/>
      <c r="N27" s="102"/>
      <c r="O27" s="102" t="s">
        <v>59</v>
      </c>
      <c r="P27" s="102"/>
      <c r="Q27" s="102" t="s">
        <v>16</v>
      </c>
      <c r="R27" s="102"/>
      <c r="S27" s="102"/>
      <c r="T27" s="102"/>
      <c r="U27" s="102"/>
      <c r="V27" s="102"/>
      <c r="W27" s="102"/>
      <c r="X27" s="102"/>
      <c r="Y27" s="102" t="s">
        <v>14</v>
      </c>
      <c r="Z27" s="102"/>
      <c r="AA27" s="102"/>
      <c r="AB27" s="102"/>
      <c r="AC27" s="102" t="s">
        <v>15</v>
      </c>
      <c r="AD27" s="102"/>
      <c r="AE27" s="102"/>
      <c r="AF27" s="102"/>
      <c r="AG27" s="102" t="s">
        <v>59</v>
      </c>
      <c r="AH27" s="102"/>
      <c r="AI27" s="102" t="s">
        <v>16</v>
      </c>
      <c r="AJ27" s="102"/>
      <c r="AK27" s="102"/>
      <c r="AL27" s="102"/>
      <c r="AM27" s="102"/>
      <c r="AN27" s="102"/>
      <c r="AO27" s="102"/>
      <c r="AP27" s="102"/>
      <c r="AQ27" s="76" t="s">
        <v>60</v>
      </c>
      <c r="AR27" s="76"/>
      <c r="AS27" s="76" t="s">
        <v>65</v>
      </c>
      <c r="AT27" s="76" t="s">
        <v>61</v>
      </c>
      <c r="AU27" s="76" t="s">
        <v>62</v>
      </c>
      <c r="AV27" s="76" t="s">
        <v>27</v>
      </c>
      <c r="AW27" s="76" t="s">
        <v>64</v>
      </c>
      <c r="AX27" s="76" t="s">
        <v>63</v>
      </c>
    </row>
    <row r="28" spans="2:50" ht="48" thickBot="1" x14ac:dyDescent="0.3">
      <c r="B28" s="20">
        <v>2.0833333333333332E-2</v>
      </c>
      <c r="C28" s="14" t="s">
        <v>13</v>
      </c>
      <c r="D28" s="8" t="s">
        <v>6</v>
      </c>
      <c r="F28" s="13"/>
      <c r="G28" s="63" t="s">
        <v>20</v>
      </c>
      <c r="H28" s="64" t="s">
        <v>17</v>
      </c>
      <c r="I28" s="64" t="s">
        <v>19</v>
      </c>
      <c r="J28" s="64" t="s">
        <v>18</v>
      </c>
      <c r="K28" s="64" t="s">
        <v>52</v>
      </c>
      <c r="L28" s="64" t="s">
        <v>51</v>
      </c>
      <c r="M28" s="64" t="s">
        <v>53</v>
      </c>
      <c r="N28" s="64" t="s">
        <v>54</v>
      </c>
      <c r="O28" s="64" t="s">
        <v>20</v>
      </c>
      <c r="P28" s="64" t="s">
        <v>19</v>
      </c>
      <c r="Q28" s="64" t="s">
        <v>55</v>
      </c>
      <c r="R28" s="64" t="s">
        <v>56</v>
      </c>
      <c r="S28" s="64" t="s">
        <v>52</v>
      </c>
      <c r="T28" s="64" t="s">
        <v>51</v>
      </c>
      <c r="U28" s="64" t="s">
        <v>57</v>
      </c>
      <c r="V28" s="64" t="s">
        <v>58</v>
      </c>
      <c r="W28" s="64" t="s">
        <v>53</v>
      </c>
      <c r="X28" s="64" t="s">
        <v>54</v>
      </c>
      <c r="Y28" s="63" t="s">
        <v>20</v>
      </c>
      <c r="Z28" s="64" t="s">
        <v>17</v>
      </c>
      <c r="AA28" s="64" t="s">
        <v>19</v>
      </c>
      <c r="AB28" s="64" t="s">
        <v>18</v>
      </c>
      <c r="AC28" s="64" t="s">
        <v>52</v>
      </c>
      <c r="AD28" s="64" t="s">
        <v>51</v>
      </c>
      <c r="AE28" s="64" t="s">
        <v>53</v>
      </c>
      <c r="AF28" s="64" t="s">
        <v>54</v>
      </c>
      <c r="AG28" s="64" t="s">
        <v>20</v>
      </c>
      <c r="AH28" s="64" t="s">
        <v>19</v>
      </c>
      <c r="AI28" s="64" t="s">
        <v>55</v>
      </c>
      <c r="AJ28" s="64" t="s">
        <v>56</v>
      </c>
      <c r="AK28" s="64" t="s">
        <v>52</v>
      </c>
      <c r="AL28" s="64" t="s">
        <v>51</v>
      </c>
      <c r="AM28" s="64" t="s">
        <v>57</v>
      </c>
      <c r="AN28" s="64" t="s">
        <v>58</v>
      </c>
      <c r="AO28" s="64" t="s">
        <v>53</v>
      </c>
      <c r="AP28" s="64" t="s">
        <v>54</v>
      </c>
      <c r="AQ28" s="46"/>
      <c r="AR28" s="46"/>
      <c r="AS28" s="46"/>
      <c r="AT28" s="46"/>
      <c r="AU28" s="46"/>
      <c r="AV28" s="46"/>
      <c r="AW28" s="46"/>
      <c r="AX28" s="46"/>
    </row>
    <row r="29" spans="2:50" ht="16.5" customHeight="1" thickBot="1" x14ac:dyDescent="0.3">
      <c r="B29" s="1" t="s">
        <v>0</v>
      </c>
      <c r="C29" s="10"/>
      <c r="D29">
        <f>C29</f>
        <v>0</v>
      </c>
      <c r="F29" s="12" t="s">
        <v>0</v>
      </c>
      <c r="G29" s="77"/>
      <c r="H29" s="66"/>
      <c r="I29" s="66"/>
      <c r="J29" s="67"/>
      <c r="K29" s="65"/>
      <c r="L29" s="66"/>
      <c r="M29" s="66"/>
      <c r="N29" s="66"/>
      <c r="O29" s="65"/>
      <c r="P29" s="67"/>
      <c r="Q29" s="65"/>
      <c r="R29" s="66"/>
      <c r="S29" s="66"/>
      <c r="T29" s="66"/>
      <c r="U29" s="66"/>
      <c r="V29" s="66"/>
      <c r="W29" s="66"/>
      <c r="X29" s="67"/>
      <c r="Y29" s="77"/>
      <c r="Z29" s="66"/>
      <c r="AA29" s="66"/>
      <c r="AB29" s="66"/>
      <c r="AC29" s="65"/>
      <c r="AD29" s="66"/>
      <c r="AE29" s="66"/>
      <c r="AF29" s="67"/>
      <c r="AG29" s="66"/>
      <c r="AH29" s="67"/>
      <c r="AI29" s="66"/>
      <c r="AJ29" s="66"/>
      <c r="AK29" s="66"/>
      <c r="AL29" s="66"/>
      <c r="AM29" s="66"/>
      <c r="AN29" s="66"/>
      <c r="AO29" s="66"/>
      <c r="AP29" s="66"/>
      <c r="AQ29" s="65"/>
      <c r="AR29" s="65"/>
      <c r="AS29" s="65"/>
      <c r="AT29" s="65"/>
      <c r="AU29" s="65"/>
      <c r="AV29" s="65"/>
      <c r="AW29" s="65"/>
      <c r="AX29" s="68"/>
    </row>
    <row r="30" spans="2:50" ht="16.5" customHeight="1" thickBot="1" x14ac:dyDescent="0.3">
      <c r="B30" s="1" t="s">
        <v>1</v>
      </c>
      <c r="C30" s="10"/>
      <c r="D30">
        <f t="shared" ref="D30:D32" si="2">C30</f>
        <v>0</v>
      </c>
      <c r="F30" s="1" t="s">
        <v>1</v>
      </c>
      <c r="G30" s="78"/>
      <c r="H30" s="46"/>
      <c r="I30" s="46"/>
      <c r="J30" s="70"/>
      <c r="K30" s="69"/>
      <c r="L30" s="46"/>
      <c r="M30" s="46"/>
      <c r="N30" s="46"/>
      <c r="O30" s="69"/>
      <c r="P30" s="70"/>
      <c r="Q30" s="69"/>
      <c r="R30" s="46"/>
      <c r="S30" s="46"/>
      <c r="T30" s="46"/>
      <c r="U30" s="46"/>
      <c r="V30" s="46"/>
      <c r="W30" s="46"/>
      <c r="X30" s="70"/>
      <c r="Y30" s="78"/>
      <c r="Z30" s="46"/>
      <c r="AA30" s="46"/>
      <c r="AB30" s="46"/>
      <c r="AC30" s="69"/>
      <c r="AD30" s="46"/>
      <c r="AE30" s="46"/>
      <c r="AF30" s="70"/>
      <c r="AG30" s="46"/>
      <c r="AH30" s="70"/>
      <c r="AI30" s="46"/>
      <c r="AJ30" s="46"/>
      <c r="AK30" s="46"/>
      <c r="AL30" s="46"/>
      <c r="AM30" s="46"/>
      <c r="AN30" s="46"/>
      <c r="AO30" s="46"/>
      <c r="AP30" s="46"/>
      <c r="AQ30" s="69"/>
      <c r="AR30" s="69"/>
      <c r="AS30" s="69"/>
      <c r="AT30" s="69"/>
      <c r="AU30" s="69"/>
      <c r="AV30" s="69"/>
      <c r="AW30" s="69"/>
      <c r="AX30" s="71"/>
    </row>
    <row r="31" spans="2:50" ht="16.5" customHeight="1" thickBot="1" x14ac:dyDescent="0.3">
      <c r="B31" s="1" t="s">
        <v>2</v>
      </c>
      <c r="C31" s="10"/>
      <c r="D31">
        <f t="shared" si="2"/>
        <v>0</v>
      </c>
      <c r="F31" s="1" t="s">
        <v>2</v>
      </c>
      <c r="G31" s="78"/>
      <c r="H31" s="46"/>
      <c r="I31" s="46"/>
      <c r="J31" s="70"/>
      <c r="K31" s="69"/>
      <c r="L31" s="46"/>
      <c r="M31" s="46"/>
      <c r="N31" s="46"/>
      <c r="O31" s="69"/>
      <c r="P31" s="70"/>
      <c r="Q31" s="69"/>
      <c r="R31" s="46"/>
      <c r="S31" s="46"/>
      <c r="T31" s="46"/>
      <c r="U31" s="46"/>
      <c r="V31" s="46"/>
      <c r="W31" s="46"/>
      <c r="X31" s="70"/>
      <c r="Y31" s="78"/>
      <c r="Z31" s="46"/>
      <c r="AA31" s="46"/>
      <c r="AB31" s="46"/>
      <c r="AC31" s="69"/>
      <c r="AD31" s="46"/>
      <c r="AE31" s="46"/>
      <c r="AF31" s="70"/>
      <c r="AG31" s="46"/>
      <c r="AH31" s="70"/>
      <c r="AI31" s="46"/>
      <c r="AJ31" s="46"/>
      <c r="AK31" s="46"/>
      <c r="AL31" s="46"/>
      <c r="AM31" s="46"/>
      <c r="AN31" s="46"/>
      <c r="AO31" s="46"/>
      <c r="AP31" s="46"/>
      <c r="AQ31" s="69"/>
      <c r="AR31" s="69"/>
      <c r="AS31" s="69"/>
      <c r="AT31" s="69"/>
      <c r="AU31" s="69"/>
      <c r="AV31" s="69"/>
      <c r="AW31" s="69"/>
      <c r="AX31" s="71"/>
    </row>
    <row r="32" spans="2:50" ht="16.5" customHeight="1" thickBot="1" x14ac:dyDescent="0.3">
      <c r="B32" s="1" t="s">
        <v>3</v>
      </c>
      <c r="C32" s="10"/>
      <c r="D32" s="7">
        <f t="shared" si="2"/>
        <v>0</v>
      </c>
      <c r="F32" s="1" t="s">
        <v>3</v>
      </c>
      <c r="G32" s="79"/>
      <c r="H32" s="73"/>
      <c r="I32" s="73"/>
      <c r="J32" s="74"/>
      <c r="K32" s="72"/>
      <c r="L32" s="73"/>
      <c r="M32" s="73"/>
      <c r="N32" s="73"/>
      <c r="O32" s="72"/>
      <c r="P32" s="74"/>
      <c r="Q32" s="72"/>
      <c r="R32" s="73"/>
      <c r="S32" s="73"/>
      <c r="T32" s="73"/>
      <c r="U32" s="73"/>
      <c r="V32" s="73"/>
      <c r="W32" s="73"/>
      <c r="X32" s="74"/>
      <c r="Y32" s="79"/>
      <c r="Z32" s="73"/>
      <c r="AA32" s="73"/>
      <c r="AB32" s="73"/>
      <c r="AC32" s="72"/>
      <c r="AD32" s="73"/>
      <c r="AE32" s="73"/>
      <c r="AF32" s="74"/>
      <c r="AG32" s="73"/>
      <c r="AH32" s="74"/>
      <c r="AI32" s="73"/>
      <c r="AJ32" s="73"/>
      <c r="AK32" s="73"/>
      <c r="AL32" s="73"/>
      <c r="AM32" s="73"/>
      <c r="AN32" s="73"/>
      <c r="AO32" s="73"/>
      <c r="AP32" s="73"/>
      <c r="AQ32" s="72"/>
      <c r="AR32" s="72"/>
      <c r="AS32" s="72"/>
      <c r="AT32" s="72"/>
      <c r="AU32" s="72"/>
      <c r="AV32" s="72"/>
      <c r="AW32" s="72"/>
      <c r="AX32" s="75"/>
    </row>
    <row r="33" spans="2:50" ht="21" customHeight="1" x14ac:dyDescent="0.25">
      <c r="B33" s="2"/>
      <c r="C33" s="3" t="s">
        <v>25</v>
      </c>
      <c r="D33" s="9">
        <f>SUM(D29:D32)</f>
        <v>0</v>
      </c>
      <c r="G33" s="80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80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</row>
    <row r="34" spans="2:50" x14ac:dyDescent="0.25"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</row>
    <row r="35" spans="2:50" ht="15.75" x14ac:dyDescent="0.25">
      <c r="G35" s="100" t="s">
        <v>22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1" t="s">
        <v>21</v>
      </c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46"/>
      <c r="AR35" s="46"/>
      <c r="AS35" s="46"/>
      <c r="AT35" s="46"/>
      <c r="AU35" s="46"/>
      <c r="AV35" s="46"/>
      <c r="AW35" s="46"/>
      <c r="AX35" s="46"/>
    </row>
    <row r="36" spans="2:50" ht="32.25" thickBot="1" x14ac:dyDescent="0.3">
      <c r="G36" s="102" t="s">
        <v>14</v>
      </c>
      <c r="H36" s="102"/>
      <c r="I36" s="102"/>
      <c r="J36" s="102"/>
      <c r="K36" s="102" t="s">
        <v>15</v>
      </c>
      <c r="L36" s="102"/>
      <c r="M36" s="102"/>
      <c r="N36" s="102"/>
      <c r="O36" s="102" t="s">
        <v>59</v>
      </c>
      <c r="P36" s="102"/>
      <c r="Q36" s="102" t="s">
        <v>16</v>
      </c>
      <c r="R36" s="102"/>
      <c r="S36" s="102"/>
      <c r="T36" s="102"/>
      <c r="U36" s="102"/>
      <c r="V36" s="102"/>
      <c r="W36" s="102"/>
      <c r="X36" s="102"/>
      <c r="Y36" s="102" t="s">
        <v>14</v>
      </c>
      <c r="Z36" s="102"/>
      <c r="AA36" s="102"/>
      <c r="AB36" s="102"/>
      <c r="AC36" s="102" t="s">
        <v>15</v>
      </c>
      <c r="AD36" s="102"/>
      <c r="AE36" s="102"/>
      <c r="AF36" s="102"/>
      <c r="AG36" s="102" t="s">
        <v>59</v>
      </c>
      <c r="AH36" s="102"/>
      <c r="AI36" s="102" t="s">
        <v>16</v>
      </c>
      <c r="AJ36" s="102"/>
      <c r="AK36" s="102"/>
      <c r="AL36" s="102"/>
      <c r="AM36" s="102"/>
      <c r="AN36" s="102"/>
      <c r="AO36" s="102"/>
      <c r="AP36" s="102"/>
      <c r="AQ36" s="76" t="s">
        <v>60</v>
      </c>
      <c r="AR36" s="76"/>
      <c r="AS36" s="76" t="s">
        <v>65</v>
      </c>
      <c r="AT36" s="76" t="s">
        <v>61</v>
      </c>
      <c r="AU36" s="76" t="s">
        <v>62</v>
      </c>
      <c r="AV36" s="76" t="s">
        <v>27</v>
      </c>
      <c r="AW36" s="76" t="s">
        <v>64</v>
      </c>
      <c r="AX36" s="76" t="s">
        <v>63</v>
      </c>
    </row>
    <row r="37" spans="2:50" ht="48" thickBot="1" x14ac:dyDescent="0.3">
      <c r="B37" s="20">
        <v>3.125E-2</v>
      </c>
      <c r="C37" s="14" t="s">
        <v>13</v>
      </c>
      <c r="D37" s="8" t="s">
        <v>6</v>
      </c>
      <c r="F37" s="13"/>
      <c r="G37" s="63" t="s">
        <v>20</v>
      </c>
      <c r="H37" s="64" t="s">
        <v>17</v>
      </c>
      <c r="I37" s="64" t="s">
        <v>19</v>
      </c>
      <c r="J37" s="64" t="s">
        <v>18</v>
      </c>
      <c r="K37" s="64" t="s">
        <v>52</v>
      </c>
      <c r="L37" s="64" t="s">
        <v>51</v>
      </c>
      <c r="M37" s="64" t="s">
        <v>53</v>
      </c>
      <c r="N37" s="64" t="s">
        <v>54</v>
      </c>
      <c r="O37" s="64" t="s">
        <v>20</v>
      </c>
      <c r="P37" s="64" t="s">
        <v>19</v>
      </c>
      <c r="Q37" s="64" t="s">
        <v>55</v>
      </c>
      <c r="R37" s="64" t="s">
        <v>56</v>
      </c>
      <c r="S37" s="64" t="s">
        <v>52</v>
      </c>
      <c r="T37" s="64" t="s">
        <v>51</v>
      </c>
      <c r="U37" s="64" t="s">
        <v>57</v>
      </c>
      <c r="V37" s="64" t="s">
        <v>58</v>
      </c>
      <c r="W37" s="64" t="s">
        <v>53</v>
      </c>
      <c r="X37" s="64" t="s">
        <v>54</v>
      </c>
      <c r="Y37" s="63" t="s">
        <v>20</v>
      </c>
      <c r="Z37" s="64" t="s">
        <v>17</v>
      </c>
      <c r="AA37" s="64" t="s">
        <v>19</v>
      </c>
      <c r="AB37" s="64" t="s">
        <v>18</v>
      </c>
      <c r="AC37" s="64" t="s">
        <v>52</v>
      </c>
      <c r="AD37" s="64" t="s">
        <v>51</v>
      </c>
      <c r="AE37" s="64" t="s">
        <v>53</v>
      </c>
      <c r="AF37" s="64" t="s">
        <v>54</v>
      </c>
      <c r="AG37" s="64" t="s">
        <v>20</v>
      </c>
      <c r="AH37" s="64" t="s">
        <v>19</v>
      </c>
      <c r="AI37" s="64" t="s">
        <v>55</v>
      </c>
      <c r="AJ37" s="64" t="s">
        <v>56</v>
      </c>
      <c r="AK37" s="64" t="s">
        <v>52</v>
      </c>
      <c r="AL37" s="64" t="s">
        <v>51</v>
      </c>
      <c r="AM37" s="64" t="s">
        <v>57</v>
      </c>
      <c r="AN37" s="64" t="s">
        <v>58</v>
      </c>
      <c r="AO37" s="64" t="s">
        <v>53</v>
      </c>
      <c r="AP37" s="64" t="s">
        <v>54</v>
      </c>
      <c r="AQ37" s="46"/>
      <c r="AR37" s="46"/>
      <c r="AS37" s="46"/>
      <c r="AT37" s="46"/>
      <c r="AU37" s="46"/>
      <c r="AV37" s="46"/>
      <c r="AW37" s="46"/>
      <c r="AX37" s="46"/>
    </row>
    <row r="38" spans="2:50" ht="16.5" customHeight="1" thickBot="1" x14ac:dyDescent="0.3">
      <c r="B38" s="1" t="s">
        <v>0</v>
      </c>
      <c r="C38" s="10"/>
      <c r="D38">
        <f>C38</f>
        <v>0</v>
      </c>
      <c r="F38" s="12" t="s">
        <v>0</v>
      </c>
      <c r="G38" s="77"/>
      <c r="H38" s="66"/>
      <c r="I38" s="66"/>
      <c r="J38" s="67"/>
      <c r="K38" s="65"/>
      <c r="L38" s="66"/>
      <c r="M38" s="66"/>
      <c r="N38" s="66"/>
      <c r="O38" s="65"/>
      <c r="P38" s="67"/>
      <c r="Q38" s="65"/>
      <c r="R38" s="66"/>
      <c r="S38" s="66"/>
      <c r="T38" s="66"/>
      <c r="U38" s="66"/>
      <c r="V38" s="66"/>
      <c r="W38" s="66"/>
      <c r="X38" s="67"/>
      <c r="Y38" s="77"/>
      <c r="Z38" s="66"/>
      <c r="AA38" s="66"/>
      <c r="AB38" s="66"/>
      <c r="AC38" s="65"/>
      <c r="AD38" s="66"/>
      <c r="AE38" s="66"/>
      <c r="AF38" s="67"/>
      <c r="AG38" s="66"/>
      <c r="AH38" s="67"/>
      <c r="AI38" s="66"/>
      <c r="AJ38" s="66"/>
      <c r="AK38" s="66"/>
      <c r="AL38" s="66"/>
      <c r="AM38" s="66"/>
      <c r="AN38" s="66"/>
      <c r="AO38" s="66"/>
      <c r="AP38" s="66"/>
      <c r="AQ38" s="65"/>
      <c r="AR38" s="65"/>
      <c r="AS38" s="65"/>
      <c r="AT38" s="65"/>
      <c r="AU38" s="65"/>
      <c r="AV38" s="65"/>
      <c r="AW38" s="65"/>
      <c r="AX38" s="68"/>
    </row>
    <row r="39" spans="2:50" ht="16.5" customHeight="1" thickBot="1" x14ac:dyDescent="0.3">
      <c r="B39" s="1" t="s">
        <v>1</v>
      </c>
      <c r="C39" s="10"/>
      <c r="D39">
        <f t="shared" ref="D39:D41" si="3">C39</f>
        <v>0</v>
      </c>
      <c r="F39" s="1" t="s">
        <v>1</v>
      </c>
      <c r="G39" s="78"/>
      <c r="H39" s="46"/>
      <c r="I39" s="46"/>
      <c r="J39" s="70"/>
      <c r="K39" s="69"/>
      <c r="L39" s="46"/>
      <c r="M39" s="46"/>
      <c r="N39" s="46"/>
      <c r="O39" s="69"/>
      <c r="P39" s="70"/>
      <c r="Q39" s="69"/>
      <c r="R39" s="46"/>
      <c r="S39" s="46"/>
      <c r="T39" s="46"/>
      <c r="U39" s="46"/>
      <c r="V39" s="46"/>
      <c r="W39" s="46"/>
      <c r="X39" s="70"/>
      <c r="Y39" s="78"/>
      <c r="Z39" s="46"/>
      <c r="AA39" s="46"/>
      <c r="AB39" s="46"/>
      <c r="AC39" s="69"/>
      <c r="AD39" s="46"/>
      <c r="AE39" s="46"/>
      <c r="AF39" s="70"/>
      <c r="AG39" s="46"/>
      <c r="AH39" s="70"/>
      <c r="AI39" s="46"/>
      <c r="AJ39" s="46"/>
      <c r="AK39" s="46"/>
      <c r="AL39" s="46"/>
      <c r="AM39" s="46"/>
      <c r="AN39" s="46"/>
      <c r="AO39" s="46"/>
      <c r="AP39" s="46"/>
      <c r="AQ39" s="69"/>
      <c r="AR39" s="69"/>
      <c r="AS39" s="69"/>
      <c r="AT39" s="69"/>
      <c r="AU39" s="69"/>
      <c r="AV39" s="69"/>
      <c r="AW39" s="69"/>
      <c r="AX39" s="71"/>
    </row>
    <row r="40" spans="2:50" ht="16.5" customHeight="1" thickBot="1" x14ac:dyDescent="0.3">
      <c r="B40" s="1" t="s">
        <v>2</v>
      </c>
      <c r="C40" s="10"/>
      <c r="D40">
        <f t="shared" si="3"/>
        <v>0</v>
      </c>
      <c r="F40" s="1" t="s">
        <v>2</v>
      </c>
      <c r="G40" s="78"/>
      <c r="H40" s="46"/>
      <c r="I40" s="46"/>
      <c r="J40" s="70"/>
      <c r="K40" s="69"/>
      <c r="L40" s="46"/>
      <c r="M40" s="46"/>
      <c r="N40" s="46"/>
      <c r="O40" s="69"/>
      <c r="P40" s="70"/>
      <c r="Q40" s="69"/>
      <c r="R40" s="46"/>
      <c r="S40" s="46"/>
      <c r="T40" s="46"/>
      <c r="U40" s="46"/>
      <c r="V40" s="46"/>
      <c r="W40" s="46"/>
      <c r="X40" s="70"/>
      <c r="Y40" s="78"/>
      <c r="Z40" s="46"/>
      <c r="AA40" s="46"/>
      <c r="AB40" s="46"/>
      <c r="AC40" s="69"/>
      <c r="AD40" s="46"/>
      <c r="AE40" s="46"/>
      <c r="AF40" s="70"/>
      <c r="AG40" s="46"/>
      <c r="AH40" s="70"/>
      <c r="AI40" s="46"/>
      <c r="AJ40" s="46"/>
      <c r="AK40" s="46"/>
      <c r="AL40" s="46"/>
      <c r="AM40" s="46"/>
      <c r="AN40" s="46"/>
      <c r="AO40" s="46"/>
      <c r="AP40" s="46"/>
      <c r="AQ40" s="69"/>
      <c r="AR40" s="69"/>
      <c r="AS40" s="69"/>
      <c r="AT40" s="69"/>
      <c r="AU40" s="69"/>
      <c r="AV40" s="69"/>
      <c r="AW40" s="69"/>
      <c r="AX40" s="71"/>
    </row>
    <row r="41" spans="2:50" ht="16.5" customHeight="1" thickBot="1" x14ac:dyDescent="0.3">
      <c r="B41" s="1" t="s">
        <v>3</v>
      </c>
      <c r="C41" s="10"/>
      <c r="D41" s="7">
        <f t="shared" si="3"/>
        <v>0</v>
      </c>
      <c r="F41" s="1" t="s">
        <v>3</v>
      </c>
      <c r="G41" s="79"/>
      <c r="H41" s="73"/>
      <c r="I41" s="73"/>
      <c r="J41" s="74"/>
      <c r="K41" s="72"/>
      <c r="L41" s="73"/>
      <c r="M41" s="73"/>
      <c r="N41" s="73"/>
      <c r="O41" s="72"/>
      <c r="P41" s="74"/>
      <c r="Q41" s="72"/>
      <c r="R41" s="73"/>
      <c r="S41" s="73"/>
      <c r="T41" s="73"/>
      <c r="U41" s="73"/>
      <c r="V41" s="73"/>
      <c r="W41" s="73"/>
      <c r="X41" s="74"/>
      <c r="Y41" s="79"/>
      <c r="Z41" s="73"/>
      <c r="AA41" s="73"/>
      <c r="AB41" s="73"/>
      <c r="AC41" s="72"/>
      <c r="AD41" s="73"/>
      <c r="AE41" s="73"/>
      <c r="AF41" s="74"/>
      <c r="AG41" s="73"/>
      <c r="AH41" s="74"/>
      <c r="AI41" s="73"/>
      <c r="AJ41" s="73"/>
      <c r="AK41" s="73"/>
      <c r="AL41" s="73"/>
      <c r="AM41" s="73"/>
      <c r="AN41" s="73"/>
      <c r="AO41" s="73"/>
      <c r="AP41" s="73"/>
      <c r="AQ41" s="72"/>
      <c r="AR41" s="72"/>
      <c r="AS41" s="72"/>
      <c r="AT41" s="72"/>
      <c r="AU41" s="72"/>
      <c r="AV41" s="72"/>
      <c r="AW41" s="72"/>
      <c r="AX41" s="75"/>
    </row>
    <row r="42" spans="2:50" ht="21" customHeight="1" x14ac:dyDescent="0.25">
      <c r="B42" s="2"/>
      <c r="C42" s="3" t="s">
        <v>25</v>
      </c>
      <c r="D42" s="9">
        <f>SUM(D38:D41)</f>
        <v>0</v>
      </c>
      <c r="G42" s="80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80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</row>
    <row r="43" spans="2:50" x14ac:dyDescent="0.25"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</row>
    <row r="44" spans="2:50" ht="15.75" x14ac:dyDescent="0.25">
      <c r="G44" s="100" t="s">
        <v>22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1" t="s">
        <v>21</v>
      </c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46"/>
      <c r="AR44" s="46"/>
      <c r="AS44" s="46"/>
      <c r="AT44" s="46"/>
      <c r="AU44" s="46"/>
      <c r="AV44" s="46"/>
      <c r="AW44" s="46"/>
      <c r="AX44" s="46"/>
    </row>
    <row r="45" spans="2:50" ht="32.25" thickBot="1" x14ac:dyDescent="0.3">
      <c r="G45" s="102" t="s">
        <v>14</v>
      </c>
      <c r="H45" s="102"/>
      <c r="I45" s="102"/>
      <c r="J45" s="102"/>
      <c r="K45" s="102" t="s">
        <v>15</v>
      </c>
      <c r="L45" s="102"/>
      <c r="M45" s="102"/>
      <c r="N45" s="102"/>
      <c r="O45" s="102" t="s">
        <v>59</v>
      </c>
      <c r="P45" s="102"/>
      <c r="Q45" s="102" t="s">
        <v>16</v>
      </c>
      <c r="R45" s="102"/>
      <c r="S45" s="102"/>
      <c r="T45" s="102"/>
      <c r="U45" s="102"/>
      <c r="V45" s="102"/>
      <c r="W45" s="102"/>
      <c r="X45" s="102"/>
      <c r="Y45" s="102" t="s">
        <v>14</v>
      </c>
      <c r="Z45" s="102"/>
      <c r="AA45" s="102"/>
      <c r="AB45" s="102"/>
      <c r="AC45" s="102" t="s">
        <v>15</v>
      </c>
      <c r="AD45" s="102"/>
      <c r="AE45" s="102"/>
      <c r="AF45" s="102"/>
      <c r="AG45" s="102" t="s">
        <v>59</v>
      </c>
      <c r="AH45" s="102"/>
      <c r="AI45" s="102" t="s">
        <v>16</v>
      </c>
      <c r="AJ45" s="102"/>
      <c r="AK45" s="102"/>
      <c r="AL45" s="102"/>
      <c r="AM45" s="102"/>
      <c r="AN45" s="102"/>
      <c r="AO45" s="102"/>
      <c r="AP45" s="102"/>
      <c r="AQ45" s="76" t="s">
        <v>60</v>
      </c>
      <c r="AR45" s="76"/>
      <c r="AS45" s="76" t="s">
        <v>65</v>
      </c>
      <c r="AT45" s="76" t="s">
        <v>61</v>
      </c>
      <c r="AU45" s="76" t="s">
        <v>62</v>
      </c>
      <c r="AV45" s="76" t="s">
        <v>27</v>
      </c>
      <c r="AW45" s="76" t="s">
        <v>64</v>
      </c>
      <c r="AX45" s="76" t="s">
        <v>63</v>
      </c>
    </row>
    <row r="46" spans="2:50" ht="48" thickBot="1" x14ac:dyDescent="0.3">
      <c r="B46" s="21">
        <v>4.1666666666666664E-2</v>
      </c>
      <c r="C46" s="14" t="s">
        <v>13</v>
      </c>
      <c r="D46" s="8" t="s">
        <v>6</v>
      </c>
      <c r="F46" s="13"/>
      <c r="G46" s="63" t="s">
        <v>20</v>
      </c>
      <c r="H46" s="64" t="s">
        <v>17</v>
      </c>
      <c r="I46" s="64" t="s">
        <v>19</v>
      </c>
      <c r="J46" s="64" t="s">
        <v>18</v>
      </c>
      <c r="K46" s="64" t="s">
        <v>52</v>
      </c>
      <c r="L46" s="64" t="s">
        <v>51</v>
      </c>
      <c r="M46" s="64" t="s">
        <v>53</v>
      </c>
      <c r="N46" s="64" t="s">
        <v>54</v>
      </c>
      <c r="O46" s="64" t="s">
        <v>20</v>
      </c>
      <c r="P46" s="64" t="s">
        <v>19</v>
      </c>
      <c r="Q46" s="64" t="s">
        <v>55</v>
      </c>
      <c r="R46" s="64" t="s">
        <v>56</v>
      </c>
      <c r="S46" s="64" t="s">
        <v>52</v>
      </c>
      <c r="T46" s="64" t="s">
        <v>51</v>
      </c>
      <c r="U46" s="64" t="s">
        <v>57</v>
      </c>
      <c r="V46" s="64" t="s">
        <v>58</v>
      </c>
      <c r="W46" s="64" t="s">
        <v>53</v>
      </c>
      <c r="X46" s="64" t="s">
        <v>54</v>
      </c>
      <c r="Y46" s="63" t="s">
        <v>20</v>
      </c>
      <c r="Z46" s="64" t="s">
        <v>17</v>
      </c>
      <c r="AA46" s="64" t="s">
        <v>19</v>
      </c>
      <c r="AB46" s="64" t="s">
        <v>18</v>
      </c>
      <c r="AC46" s="64" t="s">
        <v>52</v>
      </c>
      <c r="AD46" s="64" t="s">
        <v>51</v>
      </c>
      <c r="AE46" s="64" t="s">
        <v>53</v>
      </c>
      <c r="AF46" s="64" t="s">
        <v>54</v>
      </c>
      <c r="AG46" s="64" t="s">
        <v>20</v>
      </c>
      <c r="AH46" s="64" t="s">
        <v>19</v>
      </c>
      <c r="AI46" s="64" t="s">
        <v>55</v>
      </c>
      <c r="AJ46" s="64" t="s">
        <v>56</v>
      </c>
      <c r="AK46" s="64" t="s">
        <v>52</v>
      </c>
      <c r="AL46" s="64" t="s">
        <v>51</v>
      </c>
      <c r="AM46" s="64" t="s">
        <v>57</v>
      </c>
      <c r="AN46" s="64" t="s">
        <v>58</v>
      </c>
      <c r="AO46" s="64" t="s">
        <v>53</v>
      </c>
      <c r="AP46" s="64" t="s">
        <v>54</v>
      </c>
      <c r="AQ46" s="46"/>
      <c r="AR46" s="46"/>
      <c r="AS46" s="46"/>
      <c r="AT46" s="46"/>
      <c r="AU46" s="46"/>
      <c r="AV46" s="46"/>
      <c r="AW46" s="46"/>
      <c r="AX46" s="46"/>
    </row>
    <row r="47" spans="2:50" ht="16.5" customHeight="1" thickBot="1" x14ac:dyDescent="0.3">
      <c r="B47" s="1" t="s">
        <v>0</v>
      </c>
      <c r="C47" s="10"/>
      <c r="D47">
        <f>C47</f>
        <v>0</v>
      </c>
      <c r="F47" s="12" t="s">
        <v>0</v>
      </c>
      <c r="G47" s="77"/>
      <c r="H47" s="66"/>
      <c r="I47" s="66"/>
      <c r="J47" s="67"/>
      <c r="K47" s="65"/>
      <c r="L47" s="66"/>
      <c r="M47" s="66"/>
      <c r="N47" s="66"/>
      <c r="O47" s="65"/>
      <c r="P47" s="67"/>
      <c r="Q47" s="65"/>
      <c r="R47" s="66"/>
      <c r="S47" s="66"/>
      <c r="T47" s="66"/>
      <c r="U47" s="66"/>
      <c r="V47" s="66"/>
      <c r="W47" s="66"/>
      <c r="X47" s="67"/>
      <c r="Y47" s="77"/>
      <c r="Z47" s="66"/>
      <c r="AA47" s="66"/>
      <c r="AB47" s="66"/>
      <c r="AC47" s="65"/>
      <c r="AD47" s="66"/>
      <c r="AE47" s="66"/>
      <c r="AF47" s="67"/>
      <c r="AG47" s="66"/>
      <c r="AH47" s="67"/>
      <c r="AI47" s="66"/>
      <c r="AJ47" s="66"/>
      <c r="AK47" s="66"/>
      <c r="AL47" s="66"/>
      <c r="AM47" s="66"/>
      <c r="AN47" s="66"/>
      <c r="AO47" s="66"/>
      <c r="AP47" s="66"/>
      <c r="AQ47" s="65"/>
      <c r="AR47" s="65"/>
      <c r="AS47" s="65"/>
      <c r="AT47" s="65"/>
      <c r="AU47" s="65"/>
      <c r="AV47" s="65"/>
      <c r="AW47" s="65"/>
      <c r="AX47" s="68"/>
    </row>
    <row r="48" spans="2:50" ht="16.5" customHeight="1" thickBot="1" x14ac:dyDescent="0.3">
      <c r="B48" s="1" t="s">
        <v>1</v>
      </c>
      <c r="C48" s="10"/>
      <c r="D48">
        <f t="shared" ref="D48:D50" si="4">C48</f>
        <v>0</v>
      </c>
      <c r="F48" s="1" t="s">
        <v>1</v>
      </c>
      <c r="G48" s="78"/>
      <c r="H48" s="46"/>
      <c r="I48" s="46"/>
      <c r="J48" s="70"/>
      <c r="K48" s="69"/>
      <c r="L48" s="46"/>
      <c r="M48" s="46"/>
      <c r="N48" s="46"/>
      <c r="O48" s="69"/>
      <c r="P48" s="70"/>
      <c r="Q48" s="69"/>
      <c r="R48" s="46"/>
      <c r="S48" s="46"/>
      <c r="T48" s="46"/>
      <c r="U48" s="46"/>
      <c r="V48" s="46"/>
      <c r="W48" s="46"/>
      <c r="X48" s="70"/>
      <c r="Y48" s="78"/>
      <c r="Z48" s="46"/>
      <c r="AA48" s="46"/>
      <c r="AB48" s="46"/>
      <c r="AC48" s="69"/>
      <c r="AD48" s="46"/>
      <c r="AE48" s="46"/>
      <c r="AF48" s="70"/>
      <c r="AG48" s="46"/>
      <c r="AH48" s="70"/>
      <c r="AI48" s="46"/>
      <c r="AJ48" s="46"/>
      <c r="AK48" s="46"/>
      <c r="AL48" s="46"/>
      <c r="AM48" s="46"/>
      <c r="AN48" s="46"/>
      <c r="AO48" s="46"/>
      <c r="AP48" s="46"/>
      <c r="AQ48" s="69"/>
      <c r="AR48" s="69"/>
      <c r="AS48" s="69"/>
      <c r="AT48" s="69"/>
      <c r="AU48" s="69"/>
      <c r="AV48" s="69"/>
      <c r="AW48" s="69"/>
      <c r="AX48" s="71"/>
    </row>
    <row r="49" spans="2:50" ht="16.5" customHeight="1" thickBot="1" x14ac:dyDescent="0.3">
      <c r="B49" s="1" t="s">
        <v>2</v>
      </c>
      <c r="C49" s="10"/>
      <c r="D49">
        <f t="shared" si="4"/>
        <v>0</v>
      </c>
      <c r="F49" s="1" t="s">
        <v>2</v>
      </c>
      <c r="G49" s="78"/>
      <c r="H49" s="46"/>
      <c r="I49" s="46"/>
      <c r="J49" s="70"/>
      <c r="K49" s="69"/>
      <c r="L49" s="46"/>
      <c r="M49" s="46"/>
      <c r="N49" s="46"/>
      <c r="O49" s="69"/>
      <c r="P49" s="70"/>
      <c r="Q49" s="69"/>
      <c r="R49" s="46"/>
      <c r="S49" s="46"/>
      <c r="T49" s="46"/>
      <c r="U49" s="46"/>
      <c r="V49" s="46"/>
      <c r="W49" s="46"/>
      <c r="X49" s="70"/>
      <c r="Y49" s="78"/>
      <c r="Z49" s="46"/>
      <c r="AA49" s="46"/>
      <c r="AB49" s="46"/>
      <c r="AC49" s="69"/>
      <c r="AD49" s="46"/>
      <c r="AE49" s="46"/>
      <c r="AF49" s="70"/>
      <c r="AG49" s="46"/>
      <c r="AH49" s="70"/>
      <c r="AI49" s="46"/>
      <c r="AJ49" s="46"/>
      <c r="AK49" s="46"/>
      <c r="AL49" s="46"/>
      <c r="AM49" s="46"/>
      <c r="AN49" s="46"/>
      <c r="AO49" s="46"/>
      <c r="AP49" s="46"/>
      <c r="AQ49" s="69"/>
      <c r="AR49" s="69"/>
      <c r="AS49" s="69"/>
      <c r="AT49" s="69"/>
      <c r="AU49" s="69"/>
      <c r="AV49" s="69"/>
      <c r="AW49" s="69"/>
      <c r="AX49" s="71"/>
    </row>
    <row r="50" spans="2:50" ht="16.5" customHeight="1" thickBot="1" x14ac:dyDescent="0.3">
      <c r="B50" s="1" t="s">
        <v>3</v>
      </c>
      <c r="C50" s="10"/>
      <c r="D50" s="7">
        <f t="shared" si="4"/>
        <v>0</v>
      </c>
      <c r="F50" s="1" t="s">
        <v>3</v>
      </c>
      <c r="G50" s="79"/>
      <c r="H50" s="73"/>
      <c r="I50" s="73"/>
      <c r="J50" s="74"/>
      <c r="K50" s="72"/>
      <c r="L50" s="73"/>
      <c r="M50" s="73"/>
      <c r="N50" s="73"/>
      <c r="O50" s="72"/>
      <c r="P50" s="74"/>
      <c r="Q50" s="72"/>
      <c r="R50" s="73"/>
      <c r="S50" s="73"/>
      <c r="T50" s="73"/>
      <c r="U50" s="73"/>
      <c r="V50" s="73"/>
      <c r="W50" s="73"/>
      <c r="X50" s="74"/>
      <c r="Y50" s="79"/>
      <c r="Z50" s="73"/>
      <c r="AA50" s="73"/>
      <c r="AB50" s="73"/>
      <c r="AC50" s="72"/>
      <c r="AD50" s="73"/>
      <c r="AE50" s="73"/>
      <c r="AF50" s="74"/>
      <c r="AG50" s="73"/>
      <c r="AH50" s="74"/>
      <c r="AI50" s="73"/>
      <c r="AJ50" s="73"/>
      <c r="AK50" s="73"/>
      <c r="AL50" s="73"/>
      <c r="AM50" s="73"/>
      <c r="AN50" s="73"/>
      <c r="AO50" s="73"/>
      <c r="AP50" s="73"/>
      <c r="AQ50" s="72"/>
      <c r="AR50" s="72"/>
      <c r="AS50" s="72"/>
      <c r="AT50" s="72"/>
      <c r="AU50" s="72"/>
      <c r="AV50" s="72"/>
      <c r="AW50" s="72"/>
      <c r="AX50" s="75"/>
    </row>
    <row r="51" spans="2:50" ht="21" customHeight="1" x14ac:dyDescent="0.25">
      <c r="B51" s="2"/>
      <c r="C51" s="3" t="s">
        <v>25</v>
      </c>
      <c r="D51" s="9">
        <f>SUM(D47:D50)</f>
        <v>0</v>
      </c>
      <c r="G51" s="80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80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</row>
    <row r="52" spans="2:50" x14ac:dyDescent="0.25"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</row>
    <row r="53" spans="2:50" ht="15.75" x14ac:dyDescent="0.25">
      <c r="G53" s="100" t="s">
        <v>22</v>
      </c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1" t="s">
        <v>21</v>
      </c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46"/>
      <c r="AR53" s="46"/>
      <c r="AS53" s="46"/>
      <c r="AT53" s="46"/>
      <c r="AU53" s="46"/>
      <c r="AV53" s="46"/>
      <c r="AW53" s="46"/>
      <c r="AX53" s="46"/>
    </row>
    <row r="54" spans="2:50" ht="32.25" thickBot="1" x14ac:dyDescent="0.3">
      <c r="G54" s="102" t="s">
        <v>14</v>
      </c>
      <c r="H54" s="102"/>
      <c r="I54" s="102"/>
      <c r="J54" s="102"/>
      <c r="K54" s="102" t="s">
        <v>15</v>
      </c>
      <c r="L54" s="102"/>
      <c r="M54" s="102"/>
      <c r="N54" s="102"/>
      <c r="O54" s="102" t="s">
        <v>59</v>
      </c>
      <c r="P54" s="102"/>
      <c r="Q54" s="102" t="s">
        <v>16</v>
      </c>
      <c r="R54" s="102"/>
      <c r="S54" s="102"/>
      <c r="T54" s="102"/>
      <c r="U54" s="102"/>
      <c r="V54" s="102"/>
      <c r="W54" s="102"/>
      <c r="X54" s="102"/>
      <c r="Y54" s="102" t="s">
        <v>14</v>
      </c>
      <c r="Z54" s="102"/>
      <c r="AA54" s="102"/>
      <c r="AB54" s="102"/>
      <c r="AC54" s="102" t="s">
        <v>15</v>
      </c>
      <c r="AD54" s="102"/>
      <c r="AE54" s="102"/>
      <c r="AF54" s="102"/>
      <c r="AG54" s="102" t="s">
        <v>59</v>
      </c>
      <c r="AH54" s="102"/>
      <c r="AI54" s="102" t="s">
        <v>16</v>
      </c>
      <c r="AJ54" s="102"/>
      <c r="AK54" s="102"/>
      <c r="AL54" s="102"/>
      <c r="AM54" s="102"/>
      <c r="AN54" s="102"/>
      <c r="AO54" s="102"/>
      <c r="AP54" s="102"/>
      <c r="AQ54" s="76" t="s">
        <v>60</v>
      </c>
      <c r="AR54" s="76"/>
      <c r="AS54" s="76" t="s">
        <v>65</v>
      </c>
      <c r="AT54" s="76" t="s">
        <v>61</v>
      </c>
      <c r="AU54" s="76" t="s">
        <v>62</v>
      </c>
      <c r="AV54" s="76" t="s">
        <v>27</v>
      </c>
      <c r="AW54" s="76" t="s">
        <v>64</v>
      </c>
      <c r="AX54" s="76" t="s">
        <v>63</v>
      </c>
    </row>
    <row r="55" spans="2:50" ht="48" thickBot="1" x14ac:dyDescent="0.3">
      <c r="B55" s="21">
        <v>5.2083333333333336E-2</v>
      </c>
      <c r="C55" s="14" t="s">
        <v>13</v>
      </c>
      <c r="D55" s="8" t="s">
        <v>6</v>
      </c>
      <c r="F55" s="13"/>
      <c r="G55" s="63" t="s">
        <v>20</v>
      </c>
      <c r="H55" s="64" t="s">
        <v>17</v>
      </c>
      <c r="I55" s="64" t="s">
        <v>19</v>
      </c>
      <c r="J55" s="64" t="s">
        <v>18</v>
      </c>
      <c r="K55" s="64" t="s">
        <v>52</v>
      </c>
      <c r="L55" s="64" t="s">
        <v>51</v>
      </c>
      <c r="M55" s="64" t="s">
        <v>53</v>
      </c>
      <c r="N55" s="64" t="s">
        <v>54</v>
      </c>
      <c r="O55" s="64" t="s">
        <v>20</v>
      </c>
      <c r="P55" s="64" t="s">
        <v>19</v>
      </c>
      <c r="Q55" s="64" t="s">
        <v>55</v>
      </c>
      <c r="R55" s="64" t="s">
        <v>56</v>
      </c>
      <c r="S55" s="64" t="s">
        <v>52</v>
      </c>
      <c r="T55" s="64" t="s">
        <v>51</v>
      </c>
      <c r="U55" s="64" t="s">
        <v>57</v>
      </c>
      <c r="V55" s="64" t="s">
        <v>58</v>
      </c>
      <c r="W55" s="64" t="s">
        <v>53</v>
      </c>
      <c r="X55" s="64" t="s">
        <v>54</v>
      </c>
      <c r="Y55" s="63" t="s">
        <v>20</v>
      </c>
      <c r="Z55" s="64" t="s">
        <v>17</v>
      </c>
      <c r="AA55" s="64" t="s">
        <v>19</v>
      </c>
      <c r="AB55" s="64" t="s">
        <v>18</v>
      </c>
      <c r="AC55" s="64" t="s">
        <v>52</v>
      </c>
      <c r="AD55" s="64" t="s">
        <v>51</v>
      </c>
      <c r="AE55" s="64" t="s">
        <v>53</v>
      </c>
      <c r="AF55" s="64" t="s">
        <v>54</v>
      </c>
      <c r="AG55" s="64" t="s">
        <v>20</v>
      </c>
      <c r="AH55" s="64" t="s">
        <v>19</v>
      </c>
      <c r="AI55" s="64" t="s">
        <v>55</v>
      </c>
      <c r="AJ55" s="64" t="s">
        <v>56</v>
      </c>
      <c r="AK55" s="64" t="s">
        <v>52</v>
      </c>
      <c r="AL55" s="64" t="s">
        <v>51</v>
      </c>
      <c r="AM55" s="64" t="s">
        <v>57</v>
      </c>
      <c r="AN55" s="64" t="s">
        <v>58</v>
      </c>
      <c r="AO55" s="64" t="s">
        <v>53</v>
      </c>
      <c r="AP55" s="64" t="s">
        <v>54</v>
      </c>
      <c r="AQ55" s="46"/>
      <c r="AR55" s="46"/>
      <c r="AS55" s="46"/>
      <c r="AT55" s="46"/>
      <c r="AU55" s="46"/>
      <c r="AV55" s="46"/>
      <c r="AW55" s="46"/>
      <c r="AX55" s="46"/>
    </row>
    <row r="56" spans="2:50" ht="16.5" customHeight="1" thickBot="1" x14ac:dyDescent="0.3">
      <c r="B56" s="1" t="s">
        <v>0</v>
      </c>
      <c r="C56" s="10"/>
      <c r="D56">
        <f>C56</f>
        <v>0</v>
      </c>
      <c r="F56" s="12" t="s">
        <v>0</v>
      </c>
      <c r="G56" s="77"/>
      <c r="H56" s="66"/>
      <c r="I56" s="66"/>
      <c r="J56" s="67"/>
      <c r="K56" s="65"/>
      <c r="L56" s="66"/>
      <c r="M56" s="66"/>
      <c r="N56" s="66"/>
      <c r="O56" s="65"/>
      <c r="P56" s="67"/>
      <c r="Q56" s="65"/>
      <c r="R56" s="66"/>
      <c r="S56" s="66"/>
      <c r="T56" s="66"/>
      <c r="U56" s="66"/>
      <c r="V56" s="66"/>
      <c r="W56" s="66"/>
      <c r="X56" s="67"/>
      <c r="Y56" s="77"/>
      <c r="Z56" s="66"/>
      <c r="AA56" s="66"/>
      <c r="AB56" s="66"/>
      <c r="AC56" s="65"/>
      <c r="AD56" s="66"/>
      <c r="AE56" s="66"/>
      <c r="AF56" s="67"/>
      <c r="AG56" s="66"/>
      <c r="AH56" s="67"/>
      <c r="AI56" s="66"/>
      <c r="AJ56" s="66"/>
      <c r="AK56" s="66"/>
      <c r="AL56" s="66"/>
      <c r="AM56" s="66"/>
      <c r="AN56" s="66"/>
      <c r="AO56" s="66"/>
      <c r="AP56" s="66"/>
      <c r="AQ56" s="65"/>
      <c r="AR56" s="65"/>
      <c r="AS56" s="65"/>
      <c r="AT56" s="65"/>
      <c r="AU56" s="65"/>
      <c r="AV56" s="65"/>
      <c r="AW56" s="65"/>
      <c r="AX56" s="68"/>
    </row>
    <row r="57" spans="2:50" ht="16.5" customHeight="1" thickBot="1" x14ac:dyDescent="0.3">
      <c r="B57" s="1" t="s">
        <v>1</v>
      </c>
      <c r="C57" s="10"/>
      <c r="D57">
        <f t="shared" ref="D57:D59" si="5">C57</f>
        <v>0</v>
      </c>
      <c r="F57" s="1" t="s">
        <v>1</v>
      </c>
      <c r="G57" s="78"/>
      <c r="H57" s="46"/>
      <c r="I57" s="46"/>
      <c r="J57" s="70"/>
      <c r="K57" s="69"/>
      <c r="L57" s="46"/>
      <c r="M57" s="46"/>
      <c r="N57" s="46"/>
      <c r="O57" s="69"/>
      <c r="P57" s="70"/>
      <c r="Q57" s="69"/>
      <c r="R57" s="46"/>
      <c r="S57" s="46"/>
      <c r="T57" s="46"/>
      <c r="U57" s="46"/>
      <c r="V57" s="46"/>
      <c r="W57" s="46"/>
      <c r="X57" s="70"/>
      <c r="Y57" s="78"/>
      <c r="Z57" s="46"/>
      <c r="AA57" s="46"/>
      <c r="AB57" s="46"/>
      <c r="AC57" s="69"/>
      <c r="AD57" s="46"/>
      <c r="AE57" s="46"/>
      <c r="AF57" s="70"/>
      <c r="AG57" s="46"/>
      <c r="AH57" s="70"/>
      <c r="AI57" s="46"/>
      <c r="AJ57" s="46"/>
      <c r="AK57" s="46"/>
      <c r="AL57" s="46"/>
      <c r="AM57" s="46"/>
      <c r="AN57" s="46"/>
      <c r="AO57" s="46"/>
      <c r="AP57" s="46"/>
      <c r="AQ57" s="69"/>
      <c r="AR57" s="69"/>
      <c r="AS57" s="69"/>
      <c r="AT57" s="69"/>
      <c r="AU57" s="69"/>
      <c r="AV57" s="69"/>
      <c r="AW57" s="69"/>
      <c r="AX57" s="71"/>
    </row>
    <row r="58" spans="2:50" ht="16.5" customHeight="1" thickBot="1" x14ac:dyDescent="0.3">
      <c r="B58" s="1" t="s">
        <v>2</v>
      </c>
      <c r="C58" s="10"/>
      <c r="D58">
        <f>C58</f>
        <v>0</v>
      </c>
      <c r="F58" s="1" t="s">
        <v>2</v>
      </c>
      <c r="G58" s="78"/>
      <c r="H58" s="46"/>
      <c r="I58" s="46"/>
      <c r="J58" s="70"/>
      <c r="K58" s="69"/>
      <c r="L58" s="46"/>
      <c r="M58" s="46"/>
      <c r="N58" s="46"/>
      <c r="O58" s="69"/>
      <c r="P58" s="70"/>
      <c r="Q58" s="69"/>
      <c r="R58" s="46"/>
      <c r="S58" s="46"/>
      <c r="T58" s="46"/>
      <c r="U58" s="46"/>
      <c r="V58" s="46"/>
      <c r="W58" s="46"/>
      <c r="X58" s="70"/>
      <c r="Y58" s="78"/>
      <c r="Z58" s="46"/>
      <c r="AA58" s="46"/>
      <c r="AB58" s="46"/>
      <c r="AC58" s="69"/>
      <c r="AD58" s="46"/>
      <c r="AE58" s="46"/>
      <c r="AF58" s="70"/>
      <c r="AG58" s="46"/>
      <c r="AH58" s="70"/>
      <c r="AI58" s="46"/>
      <c r="AJ58" s="46"/>
      <c r="AK58" s="46"/>
      <c r="AL58" s="46"/>
      <c r="AM58" s="46"/>
      <c r="AN58" s="46"/>
      <c r="AO58" s="46"/>
      <c r="AP58" s="46"/>
      <c r="AQ58" s="69"/>
      <c r="AR58" s="69"/>
      <c r="AS58" s="69"/>
      <c r="AT58" s="69"/>
      <c r="AU58" s="69"/>
      <c r="AV58" s="69"/>
      <c r="AW58" s="69"/>
      <c r="AX58" s="71"/>
    </row>
    <row r="59" spans="2:50" ht="16.5" customHeight="1" thickBot="1" x14ac:dyDescent="0.3">
      <c r="B59" s="1" t="s">
        <v>3</v>
      </c>
      <c r="C59" s="10"/>
      <c r="D59" s="7">
        <f t="shared" si="5"/>
        <v>0</v>
      </c>
      <c r="F59" s="1" t="s">
        <v>3</v>
      </c>
      <c r="G59" s="79"/>
      <c r="H59" s="73"/>
      <c r="I59" s="73"/>
      <c r="J59" s="74"/>
      <c r="K59" s="72"/>
      <c r="L59" s="73"/>
      <c r="M59" s="73"/>
      <c r="N59" s="73"/>
      <c r="O59" s="72"/>
      <c r="P59" s="74"/>
      <c r="Q59" s="72"/>
      <c r="R59" s="73"/>
      <c r="S59" s="73"/>
      <c r="T59" s="73"/>
      <c r="U59" s="73"/>
      <c r="V59" s="73"/>
      <c r="W59" s="73"/>
      <c r="X59" s="74"/>
      <c r="Y59" s="79"/>
      <c r="Z59" s="73"/>
      <c r="AA59" s="73"/>
      <c r="AB59" s="73"/>
      <c r="AC59" s="72"/>
      <c r="AD59" s="73"/>
      <c r="AE59" s="73"/>
      <c r="AF59" s="74"/>
      <c r="AG59" s="73"/>
      <c r="AH59" s="74"/>
      <c r="AI59" s="73"/>
      <c r="AJ59" s="73"/>
      <c r="AK59" s="73"/>
      <c r="AL59" s="73"/>
      <c r="AM59" s="73"/>
      <c r="AN59" s="73"/>
      <c r="AO59" s="73"/>
      <c r="AP59" s="73"/>
      <c r="AQ59" s="72"/>
      <c r="AR59" s="72"/>
      <c r="AS59" s="72"/>
      <c r="AT59" s="72"/>
      <c r="AU59" s="72"/>
      <c r="AV59" s="72"/>
      <c r="AW59" s="72"/>
      <c r="AX59" s="75"/>
    </row>
    <row r="60" spans="2:50" ht="21" customHeight="1" x14ac:dyDescent="0.25">
      <c r="B60" s="2"/>
      <c r="C60" s="3" t="s">
        <v>25</v>
      </c>
      <c r="D60" s="9">
        <f>SUM(D56:D59)</f>
        <v>0</v>
      </c>
      <c r="G60" s="80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80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</row>
    <row r="61" spans="2:50" x14ac:dyDescent="0.25"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</row>
    <row r="62" spans="2:50" ht="15.75" x14ac:dyDescent="0.25">
      <c r="G62" s="100" t="s">
        <v>22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1" t="s">
        <v>21</v>
      </c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46"/>
      <c r="AR62" s="46"/>
      <c r="AS62" s="46"/>
      <c r="AT62" s="46"/>
      <c r="AU62" s="46"/>
      <c r="AV62" s="46"/>
      <c r="AW62" s="46"/>
      <c r="AX62" s="46"/>
    </row>
    <row r="63" spans="2:50" ht="32.25" thickBot="1" x14ac:dyDescent="0.3">
      <c r="G63" s="102" t="s">
        <v>14</v>
      </c>
      <c r="H63" s="102"/>
      <c r="I63" s="102"/>
      <c r="J63" s="102"/>
      <c r="K63" s="102" t="s">
        <v>15</v>
      </c>
      <c r="L63" s="102"/>
      <c r="M63" s="102"/>
      <c r="N63" s="102"/>
      <c r="O63" s="102" t="s">
        <v>59</v>
      </c>
      <c r="P63" s="102"/>
      <c r="Q63" s="102" t="s">
        <v>16</v>
      </c>
      <c r="R63" s="102"/>
      <c r="S63" s="102"/>
      <c r="T63" s="102"/>
      <c r="U63" s="102"/>
      <c r="V63" s="102"/>
      <c r="W63" s="102"/>
      <c r="X63" s="102"/>
      <c r="Y63" s="102" t="s">
        <v>14</v>
      </c>
      <c r="Z63" s="102"/>
      <c r="AA63" s="102"/>
      <c r="AB63" s="102"/>
      <c r="AC63" s="102" t="s">
        <v>15</v>
      </c>
      <c r="AD63" s="102"/>
      <c r="AE63" s="102"/>
      <c r="AF63" s="102"/>
      <c r="AG63" s="102" t="s">
        <v>59</v>
      </c>
      <c r="AH63" s="102"/>
      <c r="AI63" s="102" t="s">
        <v>16</v>
      </c>
      <c r="AJ63" s="102"/>
      <c r="AK63" s="102"/>
      <c r="AL63" s="102"/>
      <c r="AM63" s="102"/>
      <c r="AN63" s="102"/>
      <c r="AO63" s="102"/>
      <c r="AP63" s="102"/>
      <c r="AQ63" s="76" t="s">
        <v>60</v>
      </c>
      <c r="AR63" s="76"/>
      <c r="AS63" s="76" t="s">
        <v>65</v>
      </c>
      <c r="AT63" s="76" t="s">
        <v>61</v>
      </c>
      <c r="AU63" s="76" t="s">
        <v>62</v>
      </c>
      <c r="AV63" s="76" t="s">
        <v>27</v>
      </c>
      <c r="AW63" s="76" t="s">
        <v>64</v>
      </c>
      <c r="AX63" s="76" t="s">
        <v>63</v>
      </c>
    </row>
    <row r="64" spans="2:50" ht="48" thickBot="1" x14ac:dyDescent="0.3">
      <c r="B64" s="21">
        <v>6.25E-2</v>
      </c>
      <c r="C64" s="14" t="s">
        <v>13</v>
      </c>
      <c r="D64" s="8" t="s">
        <v>6</v>
      </c>
      <c r="F64" s="13"/>
      <c r="G64" s="63" t="s">
        <v>20</v>
      </c>
      <c r="H64" s="64" t="s">
        <v>17</v>
      </c>
      <c r="I64" s="64" t="s">
        <v>19</v>
      </c>
      <c r="J64" s="64" t="s">
        <v>18</v>
      </c>
      <c r="K64" s="64" t="s">
        <v>52</v>
      </c>
      <c r="L64" s="64" t="s">
        <v>51</v>
      </c>
      <c r="M64" s="64" t="s">
        <v>53</v>
      </c>
      <c r="N64" s="64" t="s">
        <v>54</v>
      </c>
      <c r="O64" s="64" t="s">
        <v>20</v>
      </c>
      <c r="P64" s="64" t="s">
        <v>19</v>
      </c>
      <c r="Q64" s="64" t="s">
        <v>55</v>
      </c>
      <c r="R64" s="64" t="s">
        <v>56</v>
      </c>
      <c r="S64" s="64" t="s">
        <v>52</v>
      </c>
      <c r="T64" s="64" t="s">
        <v>51</v>
      </c>
      <c r="U64" s="64" t="s">
        <v>57</v>
      </c>
      <c r="V64" s="64" t="s">
        <v>58</v>
      </c>
      <c r="W64" s="64" t="s">
        <v>53</v>
      </c>
      <c r="X64" s="64" t="s">
        <v>54</v>
      </c>
      <c r="Y64" s="63" t="s">
        <v>20</v>
      </c>
      <c r="Z64" s="64" t="s">
        <v>17</v>
      </c>
      <c r="AA64" s="64" t="s">
        <v>19</v>
      </c>
      <c r="AB64" s="64" t="s">
        <v>18</v>
      </c>
      <c r="AC64" s="64" t="s">
        <v>52</v>
      </c>
      <c r="AD64" s="64" t="s">
        <v>51</v>
      </c>
      <c r="AE64" s="64" t="s">
        <v>53</v>
      </c>
      <c r="AF64" s="64" t="s">
        <v>54</v>
      </c>
      <c r="AG64" s="64" t="s">
        <v>20</v>
      </c>
      <c r="AH64" s="64" t="s">
        <v>19</v>
      </c>
      <c r="AI64" s="64" t="s">
        <v>55</v>
      </c>
      <c r="AJ64" s="64" t="s">
        <v>56</v>
      </c>
      <c r="AK64" s="64" t="s">
        <v>52</v>
      </c>
      <c r="AL64" s="64" t="s">
        <v>51</v>
      </c>
      <c r="AM64" s="64" t="s">
        <v>57</v>
      </c>
      <c r="AN64" s="64" t="s">
        <v>58</v>
      </c>
      <c r="AO64" s="64" t="s">
        <v>53</v>
      </c>
      <c r="AP64" s="64" t="s">
        <v>54</v>
      </c>
      <c r="AQ64" s="46"/>
      <c r="AR64" s="46"/>
      <c r="AS64" s="46"/>
      <c r="AT64" s="46"/>
      <c r="AU64" s="46"/>
      <c r="AV64" s="46"/>
      <c r="AW64" s="46"/>
      <c r="AX64" s="46"/>
    </row>
    <row r="65" spans="2:50" ht="16.5" customHeight="1" thickBot="1" x14ac:dyDescent="0.3">
      <c r="B65" s="1" t="s">
        <v>0</v>
      </c>
      <c r="C65" s="10"/>
      <c r="D65">
        <f>C65</f>
        <v>0</v>
      </c>
      <c r="F65" s="12" t="s">
        <v>0</v>
      </c>
      <c r="G65" s="77"/>
      <c r="H65" s="66"/>
      <c r="I65" s="66"/>
      <c r="J65" s="67"/>
      <c r="K65" s="65"/>
      <c r="L65" s="66"/>
      <c r="M65" s="66"/>
      <c r="N65" s="66"/>
      <c r="O65" s="65"/>
      <c r="P65" s="67"/>
      <c r="Q65" s="65"/>
      <c r="R65" s="66"/>
      <c r="S65" s="66"/>
      <c r="T65" s="66"/>
      <c r="U65" s="66"/>
      <c r="V65" s="66"/>
      <c r="W65" s="66"/>
      <c r="X65" s="67"/>
      <c r="Y65" s="77"/>
      <c r="Z65" s="66"/>
      <c r="AA65" s="66"/>
      <c r="AB65" s="66"/>
      <c r="AC65" s="65"/>
      <c r="AD65" s="66"/>
      <c r="AE65" s="66"/>
      <c r="AF65" s="67"/>
      <c r="AG65" s="66"/>
      <c r="AH65" s="67"/>
      <c r="AI65" s="66"/>
      <c r="AJ65" s="66"/>
      <c r="AK65" s="66"/>
      <c r="AL65" s="66"/>
      <c r="AM65" s="66"/>
      <c r="AN65" s="66"/>
      <c r="AO65" s="66"/>
      <c r="AP65" s="66"/>
      <c r="AQ65" s="65"/>
      <c r="AR65" s="65"/>
      <c r="AS65" s="65"/>
      <c r="AT65" s="65"/>
      <c r="AU65" s="65"/>
      <c r="AV65" s="65"/>
      <c r="AW65" s="65"/>
      <c r="AX65" s="68"/>
    </row>
    <row r="66" spans="2:50" ht="16.5" customHeight="1" thickBot="1" x14ac:dyDescent="0.3">
      <c r="B66" s="1" t="s">
        <v>1</v>
      </c>
      <c r="C66" s="10"/>
      <c r="D66">
        <f t="shared" ref="D66:D68" si="6">C66</f>
        <v>0</v>
      </c>
      <c r="F66" s="1" t="s">
        <v>1</v>
      </c>
      <c r="G66" s="78"/>
      <c r="H66" s="46"/>
      <c r="I66" s="46"/>
      <c r="J66" s="70"/>
      <c r="K66" s="69"/>
      <c r="L66" s="46"/>
      <c r="M66" s="46"/>
      <c r="N66" s="46"/>
      <c r="O66" s="69"/>
      <c r="P66" s="70"/>
      <c r="Q66" s="69"/>
      <c r="R66" s="46"/>
      <c r="S66" s="46"/>
      <c r="T66" s="46"/>
      <c r="U66" s="46"/>
      <c r="V66" s="46"/>
      <c r="W66" s="46"/>
      <c r="X66" s="70"/>
      <c r="Y66" s="78"/>
      <c r="Z66" s="46"/>
      <c r="AA66" s="46"/>
      <c r="AB66" s="46"/>
      <c r="AC66" s="69"/>
      <c r="AD66" s="46"/>
      <c r="AE66" s="46"/>
      <c r="AF66" s="70"/>
      <c r="AG66" s="46"/>
      <c r="AH66" s="70"/>
      <c r="AI66" s="46"/>
      <c r="AJ66" s="46"/>
      <c r="AK66" s="46"/>
      <c r="AL66" s="46"/>
      <c r="AM66" s="46"/>
      <c r="AN66" s="46"/>
      <c r="AO66" s="46"/>
      <c r="AP66" s="46"/>
      <c r="AQ66" s="69"/>
      <c r="AR66" s="69"/>
      <c r="AS66" s="69"/>
      <c r="AT66" s="69"/>
      <c r="AU66" s="69"/>
      <c r="AV66" s="69"/>
      <c r="AW66" s="69"/>
      <c r="AX66" s="71"/>
    </row>
    <row r="67" spans="2:50" ht="16.5" customHeight="1" thickBot="1" x14ac:dyDescent="0.3">
      <c r="B67" s="1" t="s">
        <v>2</v>
      </c>
      <c r="C67" s="10"/>
      <c r="D67">
        <f>C67</f>
        <v>0</v>
      </c>
      <c r="F67" s="1" t="s">
        <v>2</v>
      </c>
      <c r="G67" s="78"/>
      <c r="H67" s="46"/>
      <c r="I67" s="46"/>
      <c r="J67" s="70"/>
      <c r="K67" s="69"/>
      <c r="L67" s="46"/>
      <c r="M67" s="46"/>
      <c r="N67" s="46"/>
      <c r="O67" s="69"/>
      <c r="P67" s="70"/>
      <c r="Q67" s="69"/>
      <c r="R67" s="46"/>
      <c r="S67" s="46"/>
      <c r="T67" s="46"/>
      <c r="U67" s="46"/>
      <c r="V67" s="46"/>
      <c r="W67" s="46"/>
      <c r="X67" s="70"/>
      <c r="Y67" s="78"/>
      <c r="Z67" s="46"/>
      <c r="AA67" s="46"/>
      <c r="AB67" s="46"/>
      <c r="AC67" s="69"/>
      <c r="AD67" s="46"/>
      <c r="AE67" s="46"/>
      <c r="AF67" s="70"/>
      <c r="AG67" s="46"/>
      <c r="AH67" s="70"/>
      <c r="AI67" s="46"/>
      <c r="AJ67" s="46"/>
      <c r="AK67" s="46"/>
      <c r="AL67" s="46"/>
      <c r="AM67" s="46"/>
      <c r="AN67" s="46"/>
      <c r="AO67" s="46"/>
      <c r="AP67" s="46"/>
      <c r="AQ67" s="69"/>
      <c r="AR67" s="69"/>
      <c r="AS67" s="69"/>
      <c r="AT67" s="69"/>
      <c r="AU67" s="69"/>
      <c r="AV67" s="69"/>
      <c r="AW67" s="69"/>
      <c r="AX67" s="71"/>
    </row>
    <row r="68" spans="2:50" ht="16.5" customHeight="1" thickBot="1" x14ac:dyDescent="0.3">
      <c r="B68" s="1" t="s">
        <v>3</v>
      </c>
      <c r="C68" s="10"/>
      <c r="D68" s="7">
        <f t="shared" si="6"/>
        <v>0</v>
      </c>
      <c r="F68" s="1" t="s">
        <v>3</v>
      </c>
      <c r="G68" s="79"/>
      <c r="H68" s="73"/>
      <c r="I68" s="73"/>
      <c r="J68" s="74"/>
      <c r="K68" s="72"/>
      <c r="L68" s="73"/>
      <c r="M68" s="73"/>
      <c r="N68" s="73"/>
      <c r="O68" s="72"/>
      <c r="P68" s="74"/>
      <c r="Q68" s="72"/>
      <c r="R68" s="73"/>
      <c r="S68" s="73"/>
      <c r="T68" s="73"/>
      <c r="U68" s="73"/>
      <c r="V68" s="73"/>
      <c r="W68" s="73"/>
      <c r="X68" s="74"/>
      <c r="Y68" s="79"/>
      <c r="Z68" s="73"/>
      <c r="AA68" s="73"/>
      <c r="AB68" s="73"/>
      <c r="AC68" s="72"/>
      <c r="AD68" s="73"/>
      <c r="AE68" s="73"/>
      <c r="AF68" s="74"/>
      <c r="AG68" s="73"/>
      <c r="AH68" s="74"/>
      <c r="AI68" s="73"/>
      <c r="AJ68" s="73"/>
      <c r="AK68" s="73"/>
      <c r="AL68" s="73"/>
      <c r="AM68" s="73"/>
      <c r="AN68" s="73"/>
      <c r="AO68" s="73"/>
      <c r="AP68" s="73"/>
      <c r="AQ68" s="72"/>
      <c r="AR68" s="72"/>
      <c r="AS68" s="72"/>
      <c r="AT68" s="72"/>
      <c r="AU68" s="72"/>
      <c r="AV68" s="72"/>
      <c r="AW68" s="72"/>
      <c r="AX68" s="75"/>
    </row>
    <row r="69" spans="2:50" ht="21" customHeight="1" x14ac:dyDescent="0.25">
      <c r="B69" s="2"/>
      <c r="C69" s="3" t="s">
        <v>25</v>
      </c>
      <c r="D69" s="9">
        <f>SUM(D65:D68)</f>
        <v>0</v>
      </c>
      <c r="G69" s="80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80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</row>
    <row r="70" spans="2:50" x14ac:dyDescent="0.25"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</row>
    <row r="71" spans="2:50" ht="15.75" x14ac:dyDescent="0.25">
      <c r="G71" s="100" t="s">
        <v>22</v>
      </c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1" t="s">
        <v>21</v>
      </c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46"/>
      <c r="AR71" s="46"/>
      <c r="AS71" s="46"/>
      <c r="AT71" s="46"/>
      <c r="AU71" s="46"/>
      <c r="AV71" s="46"/>
      <c r="AW71" s="46"/>
      <c r="AX71" s="46"/>
    </row>
    <row r="72" spans="2:50" ht="32.25" thickBot="1" x14ac:dyDescent="0.3">
      <c r="G72" s="102" t="s">
        <v>14</v>
      </c>
      <c r="H72" s="102"/>
      <c r="I72" s="102"/>
      <c r="J72" s="102"/>
      <c r="K72" s="102" t="s">
        <v>15</v>
      </c>
      <c r="L72" s="102"/>
      <c r="M72" s="102"/>
      <c r="N72" s="102"/>
      <c r="O72" s="102" t="s">
        <v>59</v>
      </c>
      <c r="P72" s="102"/>
      <c r="Q72" s="102" t="s">
        <v>16</v>
      </c>
      <c r="R72" s="102"/>
      <c r="S72" s="102"/>
      <c r="T72" s="102"/>
      <c r="U72" s="102"/>
      <c r="V72" s="102"/>
      <c r="W72" s="102"/>
      <c r="X72" s="102"/>
      <c r="Y72" s="102" t="s">
        <v>14</v>
      </c>
      <c r="Z72" s="102"/>
      <c r="AA72" s="102"/>
      <c r="AB72" s="102"/>
      <c r="AC72" s="102" t="s">
        <v>15</v>
      </c>
      <c r="AD72" s="102"/>
      <c r="AE72" s="102"/>
      <c r="AF72" s="102"/>
      <c r="AG72" s="102" t="s">
        <v>59</v>
      </c>
      <c r="AH72" s="102"/>
      <c r="AI72" s="102" t="s">
        <v>16</v>
      </c>
      <c r="AJ72" s="102"/>
      <c r="AK72" s="102"/>
      <c r="AL72" s="102"/>
      <c r="AM72" s="102"/>
      <c r="AN72" s="102"/>
      <c r="AO72" s="102"/>
      <c r="AP72" s="102"/>
      <c r="AQ72" s="76" t="s">
        <v>60</v>
      </c>
      <c r="AR72" s="76"/>
      <c r="AS72" s="76" t="s">
        <v>65</v>
      </c>
      <c r="AT72" s="76" t="s">
        <v>61</v>
      </c>
      <c r="AU72" s="76" t="s">
        <v>62</v>
      </c>
      <c r="AV72" s="76" t="s">
        <v>27</v>
      </c>
      <c r="AW72" s="76" t="s">
        <v>64</v>
      </c>
      <c r="AX72" s="76" t="s">
        <v>63</v>
      </c>
    </row>
    <row r="73" spans="2:50" ht="48" thickBot="1" x14ac:dyDescent="0.3">
      <c r="B73" s="21">
        <v>7.2916666666666671E-2</v>
      </c>
      <c r="C73" s="14" t="s">
        <v>13</v>
      </c>
      <c r="D73" s="8" t="s">
        <v>6</v>
      </c>
      <c r="F73" s="13"/>
      <c r="G73" s="63" t="s">
        <v>20</v>
      </c>
      <c r="H73" s="64" t="s">
        <v>17</v>
      </c>
      <c r="I73" s="64" t="s">
        <v>19</v>
      </c>
      <c r="J73" s="64" t="s">
        <v>18</v>
      </c>
      <c r="K73" s="64" t="s">
        <v>52</v>
      </c>
      <c r="L73" s="64" t="s">
        <v>51</v>
      </c>
      <c r="M73" s="64" t="s">
        <v>53</v>
      </c>
      <c r="N73" s="64" t="s">
        <v>54</v>
      </c>
      <c r="O73" s="64" t="s">
        <v>20</v>
      </c>
      <c r="P73" s="64" t="s">
        <v>19</v>
      </c>
      <c r="Q73" s="64" t="s">
        <v>55</v>
      </c>
      <c r="R73" s="64" t="s">
        <v>56</v>
      </c>
      <c r="S73" s="64" t="s">
        <v>52</v>
      </c>
      <c r="T73" s="64" t="s">
        <v>51</v>
      </c>
      <c r="U73" s="64" t="s">
        <v>57</v>
      </c>
      <c r="V73" s="64" t="s">
        <v>58</v>
      </c>
      <c r="W73" s="64" t="s">
        <v>53</v>
      </c>
      <c r="X73" s="64" t="s">
        <v>54</v>
      </c>
      <c r="Y73" s="63" t="s">
        <v>20</v>
      </c>
      <c r="Z73" s="64" t="s">
        <v>17</v>
      </c>
      <c r="AA73" s="64" t="s">
        <v>19</v>
      </c>
      <c r="AB73" s="64" t="s">
        <v>18</v>
      </c>
      <c r="AC73" s="64" t="s">
        <v>52</v>
      </c>
      <c r="AD73" s="64" t="s">
        <v>51</v>
      </c>
      <c r="AE73" s="64" t="s">
        <v>53</v>
      </c>
      <c r="AF73" s="64" t="s">
        <v>54</v>
      </c>
      <c r="AG73" s="64" t="s">
        <v>20</v>
      </c>
      <c r="AH73" s="64" t="s">
        <v>19</v>
      </c>
      <c r="AI73" s="64" t="s">
        <v>55</v>
      </c>
      <c r="AJ73" s="64" t="s">
        <v>56</v>
      </c>
      <c r="AK73" s="64" t="s">
        <v>52</v>
      </c>
      <c r="AL73" s="64" t="s">
        <v>51</v>
      </c>
      <c r="AM73" s="64" t="s">
        <v>57</v>
      </c>
      <c r="AN73" s="64" t="s">
        <v>58</v>
      </c>
      <c r="AO73" s="64" t="s">
        <v>53</v>
      </c>
      <c r="AP73" s="64" t="s">
        <v>54</v>
      </c>
      <c r="AQ73" s="46"/>
      <c r="AR73" s="46"/>
      <c r="AS73" s="46"/>
      <c r="AT73" s="46"/>
      <c r="AU73" s="46"/>
      <c r="AV73" s="46"/>
      <c r="AW73" s="46"/>
      <c r="AX73" s="46"/>
    </row>
    <row r="74" spans="2:50" ht="16.5" customHeight="1" thickBot="1" x14ac:dyDescent="0.3">
      <c r="B74" s="1" t="s">
        <v>0</v>
      </c>
      <c r="C74" s="10"/>
      <c r="D74">
        <f>C74</f>
        <v>0</v>
      </c>
      <c r="F74" s="12" t="s">
        <v>0</v>
      </c>
      <c r="G74" s="77"/>
      <c r="H74" s="66"/>
      <c r="I74" s="66"/>
      <c r="J74" s="67"/>
      <c r="K74" s="65"/>
      <c r="L74" s="66"/>
      <c r="M74" s="66"/>
      <c r="N74" s="66"/>
      <c r="O74" s="65"/>
      <c r="P74" s="67"/>
      <c r="Q74" s="65"/>
      <c r="R74" s="66"/>
      <c r="S74" s="66"/>
      <c r="T74" s="66"/>
      <c r="U74" s="66"/>
      <c r="V74" s="66"/>
      <c r="W74" s="66"/>
      <c r="X74" s="67"/>
      <c r="Y74" s="77"/>
      <c r="Z74" s="66"/>
      <c r="AA74" s="66"/>
      <c r="AB74" s="66"/>
      <c r="AC74" s="65"/>
      <c r="AD74" s="66"/>
      <c r="AE74" s="66"/>
      <c r="AF74" s="67"/>
      <c r="AG74" s="66"/>
      <c r="AH74" s="67"/>
      <c r="AI74" s="66"/>
      <c r="AJ74" s="66"/>
      <c r="AK74" s="66"/>
      <c r="AL74" s="66"/>
      <c r="AM74" s="66"/>
      <c r="AN74" s="66"/>
      <c r="AO74" s="66"/>
      <c r="AP74" s="66"/>
      <c r="AQ74" s="65"/>
      <c r="AR74" s="65"/>
      <c r="AS74" s="65"/>
      <c r="AT74" s="65"/>
      <c r="AU74" s="65"/>
      <c r="AV74" s="65"/>
      <c r="AW74" s="65"/>
      <c r="AX74" s="68"/>
    </row>
    <row r="75" spans="2:50" ht="16.5" customHeight="1" thickBot="1" x14ac:dyDescent="0.3">
      <c r="B75" s="1" t="s">
        <v>1</v>
      </c>
      <c r="C75" s="10"/>
      <c r="D75">
        <f t="shared" ref="D75:D77" si="7">C75</f>
        <v>0</v>
      </c>
      <c r="F75" s="1" t="s">
        <v>1</v>
      </c>
      <c r="G75" s="78"/>
      <c r="H75" s="46"/>
      <c r="I75" s="46"/>
      <c r="J75" s="70"/>
      <c r="K75" s="69"/>
      <c r="L75" s="46"/>
      <c r="M75" s="46"/>
      <c r="N75" s="46"/>
      <c r="O75" s="69"/>
      <c r="P75" s="70"/>
      <c r="Q75" s="69"/>
      <c r="R75" s="46"/>
      <c r="S75" s="46"/>
      <c r="T75" s="46"/>
      <c r="U75" s="46"/>
      <c r="V75" s="46"/>
      <c r="W75" s="46"/>
      <c r="X75" s="70"/>
      <c r="Y75" s="78"/>
      <c r="Z75" s="46"/>
      <c r="AA75" s="46"/>
      <c r="AB75" s="46"/>
      <c r="AC75" s="69"/>
      <c r="AD75" s="46"/>
      <c r="AE75" s="46"/>
      <c r="AF75" s="70"/>
      <c r="AG75" s="46"/>
      <c r="AH75" s="70"/>
      <c r="AI75" s="46"/>
      <c r="AJ75" s="46"/>
      <c r="AK75" s="46"/>
      <c r="AL75" s="46"/>
      <c r="AM75" s="46"/>
      <c r="AN75" s="46"/>
      <c r="AO75" s="46"/>
      <c r="AP75" s="46"/>
      <c r="AQ75" s="69"/>
      <c r="AR75" s="69"/>
      <c r="AS75" s="69"/>
      <c r="AT75" s="69"/>
      <c r="AU75" s="69"/>
      <c r="AV75" s="69"/>
      <c r="AW75" s="69"/>
      <c r="AX75" s="71"/>
    </row>
    <row r="76" spans="2:50" ht="16.5" customHeight="1" thickBot="1" x14ac:dyDescent="0.3">
      <c r="B76" s="1" t="s">
        <v>2</v>
      </c>
      <c r="C76" s="10"/>
      <c r="D76">
        <f>C76</f>
        <v>0</v>
      </c>
      <c r="F76" s="1" t="s">
        <v>2</v>
      </c>
      <c r="G76" s="78"/>
      <c r="H76" s="46"/>
      <c r="I76" s="46"/>
      <c r="J76" s="70"/>
      <c r="K76" s="69"/>
      <c r="L76" s="46"/>
      <c r="M76" s="46"/>
      <c r="N76" s="46"/>
      <c r="O76" s="69"/>
      <c r="P76" s="70"/>
      <c r="Q76" s="69"/>
      <c r="R76" s="46"/>
      <c r="S76" s="46"/>
      <c r="T76" s="46"/>
      <c r="U76" s="46"/>
      <c r="V76" s="46"/>
      <c r="W76" s="46"/>
      <c r="X76" s="70"/>
      <c r="Y76" s="78"/>
      <c r="Z76" s="46"/>
      <c r="AA76" s="46"/>
      <c r="AB76" s="46"/>
      <c r="AC76" s="69"/>
      <c r="AD76" s="46"/>
      <c r="AE76" s="46"/>
      <c r="AF76" s="70"/>
      <c r="AG76" s="46"/>
      <c r="AH76" s="70"/>
      <c r="AI76" s="46"/>
      <c r="AJ76" s="46"/>
      <c r="AK76" s="46"/>
      <c r="AL76" s="46"/>
      <c r="AM76" s="46"/>
      <c r="AN76" s="46"/>
      <c r="AO76" s="46"/>
      <c r="AP76" s="46"/>
      <c r="AQ76" s="69"/>
      <c r="AR76" s="69"/>
      <c r="AS76" s="69"/>
      <c r="AT76" s="69"/>
      <c r="AU76" s="69"/>
      <c r="AV76" s="69"/>
      <c r="AW76" s="69"/>
      <c r="AX76" s="71"/>
    </row>
    <row r="77" spans="2:50" ht="16.5" customHeight="1" thickBot="1" x14ac:dyDescent="0.3">
      <c r="B77" s="1" t="s">
        <v>3</v>
      </c>
      <c r="C77" s="10"/>
      <c r="D77" s="7">
        <f t="shared" si="7"/>
        <v>0</v>
      </c>
      <c r="F77" s="1" t="s">
        <v>3</v>
      </c>
      <c r="G77" s="79"/>
      <c r="H77" s="73"/>
      <c r="I77" s="73"/>
      <c r="J77" s="74"/>
      <c r="K77" s="72"/>
      <c r="L77" s="73"/>
      <c r="M77" s="73"/>
      <c r="N77" s="73"/>
      <c r="O77" s="72"/>
      <c r="P77" s="74"/>
      <c r="Q77" s="72"/>
      <c r="R77" s="73"/>
      <c r="S77" s="73"/>
      <c r="T77" s="73"/>
      <c r="U77" s="73"/>
      <c r="V77" s="73"/>
      <c r="W77" s="73"/>
      <c r="X77" s="74"/>
      <c r="Y77" s="79"/>
      <c r="Z77" s="73"/>
      <c r="AA77" s="73"/>
      <c r="AB77" s="73"/>
      <c r="AC77" s="72"/>
      <c r="AD77" s="73"/>
      <c r="AE77" s="73"/>
      <c r="AF77" s="74"/>
      <c r="AG77" s="73"/>
      <c r="AH77" s="74"/>
      <c r="AI77" s="73"/>
      <c r="AJ77" s="73"/>
      <c r="AK77" s="73"/>
      <c r="AL77" s="73"/>
      <c r="AM77" s="73"/>
      <c r="AN77" s="73"/>
      <c r="AO77" s="73"/>
      <c r="AP77" s="73"/>
      <c r="AQ77" s="72"/>
      <c r="AR77" s="72"/>
      <c r="AS77" s="72"/>
      <c r="AT77" s="72"/>
      <c r="AU77" s="72"/>
      <c r="AV77" s="72"/>
      <c r="AW77" s="72"/>
      <c r="AX77" s="75"/>
    </row>
    <row r="78" spans="2:50" ht="21" customHeight="1" x14ac:dyDescent="0.25">
      <c r="B78" s="2"/>
      <c r="C78" s="3" t="s">
        <v>25</v>
      </c>
      <c r="D78" s="9">
        <f>SUM(D74:D77)</f>
        <v>0</v>
      </c>
      <c r="G78" s="80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80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</row>
    <row r="79" spans="2:50" x14ac:dyDescent="0.25"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</row>
    <row r="80" spans="2:50" ht="15.75" x14ac:dyDescent="0.25">
      <c r="G80" s="100" t="s">
        <v>22</v>
      </c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1" t="s">
        <v>21</v>
      </c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46"/>
      <c r="AR80" s="46"/>
      <c r="AS80" s="46"/>
      <c r="AT80" s="46"/>
      <c r="AU80" s="46"/>
      <c r="AV80" s="46"/>
      <c r="AW80" s="46"/>
      <c r="AX80" s="46"/>
    </row>
    <row r="81" spans="2:50" ht="32.25" thickBot="1" x14ac:dyDescent="0.3">
      <c r="G81" s="102" t="s">
        <v>14</v>
      </c>
      <c r="H81" s="102"/>
      <c r="I81" s="102"/>
      <c r="J81" s="102"/>
      <c r="K81" s="102" t="s">
        <v>15</v>
      </c>
      <c r="L81" s="102"/>
      <c r="M81" s="102"/>
      <c r="N81" s="102"/>
      <c r="O81" s="102" t="s">
        <v>59</v>
      </c>
      <c r="P81" s="102"/>
      <c r="Q81" s="102" t="s">
        <v>16</v>
      </c>
      <c r="R81" s="102"/>
      <c r="S81" s="102"/>
      <c r="T81" s="102"/>
      <c r="U81" s="102"/>
      <c r="V81" s="102"/>
      <c r="W81" s="102"/>
      <c r="X81" s="102"/>
      <c r="Y81" s="102" t="s">
        <v>14</v>
      </c>
      <c r="Z81" s="102"/>
      <c r="AA81" s="102"/>
      <c r="AB81" s="102"/>
      <c r="AC81" s="102" t="s">
        <v>15</v>
      </c>
      <c r="AD81" s="102"/>
      <c r="AE81" s="102"/>
      <c r="AF81" s="102"/>
      <c r="AG81" s="102" t="s">
        <v>59</v>
      </c>
      <c r="AH81" s="102"/>
      <c r="AI81" s="102" t="s">
        <v>16</v>
      </c>
      <c r="AJ81" s="102"/>
      <c r="AK81" s="102"/>
      <c r="AL81" s="102"/>
      <c r="AM81" s="102"/>
      <c r="AN81" s="102"/>
      <c r="AO81" s="102"/>
      <c r="AP81" s="102"/>
      <c r="AQ81" s="76" t="s">
        <v>60</v>
      </c>
      <c r="AR81" s="76"/>
      <c r="AS81" s="76" t="s">
        <v>65</v>
      </c>
      <c r="AT81" s="76" t="s">
        <v>61</v>
      </c>
      <c r="AU81" s="76" t="s">
        <v>62</v>
      </c>
      <c r="AV81" s="76" t="s">
        <v>27</v>
      </c>
      <c r="AW81" s="76" t="s">
        <v>64</v>
      </c>
      <c r="AX81" s="76" t="s">
        <v>63</v>
      </c>
    </row>
    <row r="82" spans="2:50" ht="48" thickBot="1" x14ac:dyDescent="0.3">
      <c r="B82" s="20">
        <v>8.3333333333333329E-2</v>
      </c>
      <c r="C82" s="14" t="s">
        <v>13</v>
      </c>
      <c r="D82" s="8" t="s">
        <v>6</v>
      </c>
      <c r="F82" s="13"/>
      <c r="G82" s="63" t="s">
        <v>20</v>
      </c>
      <c r="H82" s="64" t="s">
        <v>17</v>
      </c>
      <c r="I82" s="64" t="s">
        <v>19</v>
      </c>
      <c r="J82" s="64" t="s">
        <v>18</v>
      </c>
      <c r="K82" s="64" t="s">
        <v>52</v>
      </c>
      <c r="L82" s="64" t="s">
        <v>51</v>
      </c>
      <c r="M82" s="64" t="s">
        <v>53</v>
      </c>
      <c r="N82" s="64" t="s">
        <v>54</v>
      </c>
      <c r="O82" s="64" t="s">
        <v>20</v>
      </c>
      <c r="P82" s="64" t="s">
        <v>19</v>
      </c>
      <c r="Q82" s="64" t="s">
        <v>55</v>
      </c>
      <c r="R82" s="64" t="s">
        <v>56</v>
      </c>
      <c r="S82" s="64" t="s">
        <v>52</v>
      </c>
      <c r="T82" s="64" t="s">
        <v>51</v>
      </c>
      <c r="U82" s="64" t="s">
        <v>57</v>
      </c>
      <c r="V82" s="64" t="s">
        <v>58</v>
      </c>
      <c r="W82" s="64" t="s">
        <v>53</v>
      </c>
      <c r="X82" s="64" t="s">
        <v>54</v>
      </c>
      <c r="Y82" s="63" t="s">
        <v>20</v>
      </c>
      <c r="Z82" s="64" t="s">
        <v>17</v>
      </c>
      <c r="AA82" s="64" t="s">
        <v>19</v>
      </c>
      <c r="AB82" s="64" t="s">
        <v>18</v>
      </c>
      <c r="AC82" s="64" t="s">
        <v>52</v>
      </c>
      <c r="AD82" s="64" t="s">
        <v>51</v>
      </c>
      <c r="AE82" s="64" t="s">
        <v>53</v>
      </c>
      <c r="AF82" s="64" t="s">
        <v>54</v>
      </c>
      <c r="AG82" s="64" t="s">
        <v>20</v>
      </c>
      <c r="AH82" s="64" t="s">
        <v>19</v>
      </c>
      <c r="AI82" s="64" t="s">
        <v>55</v>
      </c>
      <c r="AJ82" s="64" t="s">
        <v>56</v>
      </c>
      <c r="AK82" s="64" t="s">
        <v>52</v>
      </c>
      <c r="AL82" s="64" t="s">
        <v>51</v>
      </c>
      <c r="AM82" s="64" t="s">
        <v>57</v>
      </c>
      <c r="AN82" s="64" t="s">
        <v>58</v>
      </c>
      <c r="AO82" s="64" t="s">
        <v>53</v>
      </c>
      <c r="AP82" s="64" t="s">
        <v>54</v>
      </c>
      <c r="AQ82" s="46"/>
      <c r="AR82" s="46"/>
      <c r="AS82" s="46"/>
      <c r="AT82" s="46"/>
      <c r="AU82" s="46"/>
      <c r="AV82" s="46"/>
      <c r="AW82" s="46"/>
      <c r="AX82" s="46"/>
    </row>
    <row r="83" spans="2:50" ht="16.5" customHeight="1" thickBot="1" x14ac:dyDescent="0.3">
      <c r="B83" s="1" t="s">
        <v>0</v>
      </c>
      <c r="C83" s="10"/>
      <c r="D83">
        <f>C83</f>
        <v>0</v>
      </c>
      <c r="F83" s="12" t="s">
        <v>0</v>
      </c>
      <c r="G83" s="77"/>
      <c r="H83" s="66"/>
      <c r="I83" s="66"/>
      <c r="J83" s="67"/>
      <c r="K83" s="65"/>
      <c r="L83" s="66"/>
      <c r="M83" s="66"/>
      <c r="N83" s="66"/>
      <c r="O83" s="65"/>
      <c r="P83" s="67"/>
      <c r="Q83" s="65"/>
      <c r="R83" s="66"/>
      <c r="S83" s="66"/>
      <c r="T83" s="66"/>
      <c r="U83" s="66"/>
      <c r="V83" s="66"/>
      <c r="W83" s="66"/>
      <c r="X83" s="67"/>
      <c r="Y83" s="77"/>
      <c r="Z83" s="66"/>
      <c r="AA83" s="66"/>
      <c r="AB83" s="66"/>
      <c r="AC83" s="65"/>
      <c r="AD83" s="66"/>
      <c r="AE83" s="66"/>
      <c r="AF83" s="67"/>
      <c r="AG83" s="66"/>
      <c r="AH83" s="67"/>
      <c r="AI83" s="66"/>
      <c r="AJ83" s="66"/>
      <c r="AK83" s="66"/>
      <c r="AL83" s="66"/>
      <c r="AM83" s="66"/>
      <c r="AN83" s="66"/>
      <c r="AO83" s="66"/>
      <c r="AP83" s="66"/>
      <c r="AQ83" s="65"/>
      <c r="AR83" s="65"/>
      <c r="AS83" s="65"/>
      <c r="AT83" s="65"/>
      <c r="AU83" s="65"/>
      <c r="AV83" s="65"/>
      <c r="AW83" s="65"/>
      <c r="AX83" s="68"/>
    </row>
    <row r="84" spans="2:50" ht="16.5" customHeight="1" thickBot="1" x14ac:dyDescent="0.3">
      <c r="B84" s="1" t="s">
        <v>1</v>
      </c>
      <c r="C84" s="10"/>
      <c r="D84">
        <f t="shared" ref="D84:D86" si="8">C84</f>
        <v>0</v>
      </c>
      <c r="F84" s="1" t="s">
        <v>1</v>
      </c>
      <c r="G84" s="78"/>
      <c r="H84" s="46"/>
      <c r="I84" s="46"/>
      <c r="J84" s="70"/>
      <c r="K84" s="69"/>
      <c r="L84" s="46"/>
      <c r="M84" s="46"/>
      <c r="N84" s="46"/>
      <c r="O84" s="69"/>
      <c r="P84" s="70"/>
      <c r="Q84" s="69"/>
      <c r="R84" s="46"/>
      <c r="S84" s="46"/>
      <c r="T84" s="46"/>
      <c r="U84" s="46"/>
      <c r="V84" s="46"/>
      <c r="W84" s="46"/>
      <c r="X84" s="70"/>
      <c r="Y84" s="78"/>
      <c r="Z84" s="46"/>
      <c r="AA84" s="46"/>
      <c r="AB84" s="46"/>
      <c r="AC84" s="69"/>
      <c r="AD84" s="46"/>
      <c r="AE84" s="46"/>
      <c r="AF84" s="70"/>
      <c r="AG84" s="46"/>
      <c r="AH84" s="70"/>
      <c r="AI84" s="46"/>
      <c r="AJ84" s="46"/>
      <c r="AK84" s="46"/>
      <c r="AL84" s="46"/>
      <c r="AM84" s="46"/>
      <c r="AN84" s="46"/>
      <c r="AO84" s="46"/>
      <c r="AP84" s="46"/>
      <c r="AQ84" s="69"/>
      <c r="AR84" s="69"/>
      <c r="AS84" s="69"/>
      <c r="AT84" s="69"/>
      <c r="AU84" s="69"/>
      <c r="AV84" s="69"/>
      <c r="AW84" s="69"/>
      <c r="AX84" s="71"/>
    </row>
    <row r="85" spans="2:50" ht="16.5" customHeight="1" thickBot="1" x14ac:dyDescent="0.3">
      <c r="B85" s="1" t="s">
        <v>2</v>
      </c>
      <c r="C85" s="10"/>
      <c r="D85">
        <f>C85</f>
        <v>0</v>
      </c>
      <c r="F85" s="1" t="s">
        <v>2</v>
      </c>
      <c r="G85" s="78"/>
      <c r="H85" s="46"/>
      <c r="I85" s="46"/>
      <c r="J85" s="70"/>
      <c r="K85" s="69"/>
      <c r="L85" s="46"/>
      <c r="M85" s="46"/>
      <c r="N85" s="46"/>
      <c r="O85" s="69"/>
      <c r="P85" s="70"/>
      <c r="Q85" s="69"/>
      <c r="R85" s="46"/>
      <c r="S85" s="46"/>
      <c r="T85" s="46"/>
      <c r="U85" s="46"/>
      <c r="V85" s="46"/>
      <c r="W85" s="46"/>
      <c r="X85" s="70"/>
      <c r="Y85" s="78"/>
      <c r="Z85" s="46"/>
      <c r="AA85" s="46"/>
      <c r="AB85" s="46"/>
      <c r="AC85" s="69"/>
      <c r="AD85" s="46"/>
      <c r="AE85" s="46"/>
      <c r="AF85" s="70"/>
      <c r="AG85" s="46"/>
      <c r="AH85" s="70"/>
      <c r="AI85" s="46"/>
      <c r="AJ85" s="46"/>
      <c r="AK85" s="46"/>
      <c r="AL85" s="46"/>
      <c r="AM85" s="46"/>
      <c r="AN85" s="46"/>
      <c r="AO85" s="46"/>
      <c r="AP85" s="46"/>
      <c r="AQ85" s="69"/>
      <c r="AR85" s="69"/>
      <c r="AS85" s="69"/>
      <c r="AT85" s="69"/>
      <c r="AU85" s="69"/>
      <c r="AV85" s="69"/>
      <c r="AW85" s="69"/>
      <c r="AX85" s="71"/>
    </row>
    <row r="86" spans="2:50" ht="16.5" customHeight="1" thickBot="1" x14ac:dyDescent="0.3">
      <c r="B86" s="1" t="s">
        <v>3</v>
      </c>
      <c r="C86" s="10"/>
      <c r="D86" s="7">
        <f t="shared" si="8"/>
        <v>0</v>
      </c>
      <c r="F86" s="1" t="s">
        <v>3</v>
      </c>
      <c r="G86" s="79"/>
      <c r="H86" s="73"/>
      <c r="I86" s="73"/>
      <c r="J86" s="74"/>
      <c r="K86" s="72"/>
      <c r="L86" s="73"/>
      <c r="M86" s="73"/>
      <c r="N86" s="73"/>
      <c r="O86" s="72"/>
      <c r="P86" s="74"/>
      <c r="Q86" s="72"/>
      <c r="R86" s="73"/>
      <c r="S86" s="73"/>
      <c r="T86" s="73"/>
      <c r="U86" s="73"/>
      <c r="V86" s="73"/>
      <c r="W86" s="73"/>
      <c r="X86" s="74"/>
      <c r="Y86" s="79"/>
      <c r="Z86" s="73"/>
      <c r="AA86" s="73"/>
      <c r="AB86" s="73"/>
      <c r="AC86" s="72"/>
      <c r="AD86" s="73"/>
      <c r="AE86" s="73"/>
      <c r="AF86" s="74"/>
      <c r="AG86" s="73"/>
      <c r="AH86" s="74"/>
      <c r="AI86" s="73"/>
      <c r="AJ86" s="73"/>
      <c r="AK86" s="73"/>
      <c r="AL86" s="73"/>
      <c r="AM86" s="73"/>
      <c r="AN86" s="73"/>
      <c r="AO86" s="73"/>
      <c r="AP86" s="73"/>
      <c r="AQ86" s="72"/>
      <c r="AR86" s="72"/>
      <c r="AS86" s="72"/>
      <c r="AT86" s="72"/>
      <c r="AU86" s="72"/>
      <c r="AV86" s="72"/>
      <c r="AW86" s="72"/>
      <c r="AX86" s="75"/>
    </row>
    <row r="87" spans="2:50" ht="21" customHeight="1" x14ac:dyDescent="0.25">
      <c r="B87" s="2"/>
      <c r="C87" s="3" t="s">
        <v>25</v>
      </c>
      <c r="D87" s="9">
        <f>SUM(D83:D86)</f>
        <v>0</v>
      </c>
      <c r="G87" s="80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80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</row>
    <row r="88" spans="2:50" x14ac:dyDescent="0.25"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</row>
    <row r="89" spans="2:50" ht="15.75" x14ac:dyDescent="0.25">
      <c r="G89" s="100" t="s">
        <v>22</v>
      </c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1" t="s">
        <v>21</v>
      </c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46"/>
      <c r="AR89" s="46"/>
      <c r="AS89" s="46"/>
      <c r="AT89" s="46"/>
      <c r="AU89" s="46"/>
      <c r="AV89" s="46"/>
      <c r="AW89" s="46"/>
      <c r="AX89" s="46"/>
    </row>
    <row r="90" spans="2:50" ht="32.25" thickBot="1" x14ac:dyDescent="0.3">
      <c r="G90" s="102" t="s">
        <v>14</v>
      </c>
      <c r="H90" s="102"/>
      <c r="I90" s="102"/>
      <c r="J90" s="102"/>
      <c r="K90" s="102" t="s">
        <v>15</v>
      </c>
      <c r="L90" s="102"/>
      <c r="M90" s="102"/>
      <c r="N90" s="102"/>
      <c r="O90" s="102" t="s">
        <v>59</v>
      </c>
      <c r="P90" s="102"/>
      <c r="Q90" s="102" t="s">
        <v>16</v>
      </c>
      <c r="R90" s="102"/>
      <c r="S90" s="102"/>
      <c r="T90" s="102"/>
      <c r="U90" s="102"/>
      <c r="V90" s="102"/>
      <c r="W90" s="102"/>
      <c r="X90" s="102"/>
      <c r="Y90" s="102" t="s">
        <v>14</v>
      </c>
      <c r="Z90" s="102"/>
      <c r="AA90" s="102"/>
      <c r="AB90" s="102"/>
      <c r="AC90" s="102" t="s">
        <v>15</v>
      </c>
      <c r="AD90" s="102"/>
      <c r="AE90" s="102"/>
      <c r="AF90" s="102"/>
      <c r="AG90" s="102" t="s">
        <v>59</v>
      </c>
      <c r="AH90" s="102"/>
      <c r="AI90" s="102" t="s">
        <v>16</v>
      </c>
      <c r="AJ90" s="102"/>
      <c r="AK90" s="102"/>
      <c r="AL90" s="102"/>
      <c r="AM90" s="102"/>
      <c r="AN90" s="102"/>
      <c r="AO90" s="102"/>
      <c r="AP90" s="102"/>
      <c r="AQ90" s="76" t="s">
        <v>60</v>
      </c>
      <c r="AR90" s="76"/>
      <c r="AS90" s="76" t="s">
        <v>65</v>
      </c>
      <c r="AT90" s="76" t="s">
        <v>61</v>
      </c>
      <c r="AU90" s="76" t="s">
        <v>62</v>
      </c>
      <c r="AV90" s="76" t="s">
        <v>27</v>
      </c>
      <c r="AW90" s="76" t="s">
        <v>64</v>
      </c>
      <c r="AX90" s="76" t="s">
        <v>63</v>
      </c>
    </row>
    <row r="91" spans="2:50" ht="48" thickBot="1" x14ac:dyDescent="0.3">
      <c r="B91" s="20">
        <v>9.375E-2</v>
      </c>
      <c r="C91" s="14" t="s">
        <v>13</v>
      </c>
      <c r="D91" s="8" t="s">
        <v>6</v>
      </c>
      <c r="F91" s="13"/>
      <c r="G91" s="63" t="s">
        <v>20</v>
      </c>
      <c r="H91" s="64" t="s">
        <v>17</v>
      </c>
      <c r="I91" s="64" t="s">
        <v>19</v>
      </c>
      <c r="J91" s="64" t="s">
        <v>18</v>
      </c>
      <c r="K91" s="64" t="s">
        <v>52</v>
      </c>
      <c r="L91" s="64" t="s">
        <v>51</v>
      </c>
      <c r="M91" s="64" t="s">
        <v>53</v>
      </c>
      <c r="N91" s="64" t="s">
        <v>54</v>
      </c>
      <c r="O91" s="64" t="s">
        <v>20</v>
      </c>
      <c r="P91" s="64" t="s">
        <v>19</v>
      </c>
      <c r="Q91" s="64" t="s">
        <v>55</v>
      </c>
      <c r="R91" s="64" t="s">
        <v>56</v>
      </c>
      <c r="S91" s="64" t="s">
        <v>52</v>
      </c>
      <c r="T91" s="64" t="s">
        <v>51</v>
      </c>
      <c r="U91" s="64" t="s">
        <v>57</v>
      </c>
      <c r="V91" s="64" t="s">
        <v>58</v>
      </c>
      <c r="W91" s="64" t="s">
        <v>53</v>
      </c>
      <c r="X91" s="64" t="s">
        <v>54</v>
      </c>
      <c r="Y91" s="63" t="s">
        <v>20</v>
      </c>
      <c r="Z91" s="64" t="s">
        <v>17</v>
      </c>
      <c r="AA91" s="64" t="s">
        <v>19</v>
      </c>
      <c r="AB91" s="64" t="s">
        <v>18</v>
      </c>
      <c r="AC91" s="64" t="s">
        <v>52</v>
      </c>
      <c r="AD91" s="64" t="s">
        <v>51</v>
      </c>
      <c r="AE91" s="64" t="s">
        <v>53</v>
      </c>
      <c r="AF91" s="64" t="s">
        <v>54</v>
      </c>
      <c r="AG91" s="64" t="s">
        <v>20</v>
      </c>
      <c r="AH91" s="64" t="s">
        <v>19</v>
      </c>
      <c r="AI91" s="64" t="s">
        <v>55</v>
      </c>
      <c r="AJ91" s="64" t="s">
        <v>56</v>
      </c>
      <c r="AK91" s="64" t="s">
        <v>52</v>
      </c>
      <c r="AL91" s="64" t="s">
        <v>51</v>
      </c>
      <c r="AM91" s="64" t="s">
        <v>57</v>
      </c>
      <c r="AN91" s="64" t="s">
        <v>58</v>
      </c>
      <c r="AO91" s="64" t="s">
        <v>53</v>
      </c>
      <c r="AP91" s="64" t="s">
        <v>54</v>
      </c>
      <c r="AQ91" s="46"/>
      <c r="AR91" s="46"/>
      <c r="AS91" s="46"/>
      <c r="AT91" s="46"/>
      <c r="AU91" s="46"/>
      <c r="AV91" s="46"/>
      <c r="AW91" s="46"/>
      <c r="AX91" s="46"/>
    </row>
    <row r="92" spans="2:50" ht="16.5" customHeight="1" thickBot="1" x14ac:dyDescent="0.3">
      <c r="B92" s="1" t="s">
        <v>0</v>
      </c>
      <c r="C92" s="10"/>
      <c r="D92">
        <f>C92</f>
        <v>0</v>
      </c>
      <c r="F92" s="12" t="s">
        <v>0</v>
      </c>
      <c r="G92" s="77"/>
      <c r="H92" s="66"/>
      <c r="I92" s="66"/>
      <c r="J92" s="67"/>
      <c r="K92" s="65"/>
      <c r="L92" s="66"/>
      <c r="M92" s="66"/>
      <c r="N92" s="66"/>
      <c r="O92" s="65"/>
      <c r="P92" s="67"/>
      <c r="Q92" s="65"/>
      <c r="R92" s="66"/>
      <c r="S92" s="66"/>
      <c r="T92" s="66"/>
      <c r="U92" s="66"/>
      <c r="V92" s="66"/>
      <c r="W92" s="66"/>
      <c r="X92" s="67"/>
      <c r="Y92" s="77"/>
      <c r="Z92" s="66"/>
      <c r="AA92" s="66"/>
      <c r="AB92" s="66"/>
      <c r="AC92" s="65"/>
      <c r="AD92" s="66"/>
      <c r="AE92" s="66"/>
      <c r="AF92" s="67"/>
      <c r="AG92" s="66"/>
      <c r="AH92" s="67"/>
      <c r="AI92" s="66"/>
      <c r="AJ92" s="66"/>
      <c r="AK92" s="66"/>
      <c r="AL92" s="66"/>
      <c r="AM92" s="66"/>
      <c r="AN92" s="66"/>
      <c r="AO92" s="66"/>
      <c r="AP92" s="66"/>
      <c r="AQ92" s="65"/>
      <c r="AR92" s="65"/>
      <c r="AS92" s="65"/>
      <c r="AT92" s="65"/>
      <c r="AU92" s="65"/>
      <c r="AV92" s="65"/>
      <c r="AW92" s="65"/>
      <c r="AX92" s="68"/>
    </row>
    <row r="93" spans="2:50" ht="16.5" customHeight="1" thickBot="1" x14ac:dyDescent="0.3">
      <c r="B93" s="1" t="s">
        <v>1</v>
      </c>
      <c r="C93" s="10"/>
      <c r="D93">
        <f t="shared" ref="D93:D95" si="9">C93</f>
        <v>0</v>
      </c>
      <c r="F93" s="1" t="s">
        <v>1</v>
      </c>
      <c r="G93" s="78"/>
      <c r="H93" s="46"/>
      <c r="I93" s="46"/>
      <c r="J93" s="70"/>
      <c r="K93" s="69"/>
      <c r="L93" s="46"/>
      <c r="M93" s="46"/>
      <c r="N93" s="46"/>
      <c r="O93" s="69"/>
      <c r="P93" s="70"/>
      <c r="Q93" s="69"/>
      <c r="R93" s="46"/>
      <c r="S93" s="46"/>
      <c r="T93" s="46"/>
      <c r="U93" s="46"/>
      <c r="V93" s="46"/>
      <c r="W93" s="46"/>
      <c r="X93" s="70"/>
      <c r="Y93" s="78"/>
      <c r="Z93" s="46"/>
      <c r="AA93" s="46"/>
      <c r="AB93" s="46"/>
      <c r="AC93" s="69"/>
      <c r="AD93" s="46"/>
      <c r="AE93" s="46"/>
      <c r="AF93" s="70"/>
      <c r="AG93" s="46"/>
      <c r="AH93" s="70"/>
      <c r="AI93" s="46"/>
      <c r="AJ93" s="46"/>
      <c r="AK93" s="46"/>
      <c r="AL93" s="46"/>
      <c r="AM93" s="46"/>
      <c r="AN93" s="46"/>
      <c r="AO93" s="46"/>
      <c r="AP93" s="46"/>
      <c r="AQ93" s="69"/>
      <c r="AR93" s="69"/>
      <c r="AS93" s="69"/>
      <c r="AT93" s="69"/>
      <c r="AU93" s="69"/>
      <c r="AV93" s="69"/>
      <c r="AW93" s="69"/>
      <c r="AX93" s="71"/>
    </row>
    <row r="94" spans="2:50" ht="16.5" customHeight="1" thickBot="1" x14ac:dyDescent="0.3">
      <c r="B94" s="1" t="s">
        <v>2</v>
      </c>
      <c r="C94" s="10"/>
      <c r="D94">
        <f>C94</f>
        <v>0</v>
      </c>
      <c r="F94" s="1" t="s">
        <v>2</v>
      </c>
      <c r="G94" s="78"/>
      <c r="H94" s="46"/>
      <c r="I94" s="46"/>
      <c r="J94" s="70"/>
      <c r="K94" s="69"/>
      <c r="L94" s="46"/>
      <c r="M94" s="46"/>
      <c r="N94" s="46"/>
      <c r="O94" s="69"/>
      <c r="P94" s="70"/>
      <c r="Q94" s="69"/>
      <c r="R94" s="46"/>
      <c r="S94" s="46"/>
      <c r="T94" s="46"/>
      <c r="U94" s="46"/>
      <c r="V94" s="46"/>
      <c r="W94" s="46"/>
      <c r="X94" s="70"/>
      <c r="Y94" s="78"/>
      <c r="Z94" s="46"/>
      <c r="AA94" s="46"/>
      <c r="AB94" s="46"/>
      <c r="AC94" s="69"/>
      <c r="AD94" s="46"/>
      <c r="AE94" s="46"/>
      <c r="AF94" s="70"/>
      <c r="AG94" s="46"/>
      <c r="AH94" s="70"/>
      <c r="AI94" s="46"/>
      <c r="AJ94" s="46"/>
      <c r="AK94" s="46"/>
      <c r="AL94" s="46"/>
      <c r="AM94" s="46"/>
      <c r="AN94" s="46"/>
      <c r="AO94" s="46"/>
      <c r="AP94" s="46"/>
      <c r="AQ94" s="69"/>
      <c r="AR94" s="69"/>
      <c r="AS94" s="69"/>
      <c r="AT94" s="69"/>
      <c r="AU94" s="69"/>
      <c r="AV94" s="69"/>
      <c r="AW94" s="69"/>
      <c r="AX94" s="71"/>
    </row>
    <row r="95" spans="2:50" ht="16.5" customHeight="1" thickBot="1" x14ac:dyDescent="0.3">
      <c r="B95" s="1" t="s">
        <v>3</v>
      </c>
      <c r="C95" s="10"/>
      <c r="D95" s="7">
        <f t="shared" si="9"/>
        <v>0</v>
      </c>
      <c r="F95" s="1" t="s">
        <v>3</v>
      </c>
      <c r="G95" s="79"/>
      <c r="H95" s="73"/>
      <c r="I95" s="73"/>
      <c r="J95" s="74"/>
      <c r="K95" s="72"/>
      <c r="L95" s="73"/>
      <c r="M95" s="73"/>
      <c r="N95" s="73"/>
      <c r="O95" s="72"/>
      <c r="P95" s="74"/>
      <c r="Q95" s="72"/>
      <c r="R95" s="73"/>
      <c r="S95" s="73"/>
      <c r="T95" s="73"/>
      <c r="U95" s="73"/>
      <c r="V95" s="73"/>
      <c r="W95" s="73"/>
      <c r="X95" s="74"/>
      <c r="Y95" s="79"/>
      <c r="Z95" s="73"/>
      <c r="AA95" s="73"/>
      <c r="AB95" s="73"/>
      <c r="AC95" s="72"/>
      <c r="AD95" s="73"/>
      <c r="AE95" s="73"/>
      <c r="AF95" s="74"/>
      <c r="AG95" s="73"/>
      <c r="AH95" s="74"/>
      <c r="AI95" s="73"/>
      <c r="AJ95" s="73"/>
      <c r="AK95" s="73"/>
      <c r="AL95" s="73"/>
      <c r="AM95" s="73"/>
      <c r="AN95" s="73"/>
      <c r="AO95" s="73"/>
      <c r="AP95" s="73"/>
      <c r="AQ95" s="72"/>
      <c r="AR95" s="72"/>
      <c r="AS95" s="72"/>
      <c r="AT95" s="72"/>
      <c r="AU95" s="72"/>
      <c r="AV95" s="72"/>
      <c r="AW95" s="72"/>
      <c r="AX95" s="75"/>
    </row>
    <row r="96" spans="2:50" ht="21" customHeight="1" x14ac:dyDescent="0.25">
      <c r="B96" s="2"/>
      <c r="C96" s="3" t="s">
        <v>25</v>
      </c>
      <c r="D96" s="9">
        <f>SUM(D92:D95)</f>
        <v>0</v>
      </c>
      <c r="G96" s="80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80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</row>
    <row r="97" spans="2:50" x14ac:dyDescent="0.25"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</row>
    <row r="98" spans="2:50" ht="15.75" x14ac:dyDescent="0.25">
      <c r="G98" s="100" t="s">
        <v>22</v>
      </c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1" t="s">
        <v>21</v>
      </c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46"/>
      <c r="AR98" s="46"/>
      <c r="AS98" s="46"/>
      <c r="AT98" s="46"/>
      <c r="AU98" s="46"/>
      <c r="AV98" s="46"/>
      <c r="AW98" s="46"/>
      <c r="AX98" s="46"/>
    </row>
    <row r="99" spans="2:50" ht="32.25" thickBot="1" x14ac:dyDescent="0.3">
      <c r="G99" s="102" t="s">
        <v>14</v>
      </c>
      <c r="H99" s="102"/>
      <c r="I99" s="102"/>
      <c r="J99" s="102"/>
      <c r="K99" s="102" t="s">
        <v>15</v>
      </c>
      <c r="L99" s="102"/>
      <c r="M99" s="102"/>
      <c r="N99" s="102"/>
      <c r="O99" s="102" t="s">
        <v>59</v>
      </c>
      <c r="P99" s="102"/>
      <c r="Q99" s="102" t="s">
        <v>16</v>
      </c>
      <c r="R99" s="102"/>
      <c r="S99" s="102"/>
      <c r="T99" s="102"/>
      <c r="U99" s="102"/>
      <c r="V99" s="102"/>
      <c r="W99" s="102"/>
      <c r="X99" s="102"/>
      <c r="Y99" s="102" t="s">
        <v>14</v>
      </c>
      <c r="Z99" s="102"/>
      <c r="AA99" s="102"/>
      <c r="AB99" s="102"/>
      <c r="AC99" s="102" t="s">
        <v>15</v>
      </c>
      <c r="AD99" s="102"/>
      <c r="AE99" s="102"/>
      <c r="AF99" s="102"/>
      <c r="AG99" s="102" t="s">
        <v>59</v>
      </c>
      <c r="AH99" s="102"/>
      <c r="AI99" s="102" t="s">
        <v>16</v>
      </c>
      <c r="AJ99" s="102"/>
      <c r="AK99" s="102"/>
      <c r="AL99" s="102"/>
      <c r="AM99" s="102"/>
      <c r="AN99" s="102"/>
      <c r="AO99" s="102"/>
      <c r="AP99" s="102"/>
      <c r="AQ99" s="76" t="s">
        <v>60</v>
      </c>
      <c r="AR99" s="76"/>
      <c r="AS99" s="76" t="s">
        <v>65</v>
      </c>
      <c r="AT99" s="76" t="s">
        <v>61</v>
      </c>
      <c r="AU99" s="76" t="s">
        <v>62</v>
      </c>
      <c r="AV99" s="76" t="s">
        <v>27</v>
      </c>
      <c r="AW99" s="76" t="s">
        <v>64</v>
      </c>
      <c r="AX99" s="76" t="s">
        <v>63</v>
      </c>
    </row>
    <row r="100" spans="2:50" ht="48" thickBot="1" x14ac:dyDescent="0.3">
      <c r="B100" s="20">
        <v>0.10416666666666667</v>
      </c>
      <c r="C100" s="14" t="s">
        <v>13</v>
      </c>
      <c r="D100" s="8" t="s">
        <v>6</v>
      </c>
      <c r="F100" s="13"/>
      <c r="G100" s="63" t="s">
        <v>20</v>
      </c>
      <c r="H100" s="64" t="s">
        <v>17</v>
      </c>
      <c r="I100" s="64" t="s">
        <v>19</v>
      </c>
      <c r="J100" s="64" t="s">
        <v>18</v>
      </c>
      <c r="K100" s="64" t="s">
        <v>52</v>
      </c>
      <c r="L100" s="64" t="s">
        <v>51</v>
      </c>
      <c r="M100" s="64" t="s">
        <v>53</v>
      </c>
      <c r="N100" s="64" t="s">
        <v>54</v>
      </c>
      <c r="O100" s="64" t="s">
        <v>20</v>
      </c>
      <c r="P100" s="64" t="s">
        <v>19</v>
      </c>
      <c r="Q100" s="64" t="s">
        <v>55</v>
      </c>
      <c r="R100" s="64" t="s">
        <v>56</v>
      </c>
      <c r="S100" s="64" t="s">
        <v>52</v>
      </c>
      <c r="T100" s="64" t="s">
        <v>51</v>
      </c>
      <c r="U100" s="64" t="s">
        <v>57</v>
      </c>
      <c r="V100" s="64" t="s">
        <v>58</v>
      </c>
      <c r="W100" s="64" t="s">
        <v>53</v>
      </c>
      <c r="X100" s="64" t="s">
        <v>54</v>
      </c>
      <c r="Y100" s="63" t="s">
        <v>20</v>
      </c>
      <c r="Z100" s="64" t="s">
        <v>17</v>
      </c>
      <c r="AA100" s="64" t="s">
        <v>19</v>
      </c>
      <c r="AB100" s="64" t="s">
        <v>18</v>
      </c>
      <c r="AC100" s="64" t="s">
        <v>52</v>
      </c>
      <c r="AD100" s="64" t="s">
        <v>51</v>
      </c>
      <c r="AE100" s="64" t="s">
        <v>53</v>
      </c>
      <c r="AF100" s="64" t="s">
        <v>54</v>
      </c>
      <c r="AG100" s="64" t="s">
        <v>20</v>
      </c>
      <c r="AH100" s="64" t="s">
        <v>19</v>
      </c>
      <c r="AI100" s="64" t="s">
        <v>55</v>
      </c>
      <c r="AJ100" s="64" t="s">
        <v>56</v>
      </c>
      <c r="AK100" s="64" t="s">
        <v>52</v>
      </c>
      <c r="AL100" s="64" t="s">
        <v>51</v>
      </c>
      <c r="AM100" s="64" t="s">
        <v>57</v>
      </c>
      <c r="AN100" s="64" t="s">
        <v>58</v>
      </c>
      <c r="AO100" s="64" t="s">
        <v>53</v>
      </c>
      <c r="AP100" s="64" t="s">
        <v>54</v>
      </c>
      <c r="AQ100" s="46"/>
      <c r="AR100" s="46"/>
      <c r="AS100" s="46"/>
      <c r="AT100" s="46"/>
      <c r="AU100" s="46"/>
      <c r="AV100" s="46"/>
      <c r="AW100" s="46"/>
      <c r="AX100" s="46"/>
    </row>
    <row r="101" spans="2:50" ht="16.5" customHeight="1" thickBot="1" x14ac:dyDescent="0.3">
      <c r="B101" s="1" t="s">
        <v>0</v>
      </c>
      <c r="C101" s="10"/>
      <c r="D101">
        <f>C101</f>
        <v>0</v>
      </c>
      <c r="F101" s="12" t="s">
        <v>0</v>
      </c>
      <c r="G101" s="77"/>
      <c r="H101" s="66"/>
      <c r="I101" s="66"/>
      <c r="J101" s="67"/>
      <c r="K101" s="65"/>
      <c r="L101" s="66"/>
      <c r="M101" s="66"/>
      <c r="N101" s="66"/>
      <c r="O101" s="65"/>
      <c r="P101" s="67"/>
      <c r="Q101" s="65"/>
      <c r="R101" s="66"/>
      <c r="S101" s="66"/>
      <c r="T101" s="66"/>
      <c r="U101" s="66"/>
      <c r="V101" s="66"/>
      <c r="W101" s="66"/>
      <c r="X101" s="67"/>
      <c r="Y101" s="77"/>
      <c r="Z101" s="66"/>
      <c r="AA101" s="66"/>
      <c r="AB101" s="66"/>
      <c r="AC101" s="65"/>
      <c r="AD101" s="66"/>
      <c r="AE101" s="66"/>
      <c r="AF101" s="67"/>
      <c r="AG101" s="66"/>
      <c r="AH101" s="67"/>
      <c r="AI101" s="66"/>
      <c r="AJ101" s="66"/>
      <c r="AK101" s="66"/>
      <c r="AL101" s="66"/>
      <c r="AM101" s="66"/>
      <c r="AN101" s="66"/>
      <c r="AO101" s="66"/>
      <c r="AP101" s="66"/>
      <c r="AQ101" s="65"/>
      <c r="AR101" s="65"/>
      <c r="AS101" s="65"/>
      <c r="AT101" s="65"/>
      <c r="AU101" s="65"/>
      <c r="AV101" s="65"/>
      <c r="AW101" s="65"/>
      <c r="AX101" s="68"/>
    </row>
    <row r="102" spans="2:50" ht="16.5" customHeight="1" thickBot="1" x14ac:dyDescent="0.3">
      <c r="B102" s="1" t="s">
        <v>1</v>
      </c>
      <c r="C102" s="10"/>
      <c r="D102">
        <f t="shared" ref="D102:D104" si="10">C102</f>
        <v>0</v>
      </c>
      <c r="F102" s="1" t="s">
        <v>1</v>
      </c>
      <c r="G102" s="78"/>
      <c r="H102" s="46"/>
      <c r="I102" s="46"/>
      <c r="J102" s="70"/>
      <c r="K102" s="69"/>
      <c r="L102" s="46"/>
      <c r="M102" s="46"/>
      <c r="N102" s="46"/>
      <c r="O102" s="69"/>
      <c r="P102" s="70"/>
      <c r="Q102" s="69"/>
      <c r="R102" s="46"/>
      <c r="S102" s="46"/>
      <c r="T102" s="46"/>
      <c r="U102" s="46"/>
      <c r="V102" s="46"/>
      <c r="W102" s="46"/>
      <c r="X102" s="70"/>
      <c r="Y102" s="78"/>
      <c r="Z102" s="46"/>
      <c r="AA102" s="46"/>
      <c r="AB102" s="46"/>
      <c r="AC102" s="69"/>
      <c r="AD102" s="46"/>
      <c r="AE102" s="46"/>
      <c r="AF102" s="70"/>
      <c r="AG102" s="46"/>
      <c r="AH102" s="70"/>
      <c r="AI102" s="46"/>
      <c r="AJ102" s="46"/>
      <c r="AK102" s="46"/>
      <c r="AL102" s="46"/>
      <c r="AM102" s="46"/>
      <c r="AN102" s="46"/>
      <c r="AO102" s="46"/>
      <c r="AP102" s="46"/>
      <c r="AQ102" s="69"/>
      <c r="AR102" s="69"/>
      <c r="AS102" s="69"/>
      <c r="AT102" s="69"/>
      <c r="AU102" s="69"/>
      <c r="AV102" s="69"/>
      <c r="AW102" s="69"/>
      <c r="AX102" s="71"/>
    </row>
    <row r="103" spans="2:50" ht="16.5" customHeight="1" thickBot="1" x14ac:dyDescent="0.3">
      <c r="B103" s="1" t="s">
        <v>2</v>
      </c>
      <c r="C103" s="10"/>
      <c r="D103">
        <f>C103</f>
        <v>0</v>
      </c>
      <c r="F103" s="1" t="s">
        <v>2</v>
      </c>
      <c r="G103" s="78"/>
      <c r="H103" s="46"/>
      <c r="I103" s="46"/>
      <c r="J103" s="70"/>
      <c r="K103" s="69"/>
      <c r="L103" s="46"/>
      <c r="M103" s="46"/>
      <c r="N103" s="46"/>
      <c r="O103" s="69"/>
      <c r="P103" s="70"/>
      <c r="Q103" s="69"/>
      <c r="R103" s="46"/>
      <c r="S103" s="46"/>
      <c r="T103" s="46"/>
      <c r="U103" s="46"/>
      <c r="V103" s="46"/>
      <c r="W103" s="46"/>
      <c r="X103" s="70"/>
      <c r="Y103" s="78"/>
      <c r="Z103" s="46"/>
      <c r="AA103" s="46"/>
      <c r="AB103" s="46"/>
      <c r="AC103" s="69"/>
      <c r="AD103" s="46"/>
      <c r="AE103" s="46"/>
      <c r="AF103" s="70"/>
      <c r="AG103" s="46"/>
      <c r="AH103" s="70"/>
      <c r="AI103" s="46"/>
      <c r="AJ103" s="46"/>
      <c r="AK103" s="46"/>
      <c r="AL103" s="46"/>
      <c r="AM103" s="46"/>
      <c r="AN103" s="46"/>
      <c r="AO103" s="46"/>
      <c r="AP103" s="46"/>
      <c r="AQ103" s="69"/>
      <c r="AR103" s="69"/>
      <c r="AS103" s="69"/>
      <c r="AT103" s="69"/>
      <c r="AU103" s="69"/>
      <c r="AV103" s="69"/>
      <c r="AW103" s="69"/>
      <c r="AX103" s="71"/>
    </row>
    <row r="104" spans="2:50" ht="16.5" customHeight="1" thickBot="1" x14ac:dyDescent="0.3">
      <c r="B104" s="1" t="s">
        <v>3</v>
      </c>
      <c r="C104" s="10"/>
      <c r="D104" s="7">
        <f t="shared" si="10"/>
        <v>0</v>
      </c>
      <c r="F104" s="1" t="s">
        <v>3</v>
      </c>
      <c r="G104" s="79"/>
      <c r="H104" s="73"/>
      <c r="I104" s="73"/>
      <c r="J104" s="74"/>
      <c r="K104" s="72"/>
      <c r="L104" s="73"/>
      <c r="M104" s="73"/>
      <c r="N104" s="73"/>
      <c r="O104" s="72"/>
      <c r="P104" s="74"/>
      <c r="Q104" s="72"/>
      <c r="R104" s="73"/>
      <c r="S104" s="73"/>
      <c r="T104" s="73"/>
      <c r="U104" s="73"/>
      <c r="V104" s="73"/>
      <c r="W104" s="73"/>
      <c r="X104" s="74"/>
      <c r="Y104" s="79"/>
      <c r="Z104" s="73"/>
      <c r="AA104" s="73"/>
      <c r="AB104" s="73"/>
      <c r="AC104" s="72"/>
      <c r="AD104" s="73"/>
      <c r="AE104" s="73"/>
      <c r="AF104" s="74"/>
      <c r="AG104" s="73"/>
      <c r="AH104" s="74"/>
      <c r="AI104" s="73"/>
      <c r="AJ104" s="73"/>
      <c r="AK104" s="73"/>
      <c r="AL104" s="73"/>
      <c r="AM104" s="73"/>
      <c r="AN104" s="73"/>
      <c r="AO104" s="73"/>
      <c r="AP104" s="73"/>
      <c r="AQ104" s="72"/>
      <c r="AR104" s="72"/>
      <c r="AS104" s="72"/>
      <c r="AT104" s="72"/>
      <c r="AU104" s="72"/>
      <c r="AV104" s="72"/>
      <c r="AW104" s="72"/>
      <c r="AX104" s="75"/>
    </row>
    <row r="105" spans="2:50" ht="21" customHeight="1" x14ac:dyDescent="0.25">
      <c r="B105" s="2"/>
      <c r="C105" s="3" t="s">
        <v>25</v>
      </c>
      <c r="D105" s="9">
        <f>SUM(D101:D104)</f>
        <v>0</v>
      </c>
      <c r="G105" s="80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80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</row>
    <row r="106" spans="2:50" x14ac:dyDescent="0.25"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</row>
    <row r="107" spans="2:50" ht="15.75" x14ac:dyDescent="0.25">
      <c r="G107" s="100" t="s">
        <v>22</v>
      </c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1" t="s">
        <v>21</v>
      </c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46"/>
      <c r="AR107" s="46"/>
      <c r="AS107" s="46"/>
      <c r="AT107" s="46"/>
      <c r="AU107" s="46"/>
      <c r="AV107" s="46"/>
      <c r="AW107" s="46"/>
      <c r="AX107" s="46"/>
    </row>
    <row r="108" spans="2:50" ht="32.25" thickBot="1" x14ac:dyDescent="0.3">
      <c r="G108" s="102" t="s">
        <v>14</v>
      </c>
      <c r="H108" s="102"/>
      <c r="I108" s="102"/>
      <c r="J108" s="102"/>
      <c r="K108" s="102" t="s">
        <v>15</v>
      </c>
      <c r="L108" s="102"/>
      <c r="M108" s="102"/>
      <c r="N108" s="102"/>
      <c r="O108" s="102" t="s">
        <v>59</v>
      </c>
      <c r="P108" s="102"/>
      <c r="Q108" s="102" t="s">
        <v>16</v>
      </c>
      <c r="R108" s="102"/>
      <c r="S108" s="102"/>
      <c r="T108" s="102"/>
      <c r="U108" s="102"/>
      <c r="V108" s="102"/>
      <c r="W108" s="102"/>
      <c r="X108" s="102"/>
      <c r="Y108" s="102" t="s">
        <v>14</v>
      </c>
      <c r="Z108" s="102"/>
      <c r="AA108" s="102"/>
      <c r="AB108" s="102"/>
      <c r="AC108" s="102" t="s">
        <v>15</v>
      </c>
      <c r="AD108" s="102"/>
      <c r="AE108" s="102"/>
      <c r="AF108" s="102"/>
      <c r="AG108" s="102" t="s">
        <v>59</v>
      </c>
      <c r="AH108" s="102"/>
      <c r="AI108" s="102" t="s">
        <v>16</v>
      </c>
      <c r="AJ108" s="102"/>
      <c r="AK108" s="102"/>
      <c r="AL108" s="102"/>
      <c r="AM108" s="102"/>
      <c r="AN108" s="102"/>
      <c r="AO108" s="102"/>
      <c r="AP108" s="102"/>
      <c r="AQ108" s="76" t="s">
        <v>60</v>
      </c>
      <c r="AR108" s="76"/>
      <c r="AS108" s="76" t="s">
        <v>65</v>
      </c>
      <c r="AT108" s="76" t="s">
        <v>61</v>
      </c>
      <c r="AU108" s="76" t="s">
        <v>62</v>
      </c>
      <c r="AV108" s="76" t="s">
        <v>27</v>
      </c>
      <c r="AW108" s="76" t="s">
        <v>64</v>
      </c>
      <c r="AX108" s="76" t="s">
        <v>63</v>
      </c>
    </row>
    <row r="109" spans="2:50" ht="48" thickBot="1" x14ac:dyDescent="0.3">
      <c r="B109" s="20">
        <v>0.11458333333333333</v>
      </c>
      <c r="C109" s="14" t="s">
        <v>13</v>
      </c>
      <c r="D109" s="8" t="s">
        <v>6</v>
      </c>
      <c r="F109" s="13"/>
      <c r="G109" s="63" t="s">
        <v>20</v>
      </c>
      <c r="H109" s="64" t="s">
        <v>17</v>
      </c>
      <c r="I109" s="64" t="s">
        <v>19</v>
      </c>
      <c r="J109" s="64" t="s">
        <v>18</v>
      </c>
      <c r="K109" s="64" t="s">
        <v>52</v>
      </c>
      <c r="L109" s="64" t="s">
        <v>51</v>
      </c>
      <c r="M109" s="64" t="s">
        <v>53</v>
      </c>
      <c r="N109" s="64" t="s">
        <v>54</v>
      </c>
      <c r="O109" s="64" t="s">
        <v>20</v>
      </c>
      <c r="P109" s="64" t="s">
        <v>19</v>
      </c>
      <c r="Q109" s="64" t="s">
        <v>55</v>
      </c>
      <c r="R109" s="64" t="s">
        <v>56</v>
      </c>
      <c r="S109" s="64" t="s">
        <v>52</v>
      </c>
      <c r="T109" s="64" t="s">
        <v>51</v>
      </c>
      <c r="U109" s="64" t="s">
        <v>57</v>
      </c>
      <c r="V109" s="64" t="s">
        <v>58</v>
      </c>
      <c r="W109" s="64" t="s">
        <v>53</v>
      </c>
      <c r="X109" s="64" t="s">
        <v>54</v>
      </c>
      <c r="Y109" s="63" t="s">
        <v>20</v>
      </c>
      <c r="Z109" s="64" t="s">
        <v>17</v>
      </c>
      <c r="AA109" s="64" t="s">
        <v>19</v>
      </c>
      <c r="AB109" s="64" t="s">
        <v>18</v>
      </c>
      <c r="AC109" s="64" t="s">
        <v>52</v>
      </c>
      <c r="AD109" s="64" t="s">
        <v>51</v>
      </c>
      <c r="AE109" s="64" t="s">
        <v>53</v>
      </c>
      <c r="AF109" s="64" t="s">
        <v>54</v>
      </c>
      <c r="AG109" s="64" t="s">
        <v>20</v>
      </c>
      <c r="AH109" s="64" t="s">
        <v>19</v>
      </c>
      <c r="AI109" s="64" t="s">
        <v>55</v>
      </c>
      <c r="AJ109" s="64" t="s">
        <v>56</v>
      </c>
      <c r="AK109" s="64" t="s">
        <v>52</v>
      </c>
      <c r="AL109" s="64" t="s">
        <v>51</v>
      </c>
      <c r="AM109" s="64" t="s">
        <v>57</v>
      </c>
      <c r="AN109" s="64" t="s">
        <v>58</v>
      </c>
      <c r="AO109" s="64" t="s">
        <v>53</v>
      </c>
      <c r="AP109" s="64" t="s">
        <v>54</v>
      </c>
      <c r="AQ109" s="46"/>
      <c r="AR109" s="46"/>
      <c r="AS109" s="46"/>
      <c r="AT109" s="46"/>
      <c r="AU109" s="46"/>
      <c r="AV109" s="46"/>
      <c r="AW109" s="46"/>
      <c r="AX109" s="46"/>
    </row>
    <row r="110" spans="2:50" ht="16.5" customHeight="1" thickBot="1" x14ac:dyDescent="0.3">
      <c r="B110" s="1" t="s">
        <v>0</v>
      </c>
      <c r="C110" s="10"/>
      <c r="D110">
        <f>C110</f>
        <v>0</v>
      </c>
      <c r="F110" s="12" t="s">
        <v>0</v>
      </c>
      <c r="G110" s="77"/>
      <c r="H110" s="66"/>
      <c r="I110" s="66"/>
      <c r="J110" s="67"/>
      <c r="K110" s="65"/>
      <c r="L110" s="66"/>
      <c r="M110" s="66"/>
      <c r="N110" s="66"/>
      <c r="O110" s="65"/>
      <c r="P110" s="67"/>
      <c r="Q110" s="65"/>
      <c r="R110" s="66"/>
      <c r="S110" s="66"/>
      <c r="T110" s="66"/>
      <c r="U110" s="66"/>
      <c r="V110" s="66"/>
      <c r="W110" s="66"/>
      <c r="X110" s="67"/>
      <c r="Y110" s="77"/>
      <c r="Z110" s="66"/>
      <c r="AA110" s="66"/>
      <c r="AB110" s="66"/>
      <c r="AC110" s="65"/>
      <c r="AD110" s="66"/>
      <c r="AE110" s="66"/>
      <c r="AF110" s="67"/>
      <c r="AG110" s="66"/>
      <c r="AH110" s="67"/>
      <c r="AI110" s="66"/>
      <c r="AJ110" s="66"/>
      <c r="AK110" s="66"/>
      <c r="AL110" s="66"/>
      <c r="AM110" s="66"/>
      <c r="AN110" s="66"/>
      <c r="AO110" s="66"/>
      <c r="AP110" s="66"/>
      <c r="AQ110" s="65"/>
      <c r="AR110" s="65"/>
      <c r="AS110" s="65"/>
      <c r="AT110" s="65"/>
      <c r="AU110" s="65"/>
      <c r="AV110" s="65"/>
      <c r="AW110" s="65"/>
      <c r="AX110" s="68"/>
    </row>
    <row r="111" spans="2:50" ht="16.5" customHeight="1" thickBot="1" x14ac:dyDescent="0.3">
      <c r="B111" s="1" t="s">
        <v>1</v>
      </c>
      <c r="C111" s="10"/>
      <c r="D111">
        <f t="shared" ref="D111:D113" si="11">C111</f>
        <v>0</v>
      </c>
      <c r="F111" s="1" t="s">
        <v>1</v>
      </c>
      <c r="G111" s="78"/>
      <c r="H111" s="46"/>
      <c r="I111" s="46"/>
      <c r="J111" s="70"/>
      <c r="K111" s="69"/>
      <c r="L111" s="46"/>
      <c r="M111" s="46"/>
      <c r="N111" s="46"/>
      <c r="O111" s="69"/>
      <c r="P111" s="70"/>
      <c r="Q111" s="69"/>
      <c r="R111" s="46"/>
      <c r="S111" s="46"/>
      <c r="T111" s="46"/>
      <c r="U111" s="46"/>
      <c r="V111" s="46"/>
      <c r="W111" s="46"/>
      <c r="X111" s="70"/>
      <c r="Y111" s="78"/>
      <c r="Z111" s="46"/>
      <c r="AA111" s="46"/>
      <c r="AB111" s="46"/>
      <c r="AC111" s="69"/>
      <c r="AD111" s="46"/>
      <c r="AE111" s="46"/>
      <c r="AF111" s="70"/>
      <c r="AG111" s="46"/>
      <c r="AH111" s="70"/>
      <c r="AI111" s="46"/>
      <c r="AJ111" s="46"/>
      <c r="AK111" s="46"/>
      <c r="AL111" s="46"/>
      <c r="AM111" s="46"/>
      <c r="AN111" s="46"/>
      <c r="AO111" s="46"/>
      <c r="AP111" s="46"/>
      <c r="AQ111" s="69"/>
      <c r="AR111" s="69"/>
      <c r="AS111" s="69"/>
      <c r="AT111" s="69"/>
      <c r="AU111" s="69"/>
      <c r="AV111" s="69"/>
      <c r="AW111" s="69"/>
      <c r="AX111" s="71"/>
    </row>
    <row r="112" spans="2:50" ht="16.5" customHeight="1" thickBot="1" x14ac:dyDescent="0.3">
      <c r="B112" s="1" t="s">
        <v>2</v>
      </c>
      <c r="C112" s="10"/>
      <c r="D112">
        <f>C112</f>
        <v>0</v>
      </c>
      <c r="F112" s="1" t="s">
        <v>2</v>
      </c>
      <c r="G112" s="78"/>
      <c r="H112" s="46"/>
      <c r="I112" s="46"/>
      <c r="J112" s="70"/>
      <c r="K112" s="69"/>
      <c r="L112" s="46"/>
      <c r="M112" s="46"/>
      <c r="N112" s="46"/>
      <c r="O112" s="69"/>
      <c r="P112" s="70"/>
      <c r="Q112" s="69"/>
      <c r="R112" s="46"/>
      <c r="S112" s="46"/>
      <c r="T112" s="46"/>
      <c r="U112" s="46"/>
      <c r="V112" s="46"/>
      <c r="W112" s="46"/>
      <c r="X112" s="70"/>
      <c r="Y112" s="78"/>
      <c r="Z112" s="46"/>
      <c r="AA112" s="46"/>
      <c r="AB112" s="46"/>
      <c r="AC112" s="69"/>
      <c r="AD112" s="46"/>
      <c r="AE112" s="46"/>
      <c r="AF112" s="70"/>
      <c r="AG112" s="46"/>
      <c r="AH112" s="70"/>
      <c r="AI112" s="46"/>
      <c r="AJ112" s="46"/>
      <c r="AK112" s="46"/>
      <c r="AL112" s="46"/>
      <c r="AM112" s="46"/>
      <c r="AN112" s="46"/>
      <c r="AO112" s="46"/>
      <c r="AP112" s="46"/>
      <c r="AQ112" s="69"/>
      <c r="AR112" s="69"/>
      <c r="AS112" s="69"/>
      <c r="AT112" s="69"/>
      <c r="AU112" s="69"/>
      <c r="AV112" s="69"/>
      <c r="AW112" s="69"/>
      <c r="AX112" s="71"/>
    </row>
    <row r="113" spans="2:50" ht="16.5" customHeight="1" thickBot="1" x14ac:dyDescent="0.3">
      <c r="B113" s="1" t="s">
        <v>3</v>
      </c>
      <c r="C113" s="10"/>
      <c r="D113" s="7">
        <f t="shared" si="11"/>
        <v>0</v>
      </c>
      <c r="F113" s="1" t="s">
        <v>3</v>
      </c>
      <c r="G113" s="79"/>
      <c r="H113" s="73"/>
      <c r="I113" s="73"/>
      <c r="J113" s="74"/>
      <c r="K113" s="72"/>
      <c r="L113" s="73"/>
      <c r="M113" s="73"/>
      <c r="N113" s="73"/>
      <c r="O113" s="72"/>
      <c r="P113" s="74"/>
      <c r="Q113" s="72"/>
      <c r="R113" s="73"/>
      <c r="S113" s="73"/>
      <c r="T113" s="73"/>
      <c r="U113" s="73"/>
      <c r="V113" s="73"/>
      <c r="W113" s="73"/>
      <c r="X113" s="74"/>
      <c r="Y113" s="79"/>
      <c r="Z113" s="73"/>
      <c r="AA113" s="73"/>
      <c r="AB113" s="73"/>
      <c r="AC113" s="72"/>
      <c r="AD113" s="73"/>
      <c r="AE113" s="73"/>
      <c r="AF113" s="74"/>
      <c r="AG113" s="73"/>
      <c r="AH113" s="74"/>
      <c r="AI113" s="73"/>
      <c r="AJ113" s="73"/>
      <c r="AK113" s="73"/>
      <c r="AL113" s="73"/>
      <c r="AM113" s="73"/>
      <c r="AN113" s="73"/>
      <c r="AO113" s="73"/>
      <c r="AP113" s="73"/>
      <c r="AQ113" s="72"/>
      <c r="AR113" s="72"/>
      <c r="AS113" s="72"/>
      <c r="AT113" s="72"/>
      <c r="AU113" s="72"/>
      <c r="AV113" s="72"/>
      <c r="AW113" s="72"/>
      <c r="AX113" s="75"/>
    </row>
    <row r="114" spans="2:50" ht="21" customHeight="1" x14ac:dyDescent="0.25">
      <c r="B114" s="2"/>
      <c r="C114" s="3" t="s">
        <v>25</v>
      </c>
      <c r="D114" s="9">
        <f>SUM(D110:D113)</f>
        <v>0</v>
      </c>
      <c r="G114" s="80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80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</row>
    <row r="115" spans="2:50" x14ac:dyDescent="0.25"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</row>
    <row r="116" spans="2:50" ht="15.75" x14ac:dyDescent="0.25">
      <c r="G116" s="100" t="s">
        <v>22</v>
      </c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1" t="s">
        <v>21</v>
      </c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46"/>
      <c r="AR116" s="46"/>
      <c r="AS116" s="46"/>
      <c r="AT116" s="46"/>
      <c r="AU116" s="46"/>
      <c r="AV116" s="46"/>
      <c r="AW116" s="46"/>
      <c r="AX116" s="46"/>
    </row>
    <row r="117" spans="2:50" ht="32.25" thickBot="1" x14ac:dyDescent="0.3">
      <c r="G117" s="102" t="s">
        <v>14</v>
      </c>
      <c r="H117" s="102"/>
      <c r="I117" s="102"/>
      <c r="J117" s="102"/>
      <c r="K117" s="102" t="s">
        <v>15</v>
      </c>
      <c r="L117" s="102"/>
      <c r="M117" s="102"/>
      <c r="N117" s="102"/>
      <c r="O117" s="102" t="s">
        <v>59</v>
      </c>
      <c r="P117" s="102"/>
      <c r="Q117" s="102" t="s">
        <v>16</v>
      </c>
      <c r="R117" s="102"/>
      <c r="S117" s="102"/>
      <c r="T117" s="102"/>
      <c r="U117" s="102"/>
      <c r="V117" s="102"/>
      <c r="W117" s="102"/>
      <c r="X117" s="102"/>
      <c r="Y117" s="102" t="s">
        <v>14</v>
      </c>
      <c r="Z117" s="102"/>
      <c r="AA117" s="102"/>
      <c r="AB117" s="102"/>
      <c r="AC117" s="102" t="s">
        <v>15</v>
      </c>
      <c r="AD117" s="102"/>
      <c r="AE117" s="102"/>
      <c r="AF117" s="102"/>
      <c r="AG117" s="102" t="s">
        <v>59</v>
      </c>
      <c r="AH117" s="102"/>
      <c r="AI117" s="102" t="s">
        <v>16</v>
      </c>
      <c r="AJ117" s="102"/>
      <c r="AK117" s="102"/>
      <c r="AL117" s="102"/>
      <c r="AM117" s="102"/>
      <c r="AN117" s="102"/>
      <c r="AO117" s="102"/>
      <c r="AP117" s="102"/>
      <c r="AQ117" s="76" t="s">
        <v>60</v>
      </c>
      <c r="AR117" s="76"/>
      <c r="AS117" s="76" t="s">
        <v>65</v>
      </c>
      <c r="AT117" s="76" t="s">
        <v>61</v>
      </c>
      <c r="AU117" s="76" t="s">
        <v>62</v>
      </c>
      <c r="AV117" s="76" t="s">
        <v>27</v>
      </c>
      <c r="AW117" s="76" t="s">
        <v>64</v>
      </c>
      <c r="AX117" s="76" t="s">
        <v>63</v>
      </c>
    </row>
    <row r="118" spans="2:50" ht="48" thickBot="1" x14ac:dyDescent="0.3">
      <c r="B118" s="21">
        <v>0.125</v>
      </c>
      <c r="C118" s="14" t="s">
        <v>13</v>
      </c>
      <c r="D118" s="8" t="s">
        <v>6</v>
      </c>
      <c r="F118" s="13"/>
      <c r="G118" s="63" t="s">
        <v>20</v>
      </c>
      <c r="H118" s="64" t="s">
        <v>17</v>
      </c>
      <c r="I118" s="64" t="s">
        <v>19</v>
      </c>
      <c r="J118" s="64" t="s">
        <v>18</v>
      </c>
      <c r="K118" s="64" t="s">
        <v>52</v>
      </c>
      <c r="L118" s="64" t="s">
        <v>51</v>
      </c>
      <c r="M118" s="64" t="s">
        <v>53</v>
      </c>
      <c r="N118" s="64" t="s">
        <v>54</v>
      </c>
      <c r="O118" s="64" t="s">
        <v>20</v>
      </c>
      <c r="P118" s="64" t="s">
        <v>19</v>
      </c>
      <c r="Q118" s="64" t="s">
        <v>55</v>
      </c>
      <c r="R118" s="64" t="s">
        <v>56</v>
      </c>
      <c r="S118" s="64" t="s">
        <v>52</v>
      </c>
      <c r="T118" s="64" t="s">
        <v>51</v>
      </c>
      <c r="U118" s="64" t="s">
        <v>57</v>
      </c>
      <c r="V118" s="64" t="s">
        <v>58</v>
      </c>
      <c r="W118" s="64" t="s">
        <v>53</v>
      </c>
      <c r="X118" s="64" t="s">
        <v>54</v>
      </c>
      <c r="Y118" s="63" t="s">
        <v>20</v>
      </c>
      <c r="Z118" s="64" t="s">
        <v>17</v>
      </c>
      <c r="AA118" s="64" t="s">
        <v>19</v>
      </c>
      <c r="AB118" s="64" t="s">
        <v>18</v>
      </c>
      <c r="AC118" s="64" t="s">
        <v>52</v>
      </c>
      <c r="AD118" s="64" t="s">
        <v>51</v>
      </c>
      <c r="AE118" s="64" t="s">
        <v>53</v>
      </c>
      <c r="AF118" s="64" t="s">
        <v>54</v>
      </c>
      <c r="AG118" s="64" t="s">
        <v>20</v>
      </c>
      <c r="AH118" s="64" t="s">
        <v>19</v>
      </c>
      <c r="AI118" s="64" t="s">
        <v>55</v>
      </c>
      <c r="AJ118" s="64" t="s">
        <v>56</v>
      </c>
      <c r="AK118" s="64" t="s">
        <v>52</v>
      </c>
      <c r="AL118" s="64" t="s">
        <v>51</v>
      </c>
      <c r="AM118" s="64" t="s">
        <v>57</v>
      </c>
      <c r="AN118" s="64" t="s">
        <v>58</v>
      </c>
      <c r="AO118" s="64" t="s">
        <v>53</v>
      </c>
      <c r="AP118" s="64" t="s">
        <v>54</v>
      </c>
      <c r="AQ118" s="46"/>
      <c r="AR118" s="46"/>
      <c r="AS118" s="46"/>
      <c r="AT118" s="46"/>
      <c r="AU118" s="46"/>
      <c r="AV118" s="46"/>
      <c r="AW118" s="46"/>
      <c r="AX118" s="46"/>
    </row>
    <row r="119" spans="2:50" ht="16.5" customHeight="1" thickBot="1" x14ac:dyDescent="0.3">
      <c r="B119" s="1" t="s">
        <v>0</v>
      </c>
      <c r="C119" s="10"/>
      <c r="D119">
        <f>C119</f>
        <v>0</v>
      </c>
      <c r="F119" s="12" t="s">
        <v>0</v>
      </c>
      <c r="G119" s="77"/>
      <c r="H119" s="66"/>
      <c r="I119" s="66"/>
      <c r="J119" s="67"/>
      <c r="K119" s="65"/>
      <c r="L119" s="66"/>
      <c r="M119" s="66"/>
      <c r="N119" s="66"/>
      <c r="O119" s="65"/>
      <c r="P119" s="67"/>
      <c r="Q119" s="65"/>
      <c r="R119" s="66"/>
      <c r="S119" s="66"/>
      <c r="T119" s="66"/>
      <c r="U119" s="66"/>
      <c r="V119" s="66"/>
      <c r="W119" s="66"/>
      <c r="X119" s="67"/>
      <c r="Y119" s="77"/>
      <c r="Z119" s="66"/>
      <c r="AA119" s="66"/>
      <c r="AB119" s="66"/>
      <c r="AC119" s="65"/>
      <c r="AD119" s="66"/>
      <c r="AE119" s="66"/>
      <c r="AF119" s="67"/>
      <c r="AG119" s="66"/>
      <c r="AH119" s="67"/>
      <c r="AI119" s="66"/>
      <c r="AJ119" s="66"/>
      <c r="AK119" s="66"/>
      <c r="AL119" s="66"/>
      <c r="AM119" s="66"/>
      <c r="AN119" s="66"/>
      <c r="AO119" s="66"/>
      <c r="AP119" s="66"/>
      <c r="AQ119" s="65"/>
      <c r="AR119" s="65"/>
      <c r="AS119" s="65"/>
      <c r="AT119" s="65"/>
      <c r="AU119" s="65"/>
      <c r="AV119" s="65"/>
      <c r="AW119" s="65"/>
      <c r="AX119" s="68"/>
    </row>
    <row r="120" spans="2:50" ht="16.5" customHeight="1" thickBot="1" x14ac:dyDescent="0.3">
      <c r="B120" s="1" t="s">
        <v>1</v>
      </c>
      <c r="C120" s="10"/>
      <c r="D120">
        <f t="shared" ref="D120:D122" si="12">C120</f>
        <v>0</v>
      </c>
      <c r="F120" s="1" t="s">
        <v>1</v>
      </c>
      <c r="G120" s="78"/>
      <c r="H120" s="46"/>
      <c r="I120" s="46"/>
      <c r="J120" s="70"/>
      <c r="K120" s="69"/>
      <c r="L120" s="46"/>
      <c r="M120" s="46"/>
      <c r="N120" s="46"/>
      <c r="O120" s="69"/>
      <c r="P120" s="70"/>
      <c r="Q120" s="69"/>
      <c r="R120" s="46"/>
      <c r="S120" s="46"/>
      <c r="T120" s="46"/>
      <c r="U120" s="46"/>
      <c r="V120" s="46"/>
      <c r="W120" s="46"/>
      <c r="X120" s="70"/>
      <c r="Y120" s="78"/>
      <c r="Z120" s="46"/>
      <c r="AA120" s="46"/>
      <c r="AB120" s="46"/>
      <c r="AC120" s="69"/>
      <c r="AD120" s="46"/>
      <c r="AE120" s="46"/>
      <c r="AF120" s="70"/>
      <c r="AG120" s="46"/>
      <c r="AH120" s="70"/>
      <c r="AI120" s="46"/>
      <c r="AJ120" s="46"/>
      <c r="AK120" s="46"/>
      <c r="AL120" s="46"/>
      <c r="AM120" s="46"/>
      <c r="AN120" s="46"/>
      <c r="AO120" s="46"/>
      <c r="AP120" s="46"/>
      <c r="AQ120" s="69"/>
      <c r="AR120" s="69"/>
      <c r="AS120" s="69"/>
      <c r="AT120" s="69"/>
      <c r="AU120" s="69"/>
      <c r="AV120" s="69"/>
      <c r="AW120" s="69"/>
      <c r="AX120" s="71"/>
    </row>
    <row r="121" spans="2:50" ht="16.5" customHeight="1" thickBot="1" x14ac:dyDescent="0.3">
      <c r="B121" s="1" t="s">
        <v>2</v>
      </c>
      <c r="C121" s="10"/>
      <c r="D121">
        <f>C121</f>
        <v>0</v>
      </c>
      <c r="F121" s="1" t="s">
        <v>2</v>
      </c>
      <c r="G121" s="78"/>
      <c r="H121" s="46"/>
      <c r="I121" s="46"/>
      <c r="J121" s="70"/>
      <c r="K121" s="69"/>
      <c r="L121" s="46"/>
      <c r="M121" s="46"/>
      <c r="N121" s="46"/>
      <c r="O121" s="69"/>
      <c r="P121" s="70"/>
      <c r="Q121" s="69"/>
      <c r="R121" s="46"/>
      <c r="S121" s="46"/>
      <c r="T121" s="46"/>
      <c r="U121" s="46"/>
      <c r="V121" s="46"/>
      <c r="W121" s="46"/>
      <c r="X121" s="70"/>
      <c r="Y121" s="78"/>
      <c r="Z121" s="46"/>
      <c r="AA121" s="46"/>
      <c r="AB121" s="46"/>
      <c r="AC121" s="69"/>
      <c r="AD121" s="46"/>
      <c r="AE121" s="46"/>
      <c r="AF121" s="70"/>
      <c r="AG121" s="46"/>
      <c r="AH121" s="70"/>
      <c r="AI121" s="46"/>
      <c r="AJ121" s="46"/>
      <c r="AK121" s="46"/>
      <c r="AL121" s="46"/>
      <c r="AM121" s="46"/>
      <c r="AN121" s="46"/>
      <c r="AO121" s="46"/>
      <c r="AP121" s="46"/>
      <c r="AQ121" s="69"/>
      <c r="AR121" s="69"/>
      <c r="AS121" s="69"/>
      <c r="AT121" s="69"/>
      <c r="AU121" s="69"/>
      <c r="AV121" s="69"/>
      <c r="AW121" s="69"/>
      <c r="AX121" s="71"/>
    </row>
    <row r="122" spans="2:50" ht="16.5" customHeight="1" thickBot="1" x14ac:dyDescent="0.3">
      <c r="B122" s="1" t="s">
        <v>3</v>
      </c>
      <c r="C122" s="10"/>
      <c r="D122" s="7">
        <f t="shared" si="12"/>
        <v>0</v>
      </c>
      <c r="F122" s="1" t="s">
        <v>3</v>
      </c>
      <c r="G122" s="79"/>
      <c r="H122" s="73"/>
      <c r="I122" s="73"/>
      <c r="J122" s="74"/>
      <c r="K122" s="72"/>
      <c r="L122" s="73"/>
      <c r="M122" s="73"/>
      <c r="N122" s="73"/>
      <c r="O122" s="72"/>
      <c r="P122" s="74"/>
      <c r="Q122" s="72"/>
      <c r="R122" s="73"/>
      <c r="S122" s="73"/>
      <c r="T122" s="73"/>
      <c r="U122" s="73"/>
      <c r="V122" s="73"/>
      <c r="W122" s="73"/>
      <c r="X122" s="74"/>
      <c r="Y122" s="79"/>
      <c r="Z122" s="73"/>
      <c r="AA122" s="73"/>
      <c r="AB122" s="73"/>
      <c r="AC122" s="72"/>
      <c r="AD122" s="73"/>
      <c r="AE122" s="73"/>
      <c r="AF122" s="74"/>
      <c r="AG122" s="73"/>
      <c r="AH122" s="74"/>
      <c r="AI122" s="73"/>
      <c r="AJ122" s="73"/>
      <c r="AK122" s="73"/>
      <c r="AL122" s="73"/>
      <c r="AM122" s="73"/>
      <c r="AN122" s="73"/>
      <c r="AO122" s="73"/>
      <c r="AP122" s="73"/>
      <c r="AQ122" s="72"/>
      <c r="AR122" s="72"/>
      <c r="AS122" s="72"/>
      <c r="AT122" s="72"/>
      <c r="AU122" s="72"/>
      <c r="AV122" s="72"/>
      <c r="AW122" s="72"/>
      <c r="AX122" s="75"/>
    </row>
    <row r="123" spans="2:50" ht="21" customHeight="1" x14ac:dyDescent="0.25">
      <c r="B123" s="2"/>
      <c r="C123" s="3" t="s">
        <v>25</v>
      </c>
      <c r="D123" s="9">
        <f>SUM(D119:D122)</f>
        <v>0</v>
      </c>
      <c r="G123" s="80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80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</row>
    <row r="124" spans="2:50" x14ac:dyDescent="0.25"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</row>
    <row r="125" spans="2:50" ht="15.75" x14ac:dyDescent="0.25">
      <c r="G125" s="100" t="s">
        <v>22</v>
      </c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1" t="s">
        <v>21</v>
      </c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46"/>
      <c r="AR125" s="46"/>
      <c r="AS125" s="46"/>
      <c r="AT125" s="46"/>
      <c r="AU125" s="46"/>
      <c r="AV125" s="46"/>
      <c r="AW125" s="46"/>
      <c r="AX125" s="46"/>
    </row>
    <row r="126" spans="2:50" ht="32.25" thickBot="1" x14ac:dyDescent="0.3">
      <c r="G126" s="102" t="s">
        <v>14</v>
      </c>
      <c r="H126" s="102"/>
      <c r="I126" s="102"/>
      <c r="J126" s="102"/>
      <c r="K126" s="102" t="s">
        <v>15</v>
      </c>
      <c r="L126" s="102"/>
      <c r="M126" s="102"/>
      <c r="N126" s="102"/>
      <c r="O126" s="102" t="s">
        <v>59</v>
      </c>
      <c r="P126" s="102"/>
      <c r="Q126" s="102" t="s">
        <v>16</v>
      </c>
      <c r="R126" s="102"/>
      <c r="S126" s="102"/>
      <c r="T126" s="102"/>
      <c r="U126" s="102"/>
      <c r="V126" s="102"/>
      <c r="W126" s="102"/>
      <c r="X126" s="102"/>
      <c r="Y126" s="102" t="s">
        <v>14</v>
      </c>
      <c r="Z126" s="102"/>
      <c r="AA126" s="102"/>
      <c r="AB126" s="102"/>
      <c r="AC126" s="102" t="s">
        <v>15</v>
      </c>
      <c r="AD126" s="102"/>
      <c r="AE126" s="102"/>
      <c r="AF126" s="102"/>
      <c r="AG126" s="102" t="s">
        <v>59</v>
      </c>
      <c r="AH126" s="102"/>
      <c r="AI126" s="102" t="s">
        <v>16</v>
      </c>
      <c r="AJ126" s="102"/>
      <c r="AK126" s="102"/>
      <c r="AL126" s="102"/>
      <c r="AM126" s="102"/>
      <c r="AN126" s="102"/>
      <c r="AO126" s="102"/>
      <c r="AP126" s="102"/>
      <c r="AQ126" s="76" t="s">
        <v>60</v>
      </c>
      <c r="AR126" s="76"/>
      <c r="AS126" s="76" t="s">
        <v>65</v>
      </c>
      <c r="AT126" s="76" t="s">
        <v>61</v>
      </c>
      <c r="AU126" s="76" t="s">
        <v>62</v>
      </c>
      <c r="AV126" s="76" t="s">
        <v>27</v>
      </c>
      <c r="AW126" s="76" t="s">
        <v>64</v>
      </c>
      <c r="AX126" s="76" t="s">
        <v>63</v>
      </c>
    </row>
    <row r="127" spans="2:50" ht="48" thickBot="1" x14ac:dyDescent="0.3">
      <c r="B127" s="21">
        <v>0.13541666666666666</v>
      </c>
      <c r="C127" s="14" t="s">
        <v>13</v>
      </c>
      <c r="D127" s="8" t="s">
        <v>6</v>
      </c>
      <c r="F127" s="13"/>
      <c r="G127" s="63" t="s">
        <v>20</v>
      </c>
      <c r="H127" s="64" t="s">
        <v>17</v>
      </c>
      <c r="I127" s="64" t="s">
        <v>19</v>
      </c>
      <c r="J127" s="64" t="s">
        <v>18</v>
      </c>
      <c r="K127" s="64" t="s">
        <v>52</v>
      </c>
      <c r="L127" s="64" t="s">
        <v>51</v>
      </c>
      <c r="M127" s="64" t="s">
        <v>53</v>
      </c>
      <c r="N127" s="64" t="s">
        <v>54</v>
      </c>
      <c r="O127" s="64" t="s">
        <v>20</v>
      </c>
      <c r="P127" s="64" t="s">
        <v>19</v>
      </c>
      <c r="Q127" s="64" t="s">
        <v>55</v>
      </c>
      <c r="R127" s="64" t="s">
        <v>56</v>
      </c>
      <c r="S127" s="64" t="s">
        <v>52</v>
      </c>
      <c r="T127" s="64" t="s">
        <v>51</v>
      </c>
      <c r="U127" s="64" t="s">
        <v>57</v>
      </c>
      <c r="V127" s="64" t="s">
        <v>58</v>
      </c>
      <c r="W127" s="64" t="s">
        <v>53</v>
      </c>
      <c r="X127" s="64" t="s">
        <v>54</v>
      </c>
      <c r="Y127" s="63" t="s">
        <v>20</v>
      </c>
      <c r="Z127" s="64" t="s">
        <v>17</v>
      </c>
      <c r="AA127" s="64" t="s">
        <v>19</v>
      </c>
      <c r="AB127" s="64" t="s">
        <v>18</v>
      </c>
      <c r="AC127" s="64" t="s">
        <v>52</v>
      </c>
      <c r="AD127" s="64" t="s">
        <v>51</v>
      </c>
      <c r="AE127" s="64" t="s">
        <v>53</v>
      </c>
      <c r="AF127" s="64" t="s">
        <v>54</v>
      </c>
      <c r="AG127" s="64" t="s">
        <v>20</v>
      </c>
      <c r="AH127" s="64" t="s">
        <v>19</v>
      </c>
      <c r="AI127" s="64" t="s">
        <v>55</v>
      </c>
      <c r="AJ127" s="64" t="s">
        <v>56</v>
      </c>
      <c r="AK127" s="64" t="s">
        <v>52</v>
      </c>
      <c r="AL127" s="64" t="s">
        <v>51</v>
      </c>
      <c r="AM127" s="64" t="s">
        <v>57</v>
      </c>
      <c r="AN127" s="64" t="s">
        <v>58</v>
      </c>
      <c r="AO127" s="64" t="s">
        <v>53</v>
      </c>
      <c r="AP127" s="64" t="s">
        <v>54</v>
      </c>
      <c r="AQ127" s="46"/>
      <c r="AR127" s="46"/>
      <c r="AS127" s="46"/>
      <c r="AT127" s="46"/>
      <c r="AU127" s="46"/>
      <c r="AV127" s="46"/>
      <c r="AW127" s="46"/>
      <c r="AX127" s="46"/>
    </row>
    <row r="128" spans="2:50" ht="16.5" customHeight="1" thickBot="1" x14ac:dyDescent="0.3">
      <c r="B128" s="1" t="s">
        <v>0</v>
      </c>
      <c r="C128" s="10"/>
      <c r="D128">
        <f>C128</f>
        <v>0</v>
      </c>
      <c r="F128" s="12" t="s">
        <v>0</v>
      </c>
      <c r="G128" s="77"/>
      <c r="H128" s="66"/>
      <c r="I128" s="66"/>
      <c r="J128" s="67"/>
      <c r="K128" s="65"/>
      <c r="L128" s="66"/>
      <c r="M128" s="66"/>
      <c r="N128" s="66"/>
      <c r="O128" s="65"/>
      <c r="P128" s="67"/>
      <c r="Q128" s="65"/>
      <c r="R128" s="66"/>
      <c r="S128" s="66"/>
      <c r="T128" s="66"/>
      <c r="U128" s="66"/>
      <c r="V128" s="66"/>
      <c r="W128" s="66"/>
      <c r="X128" s="67"/>
      <c r="Y128" s="77"/>
      <c r="Z128" s="66"/>
      <c r="AA128" s="66"/>
      <c r="AB128" s="66"/>
      <c r="AC128" s="65"/>
      <c r="AD128" s="66"/>
      <c r="AE128" s="66"/>
      <c r="AF128" s="67"/>
      <c r="AG128" s="66"/>
      <c r="AH128" s="67"/>
      <c r="AI128" s="66"/>
      <c r="AJ128" s="66"/>
      <c r="AK128" s="66"/>
      <c r="AL128" s="66"/>
      <c r="AM128" s="66"/>
      <c r="AN128" s="66"/>
      <c r="AO128" s="66"/>
      <c r="AP128" s="66"/>
      <c r="AQ128" s="65"/>
      <c r="AR128" s="65"/>
      <c r="AS128" s="65"/>
      <c r="AT128" s="65"/>
      <c r="AU128" s="65"/>
      <c r="AV128" s="65"/>
      <c r="AW128" s="65"/>
      <c r="AX128" s="68"/>
    </row>
    <row r="129" spans="2:50" ht="16.5" customHeight="1" thickBot="1" x14ac:dyDescent="0.3">
      <c r="B129" s="1" t="s">
        <v>1</v>
      </c>
      <c r="C129" s="10"/>
      <c r="D129">
        <f t="shared" ref="D129:D131" si="13">C129</f>
        <v>0</v>
      </c>
      <c r="F129" s="1" t="s">
        <v>1</v>
      </c>
      <c r="G129" s="78"/>
      <c r="H129" s="46"/>
      <c r="I129" s="46"/>
      <c r="J129" s="70"/>
      <c r="K129" s="69"/>
      <c r="L129" s="46"/>
      <c r="M129" s="46"/>
      <c r="N129" s="46"/>
      <c r="O129" s="69"/>
      <c r="P129" s="70"/>
      <c r="Q129" s="69"/>
      <c r="R129" s="46"/>
      <c r="S129" s="46"/>
      <c r="T129" s="46"/>
      <c r="U129" s="46"/>
      <c r="V129" s="46"/>
      <c r="W129" s="46"/>
      <c r="X129" s="70"/>
      <c r="Y129" s="78"/>
      <c r="Z129" s="46"/>
      <c r="AA129" s="46"/>
      <c r="AB129" s="46"/>
      <c r="AC129" s="69"/>
      <c r="AD129" s="46"/>
      <c r="AE129" s="46"/>
      <c r="AF129" s="70"/>
      <c r="AG129" s="46"/>
      <c r="AH129" s="70"/>
      <c r="AI129" s="46"/>
      <c r="AJ129" s="46"/>
      <c r="AK129" s="46"/>
      <c r="AL129" s="46"/>
      <c r="AM129" s="46"/>
      <c r="AN129" s="46"/>
      <c r="AO129" s="46"/>
      <c r="AP129" s="46"/>
      <c r="AQ129" s="69"/>
      <c r="AR129" s="69"/>
      <c r="AS129" s="69"/>
      <c r="AT129" s="69"/>
      <c r="AU129" s="69"/>
      <c r="AV129" s="69"/>
      <c r="AW129" s="69"/>
      <c r="AX129" s="71"/>
    </row>
    <row r="130" spans="2:50" ht="16.5" customHeight="1" thickBot="1" x14ac:dyDescent="0.3">
      <c r="B130" s="1" t="s">
        <v>2</v>
      </c>
      <c r="C130" s="10"/>
      <c r="D130">
        <f>C130</f>
        <v>0</v>
      </c>
      <c r="F130" s="1" t="s">
        <v>2</v>
      </c>
      <c r="G130" s="78"/>
      <c r="H130" s="46"/>
      <c r="I130" s="46"/>
      <c r="J130" s="70"/>
      <c r="K130" s="69"/>
      <c r="L130" s="46"/>
      <c r="M130" s="46"/>
      <c r="N130" s="46"/>
      <c r="O130" s="69"/>
      <c r="P130" s="70"/>
      <c r="Q130" s="69"/>
      <c r="R130" s="46"/>
      <c r="S130" s="46"/>
      <c r="T130" s="46"/>
      <c r="U130" s="46"/>
      <c r="V130" s="46"/>
      <c r="W130" s="46"/>
      <c r="X130" s="70"/>
      <c r="Y130" s="78"/>
      <c r="Z130" s="46"/>
      <c r="AA130" s="46"/>
      <c r="AB130" s="46"/>
      <c r="AC130" s="69"/>
      <c r="AD130" s="46"/>
      <c r="AE130" s="46"/>
      <c r="AF130" s="70"/>
      <c r="AG130" s="46"/>
      <c r="AH130" s="70"/>
      <c r="AI130" s="46"/>
      <c r="AJ130" s="46"/>
      <c r="AK130" s="46"/>
      <c r="AL130" s="46"/>
      <c r="AM130" s="46"/>
      <c r="AN130" s="46"/>
      <c r="AO130" s="46"/>
      <c r="AP130" s="46"/>
      <c r="AQ130" s="69"/>
      <c r="AR130" s="69"/>
      <c r="AS130" s="69"/>
      <c r="AT130" s="69"/>
      <c r="AU130" s="69"/>
      <c r="AV130" s="69"/>
      <c r="AW130" s="69"/>
      <c r="AX130" s="71"/>
    </row>
    <row r="131" spans="2:50" ht="16.5" customHeight="1" thickBot="1" x14ac:dyDescent="0.3">
      <c r="B131" s="1" t="s">
        <v>3</v>
      </c>
      <c r="C131" s="10"/>
      <c r="D131" s="7">
        <f t="shared" si="13"/>
        <v>0</v>
      </c>
      <c r="F131" s="1" t="s">
        <v>3</v>
      </c>
      <c r="G131" s="79"/>
      <c r="H131" s="73"/>
      <c r="I131" s="73"/>
      <c r="J131" s="74"/>
      <c r="K131" s="72"/>
      <c r="L131" s="73"/>
      <c r="M131" s="73"/>
      <c r="N131" s="73"/>
      <c r="O131" s="72"/>
      <c r="P131" s="74"/>
      <c r="Q131" s="72"/>
      <c r="R131" s="73"/>
      <c r="S131" s="73"/>
      <c r="T131" s="73"/>
      <c r="U131" s="73"/>
      <c r="V131" s="73"/>
      <c r="W131" s="73"/>
      <c r="X131" s="74"/>
      <c r="Y131" s="79"/>
      <c r="Z131" s="73"/>
      <c r="AA131" s="73"/>
      <c r="AB131" s="73"/>
      <c r="AC131" s="72"/>
      <c r="AD131" s="73"/>
      <c r="AE131" s="73"/>
      <c r="AF131" s="74"/>
      <c r="AG131" s="73"/>
      <c r="AH131" s="74"/>
      <c r="AI131" s="73"/>
      <c r="AJ131" s="73"/>
      <c r="AK131" s="73"/>
      <c r="AL131" s="73"/>
      <c r="AM131" s="73"/>
      <c r="AN131" s="73"/>
      <c r="AO131" s="73"/>
      <c r="AP131" s="73"/>
      <c r="AQ131" s="72"/>
      <c r="AR131" s="72"/>
      <c r="AS131" s="72"/>
      <c r="AT131" s="72"/>
      <c r="AU131" s="72"/>
      <c r="AV131" s="72"/>
      <c r="AW131" s="72"/>
      <c r="AX131" s="75"/>
    </row>
    <row r="132" spans="2:50" ht="21" customHeight="1" x14ac:dyDescent="0.25">
      <c r="B132" s="2"/>
      <c r="C132" s="3" t="s">
        <v>25</v>
      </c>
      <c r="D132" s="9">
        <f>SUM(D128:D131)</f>
        <v>0</v>
      </c>
      <c r="G132" s="80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80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</row>
    <row r="133" spans="2:50" x14ac:dyDescent="0.25"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</row>
    <row r="134" spans="2:50" ht="15.75" x14ac:dyDescent="0.25">
      <c r="G134" s="100" t="s">
        <v>22</v>
      </c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1" t="s">
        <v>21</v>
      </c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46"/>
      <c r="AR134" s="46"/>
      <c r="AS134" s="46"/>
      <c r="AT134" s="46"/>
      <c r="AU134" s="46"/>
      <c r="AV134" s="46"/>
      <c r="AW134" s="46"/>
      <c r="AX134" s="46"/>
    </row>
    <row r="135" spans="2:50" ht="32.25" thickBot="1" x14ac:dyDescent="0.3">
      <c r="G135" s="102" t="s">
        <v>14</v>
      </c>
      <c r="H135" s="102"/>
      <c r="I135" s="102"/>
      <c r="J135" s="102"/>
      <c r="K135" s="102" t="s">
        <v>15</v>
      </c>
      <c r="L135" s="102"/>
      <c r="M135" s="102"/>
      <c r="N135" s="102"/>
      <c r="O135" s="102" t="s">
        <v>59</v>
      </c>
      <c r="P135" s="102"/>
      <c r="Q135" s="102" t="s">
        <v>16</v>
      </c>
      <c r="R135" s="102"/>
      <c r="S135" s="102"/>
      <c r="T135" s="102"/>
      <c r="U135" s="102"/>
      <c r="V135" s="102"/>
      <c r="W135" s="102"/>
      <c r="X135" s="102"/>
      <c r="Y135" s="102" t="s">
        <v>14</v>
      </c>
      <c r="Z135" s="102"/>
      <c r="AA135" s="102"/>
      <c r="AB135" s="102"/>
      <c r="AC135" s="102" t="s">
        <v>15</v>
      </c>
      <c r="AD135" s="102"/>
      <c r="AE135" s="102"/>
      <c r="AF135" s="102"/>
      <c r="AG135" s="102" t="s">
        <v>59</v>
      </c>
      <c r="AH135" s="102"/>
      <c r="AI135" s="102" t="s">
        <v>16</v>
      </c>
      <c r="AJ135" s="102"/>
      <c r="AK135" s="102"/>
      <c r="AL135" s="102"/>
      <c r="AM135" s="102"/>
      <c r="AN135" s="102"/>
      <c r="AO135" s="102"/>
      <c r="AP135" s="102"/>
      <c r="AQ135" s="76" t="s">
        <v>60</v>
      </c>
      <c r="AR135" s="76"/>
      <c r="AS135" s="76" t="s">
        <v>65</v>
      </c>
      <c r="AT135" s="76" t="s">
        <v>61</v>
      </c>
      <c r="AU135" s="76" t="s">
        <v>62</v>
      </c>
      <c r="AV135" s="76" t="s">
        <v>27</v>
      </c>
      <c r="AW135" s="76" t="s">
        <v>64</v>
      </c>
      <c r="AX135" s="76" t="s">
        <v>63</v>
      </c>
    </row>
    <row r="136" spans="2:50" ht="48" thickBot="1" x14ac:dyDescent="0.3">
      <c r="B136" s="21">
        <v>0.14583333333333334</v>
      </c>
      <c r="C136" s="14" t="s">
        <v>13</v>
      </c>
      <c r="D136" s="8" t="s">
        <v>6</v>
      </c>
      <c r="F136" s="13"/>
      <c r="G136" s="63" t="s">
        <v>20</v>
      </c>
      <c r="H136" s="64" t="s">
        <v>17</v>
      </c>
      <c r="I136" s="64" t="s">
        <v>19</v>
      </c>
      <c r="J136" s="64" t="s">
        <v>18</v>
      </c>
      <c r="K136" s="64" t="s">
        <v>52</v>
      </c>
      <c r="L136" s="64" t="s">
        <v>51</v>
      </c>
      <c r="M136" s="64" t="s">
        <v>53</v>
      </c>
      <c r="N136" s="64" t="s">
        <v>54</v>
      </c>
      <c r="O136" s="64" t="s">
        <v>20</v>
      </c>
      <c r="P136" s="64" t="s">
        <v>19</v>
      </c>
      <c r="Q136" s="64" t="s">
        <v>55</v>
      </c>
      <c r="R136" s="64" t="s">
        <v>56</v>
      </c>
      <c r="S136" s="64" t="s">
        <v>52</v>
      </c>
      <c r="T136" s="64" t="s">
        <v>51</v>
      </c>
      <c r="U136" s="64" t="s">
        <v>57</v>
      </c>
      <c r="V136" s="64" t="s">
        <v>58</v>
      </c>
      <c r="W136" s="64" t="s">
        <v>53</v>
      </c>
      <c r="X136" s="64" t="s">
        <v>54</v>
      </c>
      <c r="Y136" s="63" t="s">
        <v>20</v>
      </c>
      <c r="Z136" s="64" t="s">
        <v>17</v>
      </c>
      <c r="AA136" s="64" t="s">
        <v>19</v>
      </c>
      <c r="AB136" s="64" t="s">
        <v>18</v>
      </c>
      <c r="AC136" s="64" t="s">
        <v>52</v>
      </c>
      <c r="AD136" s="64" t="s">
        <v>51</v>
      </c>
      <c r="AE136" s="64" t="s">
        <v>53</v>
      </c>
      <c r="AF136" s="64" t="s">
        <v>54</v>
      </c>
      <c r="AG136" s="64" t="s">
        <v>20</v>
      </c>
      <c r="AH136" s="64" t="s">
        <v>19</v>
      </c>
      <c r="AI136" s="64" t="s">
        <v>55</v>
      </c>
      <c r="AJ136" s="64" t="s">
        <v>56</v>
      </c>
      <c r="AK136" s="64" t="s">
        <v>52</v>
      </c>
      <c r="AL136" s="64" t="s">
        <v>51</v>
      </c>
      <c r="AM136" s="64" t="s">
        <v>57</v>
      </c>
      <c r="AN136" s="64" t="s">
        <v>58</v>
      </c>
      <c r="AO136" s="64" t="s">
        <v>53</v>
      </c>
      <c r="AP136" s="64" t="s">
        <v>54</v>
      </c>
      <c r="AQ136" s="46"/>
      <c r="AR136" s="46"/>
      <c r="AS136" s="46"/>
      <c r="AT136" s="46"/>
      <c r="AU136" s="46"/>
      <c r="AV136" s="46"/>
      <c r="AW136" s="46"/>
      <c r="AX136" s="46"/>
    </row>
    <row r="137" spans="2:50" ht="16.5" customHeight="1" thickBot="1" x14ac:dyDescent="0.3">
      <c r="B137" s="1" t="s">
        <v>0</v>
      </c>
      <c r="C137" s="10"/>
      <c r="D137">
        <f>C137</f>
        <v>0</v>
      </c>
      <c r="F137" s="12" t="s">
        <v>0</v>
      </c>
      <c r="G137" s="77"/>
      <c r="H137" s="66"/>
      <c r="I137" s="66"/>
      <c r="J137" s="67"/>
      <c r="K137" s="65"/>
      <c r="L137" s="66"/>
      <c r="M137" s="66"/>
      <c r="N137" s="66"/>
      <c r="O137" s="65"/>
      <c r="P137" s="67"/>
      <c r="Q137" s="65"/>
      <c r="R137" s="66"/>
      <c r="S137" s="66"/>
      <c r="T137" s="66"/>
      <c r="U137" s="66"/>
      <c r="V137" s="66"/>
      <c r="W137" s="66"/>
      <c r="X137" s="67"/>
      <c r="Y137" s="77"/>
      <c r="Z137" s="66"/>
      <c r="AA137" s="66"/>
      <c r="AB137" s="66"/>
      <c r="AC137" s="65"/>
      <c r="AD137" s="66"/>
      <c r="AE137" s="66"/>
      <c r="AF137" s="67"/>
      <c r="AG137" s="66"/>
      <c r="AH137" s="67"/>
      <c r="AI137" s="66"/>
      <c r="AJ137" s="66"/>
      <c r="AK137" s="66"/>
      <c r="AL137" s="66"/>
      <c r="AM137" s="66"/>
      <c r="AN137" s="66"/>
      <c r="AO137" s="66"/>
      <c r="AP137" s="66"/>
      <c r="AQ137" s="65"/>
      <c r="AR137" s="65"/>
      <c r="AS137" s="65"/>
      <c r="AT137" s="65"/>
      <c r="AU137" s="65"/>
      <c r="AV137" s="65"/>
      <c r="AW137" s="65"/>
      <c r="AX137" s="68"/>
    </row>
    <row r="138" spans="2:50" ht="16.5" customHeight="1" thickBot="1" x14ac:dyDescent="0.3">
      <c r="B138" s="1" t="s">
        <v>1</v>
      </c>
      <c r="C138" s="10"/>
      <c r="D138">
        <f t="shared" ref="D138:D140" si="14">C138</f>
        <v>0</v>
      </c>
      <c r="F138" s="1" t="s">
        <v>1</v>
      </c>
      <c r="G138" s="78"/>
      <c r="H138" s="46"/>
      <c r="I138" s="46"/>
      <c r="J138" s="70"/>
      <c r="K138" s="69"/>
      <c r="L138" s="46"/>
      <c r="M138" s="46"/>
      <c r="N138" s="46"/>
      <c r="O138" s="69"/>
      <c r="P138" s="70"/>
      <c r="Q138" s="69"/>
      <c r="R138" s="46"/>
      <c r="S138" s="46"/>
      <c r="T138" s="46"/>
      <c r="U138" s="46"/>
      <c r="V138" s="46"/>
      <c r="W138" s="46"/>
      <c r="X138" s="70"/>
      <c r="Y138" s="78"/>
      <c r="Z138" s="46"/>
      <c r="AA138" s="46"/>
      <c r="AB138" s="46"/>
      <c r="AC138" s="69"/>
      <c r="AD138" s="46"/>
      <c r="AE138" s="46"/>
      <c r="AF138" s="70"/>
      <c r="AG138" s="46"/>
      <c r="AH138" s="70"/>
      <c r="AI138" s="46"/>
      <c r="AJ138" s="46"/>
      <c r="AK138" s="46"/>
      <c r="AL138" s="46"/>
      <c r="AM138" s="46"/>
      <c r="AN138" s="46"/>
      <c r="AO138" s="46"/>
      <c r="AP138" s="46"/>
      <c r="AQ138" s="69"/>
      <c r="AR138" s="69"/>
      <c r="AS138" s="69"/>
      <c r="AT138" s="69"/>
      <c r="AU138" s="69"/>
      <c r="AV138" s="69"/>
      <c r="AW138" s="69"/>
      <c r="AX138" s="71"/>
    </row>
    <row r="139" spans="2:50" ht="16.5" customHeight="1" thickBot="1" x14ac:dyDescent="0.3">
      <c r="B139" s="1" t="s">
        <v>2</v>
      </c>
      <c r="C139" s="10"/>
      <c r="D139">
        <f>C139</f>
        <v>0</v>
      </c>
      <c r="F139" s="1" t="s">
        <v>2</v>
      </c>
      <c r="G139" s="78"/>
      <c r="H139" s="46"/>
      <c r="I139" s="46"/>
      <c r="J139" s="70"/>
      <c r="K139" s="69"/>
      <c r="L139" s="46"/>
      <c r="M139" s="46"/>
      <c r="N139" s="46"/>
      <c r="O139" s="69"/>
      <c r="P139" s="70"/>
      <c r="Q139" s="69"/>
      <c r="R139" s="46"/>
      <c r="S139" s="46"/>
      <c r="T139" s="46"/>
      <c r="U139" s="46"/>
      <c r="V139" s="46"/>
      <c r="W139" s="46"/>
      <c r="X139" s="70"/>
      <c r="Y139" s="78"/>
      <c r="Z139" s="46"/>
      <c r="AA139" s="46"/>
      <c r="AB139" s="46"/>
      <c r="AC139" s="69"/>
      <c r="AD139" s="46"/>
      <c r="AE139" s="46"/>
      <c r="AF139" s="70"/>
      <c r="AG139" s="46"/>
      <c r="AH139" s="70"/>
      <c r="AI139" s="46"/>
      <c r="AJ139" s="46"/>
      <c r="AK139" s="46"/>
      <c r="AL139" s="46"/>
      <c r="AM139" s="46"/>
      <c r="AN139" s="46"/>
      <c r="AO139" s="46"/>
      <c r="AP139" s="46"/>
      <c r="AQ139" s="69"/>
      <c r="AR139" s="69"/>
      <c r="AS139" s="69"/>
      <c r="AT139" s="69"/>
      <c r="AU139" s="69"/>
      <c r="AV139" s="69"/>
      <c r="AW139" s="69"/>
      <c r="AX139" s="71"/>
    </row>
    <row r="140" spans="2:50" ht="16.5" customHeight="1" thickBot="1" x14ac:dyDescent="0.3">
      <c r="B140" s="1" t="s">
        <v>3</v>
      </c>
      <c r="C140" s="10"/>
      <c r="D140" s="7">
        <f t="shared" si="14"/>
        <v>0</v>
      </c>
      <c r="F140" s="1" t="s">
        <v>3</v>
      </c>
      <c r="G140" s="79"/>
      <c r="H140" s="73"/>
      <c r="I140" s="73"/>
      <c r="J140" s="74"/>
      <c r="K140" s="72"/>
      <c r="L140" s="73"/>
      <c r="M140" s="73"/>
      <c r="N140" s="73"/>
      <c r="O140" s="72"/>
      <c r="P140" s="74"/>
      <c r="Q140" s="72"/>
      <c r="R140" s="73"/>
      <c r="S140" s="73"/>
      <c r="T140" s="73"/>
      <c r="U140" s="73"/>
      <c r="V140" s="73"/>
      <c r="W140" s="73"/>
      <c r="X140" s="74"/>
      <c r="Y140" s="79"/>
      <c r="Z140" s="73"/>
      <c r="AA140" s="73"/>
      <c r="AB140" s="73"/>
      <c r="AC140" s="72"/>
      <c r="AD140" s="73"/>
      <c r="AE140" s="73"/>
      <c r="AF140" s="74"/>
      <c r="AG140" s="73"/>
      <c r="AH140" s="74"/>
      <c r="AI140" s="73"/>
      <c r="AJ140" s="73"/>
      <c r="AK140" s="73"/>
      <c r="AL140" s="73"/>
      <c r="AM140" s="73"/>
      <c r="AN140" s="73"/>
      <c r="AO140" s="73"/>
      <c r="AP140" s="73"/>
      <c r="AQ140" s="72"/>
      <c r="AR140" s="72"/>
      <c r="AS140" s="72"/>
      <c r="AT140" s="72"/>
      <c r="AU140" s="72"/>
      <c r="AV140" s="72"/>
      <c r="AW140" s="72"/>
      <c r="AX140" s="75"/>
    </row>
    <row r="141" spans="2:50" ht="21" customHeight="1" x14ac:dyDescent="0.25">
      <c r="B141" s="2"/>
      <c r="C141" s="3" t="s">
        <v>25</v>
      </c>
      <c r="D141" s="9">
        <f>SUM(D137:D140)</f>
        <v>0</v>
      </c>
      <c r="G141" s="80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80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</row>
    <row r="142" spans="2:50" x14ac:dyDescent="0.25"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</row>
    <row r="143" spans="2:50" ht="15.75" x14ac:dyDescent="0.25">
      <c r="G143" s="100" t="s">
        <v>22</v>
      </c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1" t="s">
        <v>21</v>
      </c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46"/>
      <c r="AR143" s="46"/>
      <c r="AS143" s="46"/>
      <c r="AT143" s="46"/>
      <c r="AU143" s="46"/>
      <c r="AV143" s="46"/>
      <c r="AW143" s="46"/>
      <c r="AX143" s="46"/>
    </row>
    <row r="144" spans="2:50" ht="32.25" thickBot="1" x14ac:dyDescent="0.3">
      <c r="G144" s="102" t="s">
        <v>14</v>
      </c>
      <c r="H144" s="102"/>
      <c r="I144" s="102"/>
      <c r="J144" s="102"/>
      <c r="K144" s="102" t="s">
        <v>15</v>
      </c>
      <c r="L144" s="102"/>
      <c r="M144" s="102"/>
      <c r="N144" s="102"/>
      <c r="O144" s="102" t="s">
        <v>59</v>
      </c>
      <c r="P144" s="102"/>
      <c r="Q144" s="102" t="s">
        <v>16</v>
      </c>
      <c r="R144" s="102"/>
      <c r="S144" s="102"/>
      <c r="T144" s="102"/>
      <c r="U144" s="102"/>
      <c r="V144" s="102"/>
      <c r="W144" s="102"/>
      <c r="X144" s="102"/>
      <c r="Y144" s="102" t="s">
        <v>14</v>
      </c>
      <c r="Z144" s="102"/>
      <c r="AA144" s="102"/>
      <c r="AB144" s="102"/>
      <c r="AC144" s="102" t="s">
        <v>15</v>
      </c>
      <c r="AD144" s="102"/>
      <c r="AE144" s="102"/>
      <c r="AF144" s="102"/>
      <c r="AG144" s="102" t="s">
        <v>59</v>
      </c>
      <c r="AH144" s="102"/>
      <c r="AI144" s="102" t="s">
        <v>16</v>
      </c>
      <c r="AJ144" s="102"/>
      <c r="AK144" s="102"/>
      <c r="AL144" s="102"/>
      <c r="AM144" s="102"/>
      <c r="AN144" s="102"/>
      <c r="AO144" s="102"/>
      <c r="AP144" s="102"/>
      <c r="AQ144" s="76" t="s">
        <v>60</v>
      </c>
      <c r="AR144" s="76"/>
      <c r="AS144" s="76" t="s">
        <v>65</v>
      </c>
      <c r="AT144" s="76" t="s">
        <v>61</v>
      </c>
      <c r="AU144" s="76" t="s">
        <v>62</v>
      </c>
      <c r="AV144" s="76" t="s">
        <v>27</v>
      </c>
      <c r="AW144" s="76" t="s">
        <v>64</v>
      </c>
      <c r="AX144" s="76" t="s">
        <v>63</v>
      </c>
    </row>
    <row r="145" spans="2:50" ht="48" thickBot="1" x14ac:dyDescent="0.3">
      <c r="B145" s="21">
        <v>0.15625</v>
      </c>
      <c r="C145" s="14" t="s">
        <v>13</v>
      </c>
      <c r="D145" s="8" t="s">
        <v>6</v>
      </c>
      <c r="F145" s="13"/>
      <c r="G145" s="63" t="s">
        <v>20</v>
      </c>
      <c r="H145" s="64" t="s">
        <v>17</v>
      </c>
      <c r="I145" s="64" t="s">
        <v>19</v>
      </c>
      <c r="J145" s="64" t="s">
        <v>18</v>
      </c>
      <c r="K145" s="64" t="s">
        <v>52</v>
      </c>
      <c r="L145" s="64" t="s">
        <v>51</v>
      </c>
      <c r="M145" s="64" t="s">
        <v>53</v>
      </c>
      <c r="N145" s="64" t="s">
        <v>54</v>
      </c>
      <c r="O145" s="64" t="s">
        <v>20</v>
      </c>
      <c r="P145" s="64" t="s">
        <v>19</v>
      </c>
      <c r="Q145" s="64" t="s">
        <v>55</v>
      </c>
      <c r="R145" s="64" t="s">
        <v>56</v>
      </c>
      <c r="S145" s="64" t="s">
        <v>52</v>
      </c>
      <c r="T145" s="64" t="s">
        <v>51</v>
      </c>
      <c r="U145" s="64" t="s">
        <v>57</v>
      </c>
      <c r="V145" s="64" t="s">
        <v>58</v>
      </c>
      <c r="W145" s="64" t="s">
        <v>53</v>
      </c>
      <c r="X145" s="64" t="s">
        <v>54</v>
      </c>
      <c r="Y145" s="63" t="s">
        <v>20</v>
      </c>
      <c r="Z145" s="64" t="s">
        <v>17</v>
      </c>
      <c r="AA145" s="64" t="s">
        <v>19</v>
      </c>
      <c r="AB145" s="64" t="s">
        <v>18</v>
      </c>
      <c r="AC145" s="64" t="s">
        <v>52</v>
      </c>
      <c r="AD145" s="64" t="s">
        <v>51</v>
      </c>
      <c r="AE145" s="64" t="s">
        <v>53</v>
      </c>
      <c r="AF145" s="64" t="s">
        <v>54</v>
      </c>
      <c r="AG145" s="64" t="s">
        <v>20</v>
      </c>
      <c r="AH145" s="64" t="s">
        <v>19</v>
      </c>
      <c r="AI145" s="64" t="s">
        <v>55</v>
      </c>
      <c r="AJ145" s="64" t="s">
        <v>56</v>
      </c>
      <c r="AK145" s="64" t="s">
        <v>52</v>
      </c>
      <c r="AL145" s="64" t="s">
        <v>51</v>
      </c>
      <c r="AM145" s="64" t="s">
        <v>57</v>
      </c>
      <c r="AN145" s="64" t="s">
        <v>58</v>
      </c>
      <c r="AO145" s="64" t="s">
        <v>53</v>
      </c>
      <c r="AP145" s="64" t="s">
        <v>54</v>
      </c>
      <c r="AQ145" s="46"/>
      <c r="AR145" s="46"/>
      <c r="AS145" s="46"/>
      <c r="AT145" s="46"/>
      <c r="AU145" s="46"/>
      <c r="AV145" s="46"/>
      <c r="AW145" s="46"/>
      <c r="AX145" s="46"/>
    </row>
    <row r="146" spans="2:50" ht="16.5" customHeight="1" thickBot="1" x14ac:dyDescent="0.3">
      <c r="B146" s="1" t="s">
        <v>0</v>
      </c>
      <c r="C146" s="10"/>
      <c r="D146">
        <f>C146</f>
        <v>0</v>
      </c>
      <c r="F146" s="12" t="s">
        <v>0</v>
      </c>
      <c r="G146" s="77"/>
      <c r="H146" s="66"/>
      <c r="I146" s="66"/>
      <c r="J146" s="67"/>
      <c r="K146" s="65"/>
      <c r="L146" s="66"/>
      <c r="M146" s="66"/>
      <c r="N146" s="66"/>
      <c r="O146" s="65"/>
      <c r="P146" s="67"/>
      <c r="Q146" s="65"/>
      <c r="R146" s="66"/>
      <c r="S146" s="66"/>
      <c r="T146" s="66"/>
      <c r="U146" s="66"/>
      <c r="V146" s="66"/>
      <c r="W146" s="66"/>
      <c r="X146" s="67"/>
      <c r="Y146" s="77"/>
      <c r="Z146" s="66"/>
      <c r="AA146" s="66"/>
      <c r="AB146" s="66"/>
      <c r="AC146" s="65"/>
      <c r="AD146" s="66"/>
      <c r="AE146" s="66"/>
      <c r="AF146" s="67"/>
      <c r="AG146" s="66"/>
      <c r="AH146" s="67"/>
      <c r="AI146" s="66"/>
      <c r="AJ146" s="66"/>
      <c r="AK146" s="66"/>
      <c r="AL146" s="66"/>
      <c r="AM146" s="66"/>
      <c r="AN146" s="66"/>
      <c r="AO146" s="66"/>
      <c r="AP146" s="66"/>
      <c r="AQ146" s="65"/>
      <c r="AR146" s="65"/>
      <c r="AS146" s="65"/>
      <c r="AT146" s="65"/>
      <c r="AU146" s="65"/>
      <c r="AV146" s="65"/>
      <c r="AW146" s="65"/>
      <c r="AX146" s="68"/>
    </row>
    <row r="147" spans="2:50" ht="16.5" customHeight="1" thickBot="1" x14ac:dyDescent="0.3">
      <c r="B147" s="1" t="s">
        <v>1</v>
      </c>
      <c r="C147" s="10"/>
      <c r="D147">
        <f t="shared" ref="D147:D149" si="15">C147</f>
        <v>0</v>
      </c>
      <c r="F147" s="1" t="s">
        <v>1</v>
      </c>
      <c r="G147" s="78"/>
      <c r="H147" s="46"/>
      <c r="I147" s="46"/>
      <c r="J147" s="70"/>
      <c r="K147" s="69"/>
      <c r="L147" s="46"/>
      <c r="M147" s="46"/>
      <c r="N147" s="46"/>
      <c r="O147" s="69"/>
      <c r="P147" s="70"/>
      <c r="Q147" s="69"/>
      <c r="R147" s="46"/>
      <c r="S147" s="46"/>
      <c r="T147" s="46"/>
      <c r="U147" s="46"/>
      <c r="V147" s="46"/>
      <c r="W147" s="46"/>
      <c r="X147" s="70"/>
      <c r="Y147" s="78"/>
      <c r="Z147" s="46"/>
      <c r="AA147" s="46"/>
      <c r="AB147" s="46"/>
      <c r="AC147" s="69"/>
      <c r="AD147" s="46"/>
      <c r="AE147" s="46"/>
      <c r="AF147" s="70"/>
      <c r="AG147" s="46"/>
      <c r="AH147" s="70"/>
      <c r="AI147" s="46"/>
      <c r="AJ147" s="46"/>
      <c r="AK147" s="46"/>
      <c r="AL147" s="46"/>
      <c r="AM147" s="46"/>
      <c r="AN147" s="46"/>
      <c r="AO147" s="46"/>
      <c r="AP147" s="46"/>
      <c r="AQ147" s="69"/>
      <c r="AR147" s="69"/>
      <c r="AS147" s="69"/>
      <c r="AT147" s="69"/>
      <c r="AU147" s="69"/>
      <c r="AV147" s="69"/>
      <c r="AW147" s="69"/>
      <c r="AX147" s="71"/>
    </row>
    <row r="148" spans="2:50" ht="16.5" customHeight="1" thickBot="1" x14ac:dyDescent="0.3">
      <c r="B148" s="1" t="s">
        <v>2</v>
      </c>
      <c r="C148" s="10"/>
      <c r="D148">
        <f>C148</f>
        <v>0</v>
      </c>
      <c r="F148" s="1" t="s">
        <v>2</v>
      </c>
      <c r="G148" s="78"/>
      <c r="H148" s="46"/>
      <c r="I148" s="46"/>
      <c r="J148" s="70"/>
      <c r="K148" s="69"/>
      <c r="L148" s="46"/>
      <c r="M148" s="46"/>
      <c r="N148" s="46"/>
      <c r="O148" s="69"/>
      <c r="P148" s="70"/>
      <c r="Q148" s="69"/>
      <c r="R148" s="46"/>
      <c r="S148" s="46"/>
      <c r="T148" s="46"/>
      <c r="U148" s="46"/>
      <c r="V148" s="46"/>
      <c r="W148" s="46"/>
      <c r="X148" s="70"/>
      <c r="Y148" s="78"/>
      <c r="Z148" s="46"/>
      <c r="AA148" s="46"/>
      <c r="AB148" s="46"/>
      <c r="AC148" s="69"/>
      <c r="AD148" s="46"/>
      <c r="AE148" s="46"/>
      <c r="AF148" s="70"/>
      <c r="AG148" s="46"/>
      <c r="AH148" s="70"/>
      <c r="AI148" s="46"/>
      <c r="AJ148" s="46"/>
      <c r="AK148" s="46"/>
      <c r="AL148" s="46"/>
      <c r="AM148" s="46"/>
      <c r="AN148" s="46"/>
      <c r="AO148" s="46"/>
      <c r="AP148" s="46"/>
      <c r="AQ148" s="69"/>
      <c r="AR148" s="69"/>
      <c r="AS148" s="69"/>
      <c r="AT148" s="69"/>
      <c r="AU148" s="69"/>
      <c r="AV148" s="69"/>
      <c r="AW148" s="69"/>
      <c r="AX148" s="71"/>
    </row>
    <row r="149" spans="2:50" ht="16.5" customHeight="1" thickBot="1" x14ac:dyDescent="0.3">
      <c r="B149" s="1" t="s">
        <v>3</v>
      </c>
      <c r="C149" s="10"/>
      <c r="D149" s="7">
        <f t="shared" si="15"/>
        <v>0</v>
      </c>
      <c r="F149" s="1" t="s">
        <v>3</v>
      </c>
      <c r="G149" s="79"/>
      <c r="H149" s="73"/>
      <c r="I149" s="73"/>
      <c r="J149" s="74"/>
      <c r="K149" s="72"/>
      <c r="L149" s="73"/>
      <c r="M149" s="73"/>
      <c r="N149" s="73"/>
      <c r="O149" s="72"/>
      <c r="P149" s="74"/>
      <c r="Q149" s="72"/>
      <c r="R149" s="73"/>
      <c r="S149" s="73"/>
      <c r="T149" s="73"/>
      <c r="U149" s="73"/>
      <c r="V149" s="73"/>
      <c r="W149" s="73"/>
      <c r="X149" s="74"/>
      <c r="Y149" s="79"/>
      <c r="Z149" s="73"/>
      <c r="AA149" s="73"/>
      <c r="AB149" s="73"/>
      <c r="AC149" s="72"/>
      <c r="AD149" s="73"/>
      <c r="AE149" s="73"/>
      <c r="AF149" s="74"/>
      <c r="AG149" s="73"/>
      <c r="AH149" s="74"/>
      <c r="AI149" s="73"/>
      <c r="AJ149" s="73"/>
      <c r="AK149" s="73"/>
      <c r="AL149" s="73"/>
      <c r="AM149" s="73"/>
      <c r="AN149" s="73"/>
      <c r="AO149" s="73"/>
      <c r="AP149" s="73"/>
      <c r="AQ149" s="72"/>
      <c r="AR149" s="72"/>
      <c r="AS149" s="72"/>
      <c r="AT149" s="72"/>
      <c r="AU149" s="72"/>
      <c r="AV149" s="72"/>
      <c r="AW149" s="72"/>
      <c r="AX149" s="75"/>
    </row>
    <row r="150" spans="2:50" ht="21" customHeight="1" x14ac:dyDescent="0.25">
      <c r="B150" s="2"/>
      <c r="C150" s="3" t="s">
        <v>25</v>
      </c>
      <c r="D150" s="9">
        <f>SUM(D146:D149)</f>
        <v>0</v>
      </c>
      <c r="G150" s="80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80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</row>
    <row r="151" spans="2:50" x14ac:dyDescent="0.25"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</row>
    <row r="152" spans="2:50" ht="15.75" x14ac:dyDescent="0.25">
      <c r="G152" s="100" t="s">
        <v>22</v>
      </c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1" t="s">
        <v>21</v>
      </c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46"/>
      <c r="AR152" s="46"/>
      <c r="AS152" s="46"/>
      <c r="AT152" s="46"/>
      <c r="AU152" s="46"/>
      <c r="AV152" s="46"/>
      <c r="AW152" s="46"/>
      <c r="AX152" s="46"/>
    </row>
    <row r="153" spans="2:50" ht="32.25" thickBot="1" x14ac:dyDescent="0.3">
      <c r="G153" s="102" t="s">
        <v>14</v>
      </c>
      <c r="H153" s="102"/>
      <c r="I153" s="102"/>
      <c r="J153" s="102"/>
      <c r="K153" s="102" t="s">
        <v>15</v>
      </c>
      <c r="L153" s="102"/>
      <c r="M153" s="102"/>
      <c r="N153" s="102"/>
      <c r="O153" s="102" t="s">
        <v>59</v>
      </c>
      <c r="P153" s="102"/>
      <c r="Q153" s="102" t="s">
        <v>16</v>
      </c>
      <c r="R153" s="102"/>
      <c r="S153" s="102"/>
      <c r="T153" s="102"/>
      <c r="U153" s="102"/>
      <c r="V153" s="102"/>
      <c r="W153" s="102"/>
      <c r="X153" s="102"/>
      <c r="Y153" s="102" t="s">
        <v>14</v>
      </c>
      <c r="Z153" s="102"/>
      <c r="AA153" s="102"/>
      <c r="AB153" s="102"/>
      <c r="AC153" s="102" t="s">
        <v>15</v>
      </c>
      <c r="AD153" s="102"/>
      <c r="AE153" s="102"/>
      <c r="AF153" s="102"/>
      <c r="AG153" s="102" t="s">
        <v>59</v>
      </c>
      <c r="AH153" s="102"/>
      <c r="AI153" s="102" t="s">
        <v>16</v>
      </c>
      <c r="AJ153" s="102"/>
      <c r="AK153" s="102"/>
      <c r="AL153" s="102"/>
      <c r="AM153" s="102"/>
      <c r="AN153" s="102"/>
      <c r="AO153" s="102"/>
      <c r="AP153" s="102"/>
      <c r="AQ153" s="76" t="s">
        <v>60</v>
      </c>
      <c r="AR153" s="76"/>
      <c r="AS153" s="76" t="s">
        <v>65</v>
      </c>
      <c r="AT153" s="76" t="s">
        <v>61</v>
      </c>
      <c r="AU153" s="76" t="s">
        <v>62</v>
      </c>
      <c r="AV153" s="76" t="s">
        <v>27</v>
      </c>
      <c r="AW153" s="76" t="s">
        <v>64</v>
      </c>
      <c r="AX153" s="76" t="s">
        <v>63</v>
      </c>
    </row>
    <row r="154" spans="2:50" ht="48" thickBot="1" x14ac:dyDescent="0.3">
      <c r="B154" s="20">
        <v>0.16666666666666666</v>
      </c>
      <c r="C154" s="14" t="s">
        <v>13</v>
      </c>
      <c r="D154" s="8" t="s">
        <v>6</v>
      </c>
      <c r="F154" s="13"/>
      <c r="G154" s="63" t="s">
        <v>20</v>
      </c>
      <c r="H154" s="64" t="s">
        <v>17</v>
      </c>
      <c r="I154" s="64" t="s">
        <v>19</v>
      </c>
      <c r="J154" s="64" t="s">
        <v>18</v>
      </c>
      <c r="K154" s="64" t="s">
        <v>52</v>
      </c>
      <c r="L154" s="64" t="s">
        <v>51</v>
      </c>
      <c r="M154" s="64" t="s">
        <v>53</v>
      </c>
      <c r="N154" s="64" t="s">
        <v>54</v>
      </c>
      <c r="O154" s="64" t="s">
        <v>20</v>
      </c>
      <c r="P154" s="64" t="s">
        <v>19</v>
      </c>
      <c r="Q154" s="64" t="s">
        <v>55</v>
      </c>
      <c r="R154" s="64" t="s">
        <v>56</v>
      </c>
      <c r="S154" s="64" t="s">
        <v>52</v>
      </c>
      <c r="T154" s="64" t="s">
        <v>51</v>
      </c>
      <c r="U154" s="64" t="s">
        <v>57</v>
      </c>
      <c r="V154" s="64" t="s">
        <v>58</v>
      </c>
      <c r="W154" s="64" t="s">
        <v>53</v>
      </c>
      <c r="X154" s="64" t="s">
        <v>54</v>
      </c>
      <c r="Y154" s="63" t="s">
        <v>20</v>
      </c>
      <c r="Z154" s="64" t="s">
        <v>17</v>
      </c>
      <c r="AA154" s="64" t="s">
        <v>19</v>
      </c>
      <c r="AB154" s="64" t="s">
        <v>18</v>
      </c>
      <c r="AC154" s="64" t="s">
        <v>52</v>
      </c>
      <c r="AD154" s="64" t="s">
        <v>51</v>
      </c>
      <c r="AE154" s="64" t="s">
        <v>53</v>
      </c>
      <c r="AF154" s="64" t="s">
        <v>54</v>
      </c>
      <c r="AG154" s="64" t="s">
        <v>20</v>
      </c>
      <c r="AH154" s="64" t="s">
        <v>19</v>
      </c>
      <c r="AI154" s="64" t="s">
        <v>55</v>
      </c>
      <c r="AJ154" s="64" t="s">
        <v>56</v>
      </c>
      <c r="AK154" s="64" t="s">
        <v>52</v>
      </c>
      <c r="AL154" s="64" t="s">
        <v>51</v>
      </c>
      <c r="AM154" s="64" t="s">
        <v>57</v>
      </c>
      <c r="AN154" s="64" t="s">
        <v>58</v>
      </c>
      <c r="AO154" s="64" t="s">
        <v>53</v>
      </c>
      <c r="AP154" s="64" t="s">
        <v>54</v>
      </c>
      <c r="AQ154" s="46"/>
      <c r="AR154" s="46"/>
      <c r="AS154" s="46"/>
      <c r="AT154" s="46"/>
      <c r="AU154" s="46"/>
      <c r="AV154" s="46"/>
      <c r="AW154" s="46"/>
      <c r="AX154" s="46"/>
    </row>
    <row r="155" spans="2:50" ht="16.5" customHeight="1" thickBot="1" x14ac:dyDescent="0.3">
      <c r="B155" s="1" t="s">
        <v>0</v>
      </c>
      <c r="C155" s="10"/>
      <c r="D155">
        <f>C155</f>
        <v>0</v>
      </c>
      <c r="F155" s="12" t="s">
        <v>0</v>
      </c>
      <c r="G155" s="77"/>
      <c r="H155" s="66"/>
      <c r="I155" s="66"/>
      <c r="J155" s="67"/>
      <c r="K155" s="65"/>
      <c r="L155" s="66"/>
      <c r="M155" s="66"/>
      <c r="N155" s="66"/>
      <c r="O155" s="65"/>
      <c r="P155" s="67"/>
      <c r="Q155" s="65"/>
      <c r="R155" s="66"/>
      <c r="S155" s="66"/>
      <c r="T155" s="66"/>
      <c r="U155" s="66"/>
      <c r="V155" s="66"/>
      <c r="W155" s="66"/>
      <c r="X155" s="67"/>
      <c r="Y155" s="77"/>
      <c r="Z155" s="66"/>
      <c r="AA155" s="66"/>
      <c r="AB155" s="66"/>
      <c r="AC155" s="65"/>
      <c r="AD155" s="66"/>
      <c r="AE155" s="66"/>
      <c r="AF155" s="67"/>
      <c r="AG155" s="66"/>
      <c r="AH155" s="67"/>
      <c r="AI155" s="66"/>
      <c r="AJ155" s="66"/>
      <c r="AK155" s="66"/>
      <c r="AL155" s="66"/>
      <c r="AM155" s="66"/>
      <c r="AN155" s="66"/>
      <c r="AO155" s="66"/>
      <c r="AP155" s="66"/>
      <c r="AQ155" s="65"/>
      <c r="AR155" s="65"/>
      <c r="AS155" s="65"/>
      <c r="AT155" s="65"/>
      <c r="AU155" s="65"/>
      <c r="AV155" s="65"/>
      <c r="AW155" s="65"/>
      <c r="AX155" s="68"/>
    </row>
    <row r="156" spans="2:50" ht="16.5" customHeight="1" thickBot="1" x14ac:dyDescent="0.3">
      <c r="B156" s="1" t="s">
        <v>1</v>
      </c>
      <c r="C156" s="10"/>
      <c r="D156">
        <f t="shared" ref="D156:D158" si="16">C156</f>
        <v>0</v>
      </c>
      <c r="F156" s="1" t="s">
        <v>1</v>
      </c>
      <c r="G156" s="78"/>
      <c r="H156" s="46"/>
      <c r="I156" s="46"/>
      <c r="J156" s="70"/>
      <c r="K156" s="69"/>
      <c r="L156" s="46"/>
      <c r="M156" s="46"/>
      <c r="N156" s="46"/>
      <c r="O156" s="69"/>
      <c r="P156" s="70"/>
      <c r="Q156" s="69"/>
      <c r="R156" s="46"/>
      <c r="S156" s="46"/>
      <c r="T156" s="46"/>
      <c r="U156" s="46"/>
      <c r="V156" s="46"/>
      <c r="W156" s="46"/>
      <c r="X156" s="70"/>
      <c r="Y156" s="78"/>
      <c r="Z156" s="46"/>
      <c r="AA156" s="46"/>
      <c r="AB156" s="46"/>
      <c r="AC156" s="69"/>
      <c r="AD156" s="46"/>
      <c r="AE156" s="46"/>
      <c r="AF156" s="70"/>
      <c r="AG156" s="46"/>
      <c r="AH156" s="70"/>
      <c r="AI156" s="46"/>
      <c r="AJ156" s="46"/>
      <c r="AK156" s="46"/>
      <c r="AL156" s="46"/>
      <c r="AM156" s="46"/>
      <c r="AN156" s="46"/>
      <c r="AO156" s="46"/>
      <c r="AP156" s="46"/>
      <c r="AQ156" s="69"/>
      <c r="AR156" s="69"/>
      <c r="AS156" s="69"/>
      <c r="AT156" s="69"/>
      <c r="AU156" s="69"/>
      <c r="AV156" s="69"/>
      <c r="AW156" s="69"/>
      <c r="AX156" s="71"/>
    </row>
    <row r="157" spans="2:50" ht="16.5" customHeight="1" thickBot="1" x14ac:dyDescent="0.3">
      <c r="B157" s="1" t="s">
        <v>2</v>
      </c>
      <c r="C157" s="10"/>
      <c r="D157">
        <f>C157</f>
        <v>0</v>
      </c>
      <c r="F157" s="1" t="s">
        <v>2</v>
      </c>
      <c r="G157" s="78"/>
      <c r="H157" s="46"/>
      <c r="I157" s="46"/>
      <c r="J157" s="70"/>
      <c r="K157" s="69"/>
      <c r="L157" s="46"/>
      <c r="M157" s="46"/>
      <c r="N157" s="46"/>
      <c r="O157" s="69"/>
      <c r="P157" s="70"/>
      <c r="Q157" s="69"/>
      <c r="R157" s="46"/>
      <c r="S157" s="46"/>
      <c r="T157" s="46"/>
      <c r="U157" s="46"/>
      <c r="V157" s="46"/>
      <c r="W157" s="46"/>
      <c r="X157" s="70"/>
      <c r="Y157" s="78"/>
      <c r="Z157" s="46"/>
      <c r="AA157" s="46"/>
      <c r="AB157" s="46"/>
      <c r="AC157" s="69"/>
      <c r="AD157" s="46"/>
      <c r="AE157" s="46"/>
      <c r="AF157" s="70"/>
      <c r="AG157" s="46"/>
      <c r="AH157" s="70"/>
      <c r="AI157" s="46"/>
      <c r="AJ157" s="46"/>
      <c r="AK157" s="46"/>
      <c r="AL157" s="46"/>
      <c r="AM157" s="46"/>
      <c r="AN157" s="46"/>
      <c r="AO157" s="46"/>
      <c r="AP157" s="46"/>
      <c r="AQ157" s="69"/>
      <c r="AR157" s="69"/>
      <c r="AS157" s="69"/>
      <c r="AT157" s="69"/>
      <c r="AU157" s="69"/>
      <c r="AV157" s="69"/>
      <c r="AW157" s="69"/>
      <c r="AX157" s="71"/>
    </row>
    <row r="158" spans="2:50" ht="16.5" customHeight="1" thickBot="1" x14ac:dyDescent="0.3">
      <c r="B158" s="1" t="s">
        <v>3</v>
      </c>
      <c r="C158" s="10"/>
      <c r="D158" s="7">
        <f t="shared" si="16"/>
        <v>0</v>
      </c>
      <c r="F158" s="1" t="s">
        <v>3</v>
      </c>
      <c r="G158" s="79"/>
      <c r="H158" s="73"/>
      <c r="I158" s="73"/>
      <c r="J158" s="74"/>
      <c r="K158" s="72"/>
      <c r="L158" s="73"/>
      <c r="M158" s="73"/>
      <c r="N158" s="73"/>
      <c r="O158" s="72"/>
      <c r="P158" s="74"/>
      <c r="Q158" s="72"/>
      <c r="R158" s="73"/>
      <c r="S158" s="73"/>
      <c r="T158" s="73"/>
      <c r="U158" s="73"/>
      <c r="V158" s="73"/>
      <c r="W158" s="73"/>
      <c r="X158" s="74"/>
      <c r="Y158" s="79"/>
      <c r="Z158" s="73"/>
      <c r="AA158" s="73"/>
      <c r="AB158" s="73"/>
      <c r="AC158" s="72"/>
      <c r="AD158" s="73"/>
      <c r="AE158" s="73"/>
      <c r="AF158" s="74"/>
      <c r="AG158" s="73"/>
      <c r="AH158" s="74"/>
      <c r="AI158" s="73"/>
      <c r="AJ158" s="73"/>
      <c r="AK158" s="73"/>
      <c r="AL158" s="73"/>
      <c r="AM158" s="73"/>
      <c r="AN158" s="73"/>
      <c r="AO158" s="73"/>
      <c r="AP158" s="73"/>
      <c r="AQ158" s="72"/>
      <c r="AR158" s="72"/>
      <c r="AS158" s="72"/>
      <c r="AT158" s="72"/>
      <c r="AU158" s="72"/>
      <c r="AV158" s="72"/>
      <c r="AW158" s="72"/>
      <c r="AX158" s="75"/>
    </row>
    <row r="159" spans="2:50" ht="21" customHeight="1" x14ac:dyDescent="0.25">
      <c r="B159" s="2"/>
      <c r="C159" s="3" t="s">
        <v>25</v>
      </c>
      <c r="D159" s="9">
        <f>SUM(D155:D158)</f>
        <v>0</v>
      </c>
      <c r="G159" s="80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80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</row>
    <row r="160" spans="2:50" x14ac:dyDescent="0.25"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</row>
    <row r="161" spans="2:50" ht="15.75" x14ac:dyDescent="0.25">
      <c r="G161" s="100" t="s">
        <v>22</v>
      </c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1" t="s">
        <v>21</v>
      </c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46"/>
      <c r="AR161" s="46"/>
      <c r="AS161" s="46"/>
      <c r="AT161" s="46"/>
      <c r="AU161" s="46"/>
      <c r="AV161" s="46"/>
      <c r="AW161" s="46"/>
      <c r="AX161" s="46"/>
    </row>
    <row r="162" spans="2:50" ht="32.25" thickBot="1" x14ac:dyDescent="0.3">
      <c r="G162" s="102" t="s">
        <v>14</v>
      </c>
      <c r="H162" s="102"/>
      <c r="I162" s="102"/>
      <c r="J162" s="102"/>
      <c r="K162" s="102" t="s">
        <v>15</v>
      </c>
      <c r="L162" s="102"/>
      <c r="M162" s="102"/>
      <c r="N162" s="102"/>
      <c r="O162" s="102" t="s">
        <v>59</v>
      </c>
      <c r="P162" s="102"/>
      <c r="Q162" s="102" t="s">
        <v>16</v>
      </c>
      <c r="R162" s="102"/>
      <c r="S162" s="102"/>
      <c r="T162" s="102"/>
      <c r="U162" s="102"/>
      <c r="V162" s="102"/>
      <c r="W162" s="102"/>
      <c r="X162" s="102"/>
      <c r="Y162" s="102" t="s">
        <v>14</v>
      </c>
      <c r="Z162" s="102"/>
      <c r="AA162" s="102"/>
      <c r="AB162" s="102"/>
      <c r="AC162" s="102" t="s">
        <v>15</v>
      </c>
      <c r="AD162" s="102"/>
      <c r="AE162" s="102"/>
      <c r="AF162" s="102"/>
      <c r="AG162" s="102" t="s">
        <v>59</v>
      </c>
      <c r="AH162" s="102"/>
      <c r="AI162" s="102" t="s">
        <v>16</v>
      </c>
      <c r="AJ162" s="102"/>
      <c r="AK162" s="102"/>
      <c r="AL162" s="102"/>
      <c r="AM162" s="102"/>
      <c r="AN162" s="102"/>
      <c r="AO162" s="102"/>
      <c r="AP162" s="102"/>
      <c r="AQ162" s="76" t="s">
        <v>60</v>
      </c>
      <c r="AR162" s="76"/>
      <c r="AS162" s="76" t="s">
        <v>65</v>
      </c>
      <c r="AT162" s="76" t="s">
        <v>61</v>
      </c>
      <c r="AU162" s="76" t="s">
        <v>62</v>
      </c>
      <c r="AV162" s="76" t="s">
        <v>27</v>
      </c>
      <c r="AW162" s="76" t="s">
        <v>64</v>
      </c>
      <c r="AX162" s="76" t="s">
        <v>63</v>
      </c>
    </row>
    <row r="163" spans="2:50" ht="48" thickBot="1" x14ac:dyDescent="0.3">
      <c r="B163" s="20">
        <v>0.17708333333333334</v>
      </c>
      <c r="C163" s="14" t="s">
        <v>13</v>
      </c>
      <c r="D163" s="8" t="s">
        <v>6</v>
      </c>
      <c r="F163" s="13"/>
      <c r="G163" s="63" t="s">
        <v>20</v>
      </c>
      <c r="H163" s="64" t="s">
        <v>17</v>
      </c>
      <c r="I163" s="64" t="s">
        <v>19</v>
      </c>
      <c r="J163" s="64" t="s">
        <v>18</v>
      </c>
      <c r="K163" s="64" t="s">
        <v>52</v>
      </c>
      <c r="L163" s="64" t="s">
        <v>51</v>
      </c>
      <c r="M163" s="64" t="s">
        <v>53</v>
      </c>
      <c r="N163" s="64" t="s">
        <v>54</v>
      </c>
      <c r="O163" s="64" t="s">
        <v>20</v>
      </c>
      <c r="P163" s="64" t="s">
        <v>19</v>
      </c>
      <c r="Q163" s="64" t="s">
        <v>55</v>
      </c>
      <c r="R163" s="64" t="s">
        <v>56</v>
      </c>
      <c r="S163" s="64" t="s">
        <v>52</v>
      </c>
      <c r="T163" s="64" t="s">
        <v>51</v>
      </c>
      <c r="U163" s="64" t="s">
        <v>57</v>
      </c>
      <c r="V163" s="64" t="s">
        <v>58</v>
      </c>
      <c r="W163" s="64" t="s">
        <v>53</v>
      </c>
      <c r="X163" s="64" t="s">
        <v>54</v>
      </c>
      <c r="Y163" s="63" t="s">
        <v>20</v>
      </c>
      <c r="Z163" s="64" t="s">
        <v>17</v>
      </c>
      <c r="AA163" s="64" t="s">
        <v>19</v>
      </c>
      <c r="AB163" s="64" t="s">
        <v>18</v>
      </c>
      <c r="AC163" s="64" t="s">
        <v>52</v>
      </c>
      <c r="AD163" s="64" t="s">
        <v>51</v>
      </c>
      <c r="AE163" s="64" t="s">
        <v>53</v>
      </c>
      <c r="AF163" s="64" t="s">
        <v>54</v>
      </c>
      <c r="AG163" s="64" t="s">
        <v>20</v>
      </c>
      <c r="AH163" s="64" t="s">
        <v>19</v>
      </c>
      <c r="AI163" s="64" t="s">
        <v>55</v>
      </c>
      <c r="AJ163" s="64" t="s">
        <v>56</v>
      </c>
      <c r="AK163" s="64" t="s">
        <v>52</v>
      </c>
      <c r="AL163" s="64" t="s">
        <v>51</v>
      </c>
      <c r="AM163" s="64" t="s">
        <v>57</v>
      </c>
      <c r="AN163" s="64" t="s">
        <v>58</v>
      </c>
      <c r="AO163" s="64" t="s">
        <v>53</v>
      </c>
      <c r="AP163" s="64" t="s">
        <v>54</v>
      </c>
      <c r="AQ163" s="46"/>
      <c r="AR163" s="46"/>
      <c r="AS163" s="46"/>
      <c r="AT163" s="46"/>
      <c r="AU163" s="46"/>
      <c r="AV163" s="46"/>
      <c r="AW163" s="46"/>
      <c r="AX163" s="46"/>
    </row>
    <row r="164" spans="2:50" ht="16.5" customHeight="1" thickBot="1" x14ac:dyDescent="0.3">
      <c r="B164" s="1" t="s">
        <v>0</v>
      </c>
      <c r="C164" s="10"/>
      <c r="D164">
        <f>C164</f>
        <v>0</v>
      </c>
      <c r="F164" s="12" t="s">
        <v>0</v>
      </c>
      <c r="G164" s="77"/>
      <c r="H164" s="66"/>
      <c r="I164" s="66"/>
      <c r="J164" s="67"/>
      <c r="K164" s="65"/>
      <c r="L164" s="66"/>
      <c r="M164" s="66"/>
      <c r="N164" s="66"/>
      <c r="O164" s="65"/>
      <c r="P164" s="67"/>
      <c r="Q164" s="65"/>
      <c r="R164" s="66"/>
      <c r="S164" s="66"/>
      <c r="T164" s="66"/>
      <c r="U164" s="66"/>
      <c r="V164" s="66"/>
      <c r="W164" s="66"/>
      <c r="X164" s="67"/>
      <c r="Y164" s="77"/>
      <c r="Z164" s="66"/>
      <c r="AA164" s="66"/>
      <c r="AB164" s="66"/>
      <c r="AC164" s="65"/>
      <c r="AD164" s="66"/>
      <c r="AE164" s="66"/>
      <c r="AF164" s="67"/>
      <c r="AG164" s="66"/>
      <c r="AH164" s="67"/>
      <c r="AI164" s="66"/>
      <c r="AJ164" s="66"/>
      <c r="AK164" s="66"/>
      <c r="AL164" s="66"/>
      <c r="AM164" s="66"/>
      <c r="AN164" s="66"/>
      <c r="AO164" s="66"/>
      <c r="AP164" s="66"/>
      <c r="AQ164" s="65"/>
      <c r="AR164" s="65"/>
      <c r="AS164" s="65"/>
      <c r="AT164" s="65"/>
      <c r="AU164" s="65"/>
      <c r="AV164" s="65"/>
      <c r="AW164" s="65"/>
      <c r="AX164" s="68"/>
    </row>
    <row r="165" spans="2:50" ht="16.5" customHeight="1" thickBot="1" x14ac:dyDescent="0.3">
      <c r="B165" s="1" t="s">
        <v>1</v>
      </c>
      <c r="C165" s="10"/>
      <c r="D165">
        <f t="shared" ref="D165:D167" si="17">C165</f>
        <v>0</v>
      </c>
      <c r="F165" s="1" t="s">
        <v>1</v>
      </c>
      <c r="G165" s="78"/>
      <c r="H165" s="46"/>
      <c r="I165" s="46"/>
      <c r="J165" s="70"/>
      <c r="K165" s="69"/>
      <c r="L165" s="46"/>
      <c r="M165" s="46"/>
      <c r="N165" s="46"/>
      <c r="O165" s="69"/>
      <c r="P165" s="70"/>
      <c r="Q165" s="69"/>
      <c r="R165" s="46"/>
      <c r="S165" s="46"/>
      <c r="T165" s="46"/>
      <c r="U165" s="46"/>
      <c r="V165" s="46"/>
      <c r="W165" s="46"/>
      <c r="X165" s="70"/>
      <c r="Y165" s="78"/>
      <c r="Z165" s="46"/>
      <c r="AA165" s="46"/>
      <c r="AB165" s="46"/>
      <c r="AC165" s="69"/>
      <c r="AD165" s="46"/>
      <c r="AE165" s="46"/>
      <c r="AF165" s="70"/>
      <c r="AG165" s="46"/>
      <c r="AH165" s="70"/>
      <c r="AI165" s="46"/>
      <c r="AJ165" s="46"/>
      <c r="AK165" s="46"/>
      <c r="AL165" s="46"/>
      <c r="AM165" s="46"/>
      <c r="AN165" s="46"/>
      <c r="AO165" s="46"/>
      <c r="AP165" s="46"/>
      <c r="AQ165" s="69"/>
      <c r="AR165" s="69"/>
      <c r="AS165" s="69"/>
      <c r="AT165" s="69"/>
      <c r="AU165" s="69"/>
      <c r="AV165" s="69"/>
      <c r="AW165" s="69"/>
      <c r="AX165" s="71"/>
    </row>
    <row r="166" spans="2:50" ht="16.5" customHeight="1" thickBot="1" x14ac:dyDescent="0.3">
      <c r="B166" s="1" t="s">
        <v>2</v>
      </c>
      <c r="C166" s="10"/>
      <c r="D166">
        <f>C166</f>
        <v>0</v>
      </c>
      <c r="F166" s="1" t="s">
        <v>2</v>
      </c>
      <c r="G166" s="78"/>
      <c r="H166" s="46"/>
      <c r="I166" s="46"/>
      <c r="J166" s="70"/>
      <c r="K166" s="69"/>
      <c r="L166" s="46"/>
      <c r="M166" s="46"/>
      <c r="N166" s="46"/>
      <c r="O166" s="69"/>
      <c r="P166" s="70"/>
      <c r="Q166" s="69"/>
      <c r="R166" s="46"/>
      <c r="S166" s="46"/>
      <c r="T166" s="46"/>
      <c r="U166" s="46"/>
      <c r="V166" s="46"/>
      <c r="W166" s="46"/>
      <c r="X166" s="70"/>
      <c r="Y166" s="78"/>
      <c r="Z166" s="46"/>
      <c r="AA166" s="46"/>
      <c r="AB166" s="46"/>
      <c r="AC166" s="69"/>
      <c r="AD166" s="46"/>
      <c r="AE166" s="46"/>
      <c r="AF166" s="70"/>
      <c r="AG166" s="46"/>
      <c r="AH166" s="70"/>
      <c r="AI166" s="46"/>
      <c r="AJ166" s="46"/>
      <c r="AK166" s="46"/>
      <c r="AL166" s="46"/>
      <c r="AM166" s="46"/>
      <c r="AN166" s="46"/>
      <c r="AO166" s="46"/>
      <c r="AP166" s="46"/>
      <c r="AQ166" s="69"/>
      <c r="AR166" s="69"/>
      <c r="AS166" s="69"/>
      <c r="AT166" s="69"/>
      <c r="AU166" s="69"/>
      <c r="AV166" s="69"/>
      <c r="AW166" s="69"/>
      <c r="AX166" s="71"/>
    </row>
    <row r="167" spans="2:50" ht="16.5" customHeight="1" thickBot="1" x14ac:dyDescent="0.3">
      <c r="B167" s="1" t="s">
        <v>3</v>
      </c>
      <c r="C167" s="10"/>
      <c r="D167" s="7">
        <f t="shared" si="17"/>
        <v>0</v>
      </c>
      <c r="F167" s="1" t="s">
        <v>3</v>
      </c>
      <c r="G167" s="79"/>
      <c r="H167" s="73"/>
      <c r="I167" s="73"/>
      <c r="J167" s="74"/>
      <c r="K167" s="72"/>
      <c r="L167" s="73"/>
      <c r="M167" s="73"/>
      <c r="N167" s="73"/>
      <c r="O167" s="72"/>
      <c r="P167" s="74"/>
      <c r="Q167" s="72"/>
      <c r="R167" s="73"/>
      <c r="S167" s="73"/>
      <c r="T167" s="73"/>
      <c r="U167" s="73"/>
      <c r="V167" s="73"/>
      <c r="W167" s="73"/>
      <c r="X167" s="74"/>
      <c r="Y167" s="79"/>
      <c r="Z167" s="73"/>
      <c r="AA167" s="73"/>
      <c r="AB167" s="73"/>
      <c r="AC167" s="72"/>
      <c r="AD167" s="73"/>
      <c r="AE167" s="73"/>
      <c r="AF167" s="74"/>
      <c r="AG167" s="73"/>
      <c r="AH167" s="74"/>
      <c r="AI167" s="73"/>
      <c r="AJ167" s="73"/>
      <c r="AK167" s="73"/>
      <c r="AL167" s="73"/>
      <c r="AM167" s="73"/>
      <c r="AN167" s="73"/>
      <c r="AO167" s="73"/>
      <c r="AP167" s="73"/>
      <c r="AQ167" s="72"/>
      <c r="AR167" s="72"/>
      <c r="AS167" s="72"/>
      <c r="AT167" s="72"/>
      <c r="AU167" s="72"/>
      <c r="AV167" s="72"/>
      <c r="AW167" s="72"/>
      <c r="AX167" s="75"/>
    </row>
    <row r="168" spans="2:50" ht="21" customHeight="1" x14ac:dyDescent="0.25">
      <c r="B168" s="2"/>
      <c r="C168" s="3" t="s">
        <v>25</v>
      </c>
      <c r="D168" s="9">
        <f>SUM(D164:D167)</f>
        <v>0</v>
      </c>
      <c r="G168" s="80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80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</row>
    <row r="169" spans="2:50" x14ac:dyDescent="0.25"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</row>
    <row r="170" spans="2:50" ht="15.75" x14ac:dyDescent="0.25">
      <c r="G170" s="100" t="s">
        <v>22</v>
      </c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1" t="s">
        <v>21</v>
      </c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46"/>
      <c r="AR170" s="46"/>
      <c r="AS170" s="46"/>
      <c r="AT170" s="46"/>
      <c r="AU170" s="46"/>
      <c r="AV170" s="46"/>
      <c r="AW170" s="46"/>
      <c r="AX170" s="46"/>
    </row>
    <row r="171" spans="2:50" ht="32.25" thickBot="1" x14ac:dyDescent="0.3">
      <c r="G171" s="102" t="s">
        <v>14</v>
      </c>
      <c r="H171" s="102"/>
      <c r="I171" s="102"/>
      <c r="J171" s="102"/>
      <c r="K171" s="102" t="s">
        <v>15</v>
      </c>
      <c r="L171" s="102"/>
      <c r="M171" s="102"/>
      <c r="N171" s="102"/>
      <c r="O171" s="102" t="s">
        <v>59</v>
      </c>
      <c r="P171" s="102"/>
      <c r="Q171" s="102" t="s">
        <v>16</v>
      </c>
      <c r="R171" s="102"/>
      <c r="S171" s="102"/>
      <c r="T171" s="102"/>
      <c r="U171" s="102"/>
      <c r="V171" s="102"/>
      <c r="W171" s="102"/>
      <c r="X171" s="102"/>
      <c r="Y171" s="102" t="s">
        <v>14</v>
      </c>
      <c r="Z171" s="102"/>
      <c r="AA171" s="102"/>
      <c r="AB171" s="102"/>
      <c r="AC171" s="102" t="s">
        <v>15</v>
      </c>
      <c r="AD171" s="102"/>
      <c r="AE171" s="102"/>
      <c r="AF171" s="102"/>
      <c r="AG171" s="102" t="s">
        <v>59</v>
      </c>
      <c r="AH171" s="102"/>
      <c r="AI171" s="102" t="s">
        <v>16</v>
      </c>
      <c r="AJ171" s="102"/>
      <c r="AK171" s="102"/>
      <c r="AL171" s="102"/>
      <c r="AM171" s="102"/>
      <c r="AN171" s="102"/>
      <c r="AO171" s="102"/>
      <c r="AP171" s="102"/>
      <c r="AQ171" s="76" t="s">
        <v>60</v>
      </c>
      <c r="AR171" s="76"/>
      <c r="AS171" s="76" t="s">
        <v>65</v>
      </c>
      <c r="AT171" s="76" t="s">
        <v>61</v>
      </c>
      <c r="AU171" s="76" t="s">
        <v>62</v>
      </c>
      <c r="AV171" s="76" t="s">
        <v>27</v>
      </c>
      <c r="AW171" s="76" t="s">
        <v>64</v>
      </c>
      <c r="AX171" s="76" t="s">
        <v>63</v>
      </c>
    </row>
    <row r="172" spans="2:50" ht="48" thickBot="1" x14ac:dyDescent="0.3">
      <c r="B172" s="20">
        <v>0.1875</v>
      </c>
      <c r="C172" s="14" t="s">
        <v>13</v>
      </c>
      <c r="D172" s="8" t="s">
        <v>6</v>
      </c>
      <c r="F172" s="13"/>
      <c r="G172" s="63" t="s">
        <v>20</v>
      </c>
      <c r="H172" s="64" t="s">
        <v>17</v>
      </c>
      <c r="I172" s="64" t="s">
        <v>19</v>
      </c>
      <c r="J172" s="64" t="s">
        <v>18</v>
      </c>
      <c r="K172" s="64" t="s">
        <v>52</v>
      </c>
      <c r="L172" s="64" t="s">
        <v>51</v>
      </c>
      <c r="M172" s="64" t="s">
        <v>53</v>
      </c>
      <c r="N172" s="64" t="s">
        <v>54</v>
      </c>
      <c r="O172" s="64" t="s">
        <v>20</v>
      </c>
      <c r="P172" s="64" t="s">
        <v>19</v>
      </c>
      <c r="Q172" s="64" t="s">
        <v>55</v>
      </c>
      <c r="R172" s="64" t="s">
        <v>56</v>
      </c>
      <c r="S172" s="64" t="s">
        <v>52</v>
      </c>
      <c r="T172" s="64" t="s">
        <v>51</v>
      </c>
      <c r="U172" s="64" t="s">
        <v>57</v>
      </c>
      <c r="V172" s="64" t="s">
        <v>58</v>
      </c>
      <c r="W172" s="64" t="s">
        <v>53</v>
      </c>
      <c r="X172" s="64" t="s">
        <v>54</v>
      </c>
      <c r="Y172" s="63" t="s">
        <v>20</v>
      </c>
      <c r="Z172" s="64" t="s">
        <v>17</v>
      </c>
      <c r="AA172" s="64" t="s">
        <v>19</v>
      </c>
      <c r="AB172" s="64" t="s">
        <v>18</v>
      </c>
      <c r="AC172" s="64" t="s">
        <v>52</v>
      </c>
      <c r="AD172" s="64" t="s">
        <v>51</v>
      </c>
      <c r="AE172" s="64" t="s">
        <v>53</v>
      </c>
      <c r="AF172" s="64" t="s">
        <v>54</v>
      </c>
      <c r="AG172" s="64" t="s">
        <v>20</v>
      </c>
      <c r="AH172" s="64" t="s">
        <v>19</v>
      </c>
      <c r="AI172" s="64" t="s">
        <v>55</v>
      </c>
      <c r="AJ172" s="64" t="s">
        <v>56</v>
      </c>
      <c r="AK172" s="64" t="s">
        <v>52</v>
      </c>
      <c r="AL172" s="64" t="s">
        <v>51</v>
      </c>
      <c r="AM172" s="64" t="s">
        <v>57</v>
      </c>
      <c r="AN172" s="64" t="s">
        <v>58</v>
      </c>
      <c r="AO172" s="64" t="s">
        <v>53</v>
      </c>
      <c r="AP172" s="64" t="s">
        <v>54</v>
      </c>
      <c r="AQ172" s="46"/>
      <c r="AR172" s="46"/>
      <c r="AS172" s="46"/>
      <c r="AT172" s="46"/>
      <c r="AU172" s="46"/>
      <c r="AV172" s="46"/>
      <c r="AW172" s="46"/>
      <c r="AX172" s="46"/>
    </row>
    <row r="173" spans="2:50" ht="16.5" customHeight="1" thickBot="1" x14ac:dyDescent="0.3">
      <c r="B173" s="1" t="s">
        <v>0</v>
      </c>
      <c r="C173" s="10"/>
      <c r="D173">
        <f>C173</f>
        <v>0</v>
      </c>
      <c r="F173" s="12" t="s">
        <v>0</v>
      </c>
      <c r="G173" s="77"/>
      <c r="H173" s="66"/>
      <c r="I173" s="66"/>
      <c r="J173" s="67"/>
      <c r="K173" s="65"/>
      <c r="L173" s="66"/>
      <c r="M173" s="66"/>
      <c r="N173" s="66"/>
      <c r="O173" s="65"/>
      <c r="P173" s="67"/>
      <c r="Q173" s="65"/>
      <c r="R173" s="66"/>
      <c r="S173" s="66"/>
      <c r="T173" s="66"/>
      <c r="U173" s="66"/>
      <c r="V173" s="66"/>
      <c r="W173" s="66"/>
      <c r="X173" s="67"/>
      <c r="Y173" s="77"/>
      <c r="Z173" s="66"/>
      <c r="AA173" s="66"/>
      <c r="AB173" s="66"/>
      <c r="AC173" s="65"/>
      <c r="AD173" s="66"/>
      <c r="AE173" s="66"/>
      <c r="AF173" s="67"/>
      <c r="AG173" s="66"/>
      <c r="AH173" s="67"/>
      <c r="AI173" s="66"/>
      <c r="AJ173" s="66"/>
      <c r="AK173" s="66"/>
      <c r="AL173" s="66"/>
      <c r="AM173" s="66"/>
      <c r="AN173" s="66"/>
      <c r="AO173" s="66"/>
      <c r="AP173" s="66"/>
      <c r="AQ173" s="65"/>
      <c r="AR173" s="65"/>
      <c r="AS173" s="65"/>
      <c r="AT173" s="65"/>
      <c r="AU173" s="65"/>
      <c r="AV173" s="65"/>
      <c r="AW173" s="65"/>
      <c r="AX173" s="68"/>
    </row>
    <row r="174" spans="2:50" ht="16.5" customHeight="1" thickBot="1" x14ac:dyDescent="0.3">
      <c r="B174" s="1" t="s">
        <v>1</v>
      </c>
      <c r="C174" s="10"/>
      <c r="D174">
        <f t="shared" ref="D174:D176" si="18">C174</f>
        <v>0</v>
      </c>
      <c r="F174" s="1" t="s">
        <v>1</v>
      </c>
      <c r="G174" s="78"/>
      <c r="H174" s="46"/>
      <c r="I174" s="46"/>
      <c r="J174" s="70"/>
      <c r="K174" s="69"/>
      <c r="L174" s="46"/>
      <c r="M174" s="46"/>
      <c r="N174" s="46"/>
      <c r="O174" s="69"/>
      <c r="P174" s="70"/>
      <c r="Q174" s="69"/>
      <c r="R174" s="46"/>
      <c r="S174" s="46"/>
      <c r="T174" s="46"/>
      <c r="U174" s="46"/>
      <c r="V174" s="46"/>
      <c r="W174" s="46"/>
      <c r="X174" s="70"/>
      <c r="Y174" s="78"/>
      <c r="Z174" s="46"/>
      <c r="AA174" s="46"/>
      <c r="AB174" s="46"/>
      <c r="AC174" s="69"/>
      <c r="AD174" s="46"/>
      <c r="AE174" s="46"/>
      <c r="AF174" s="70"/>
      <c r="AG174" s="46"/>
      <c r="AH174" s="70"/>
      <c r="AI174" s="46"/>
      <c r="AJ174" s="46"/>
      <c r="AK174" s="46"/>
      <c r="AL174" s="46"/>
      <c r="AM174" s="46"/>
      <c r="AN174" s="46"/>
      <c r="AO174" s="46"/>
      <c r="AP174" s="46"/>
      <c r="AQ174" s="69"/>
      <c r="AR174" s="69"/>
      <c r="AS174" s="69"/>
      <c r="AT174" s="69"/>
      <c r="AU174" s="69"/>
      <c r="AV174" s="69"/>
      <c r="AW174" s="69"/>
      <c r="AX174" s="71"/>
    </row>
    <row r="175" spans="2:50" ht="16.5" customHeight="1" thickBot="1" x14ac:dyDescent="0.3">
      <c r="B175" s="1" t="s">
        <v>2</v>
      </c>
      <c r="C175" s="10"/>
      <c r="D175">
        <f>C175</f>
        <v>0</v>
      </c>
      <c r="F175" s="1" t="s">
        <v>2</v>
      </c>
      <c r="G175" s="78"/>
      <c r="H175" s="46"/>
      <c r="I175" s="46"/>
      <c r="J175" s="70"/>
      <c r="K175" s="69"/>
      <c r="L175" s="46"/>
      <c r="M175" s="46"/>
      <c r="N175" s="46"/>
      <c r="O175" s="69"/>
      <c r="P175" s="70"/>
      <c r="Q175" s="69"/>
      <c r="R175" s="46"/>
      <c r="S175" s="46"/>
      <c r="T175" s="46"/>
      <c r="U175" s="46"/>
      <c r="V175" s="46"/>
      <c r="W175" s="46"/>
      <c r="X175" s="70"/>
      <c r="Y175" s="78"/>
      <c r="Z175" s="46"/>
      <c r="AA175" s="46"/>
      <c r="AB175" s="46"/>
      <c r="AC175" s="69"/>
      <c r="AD175" s="46"/>
      <c r="AE175" s="46"/>
      <c r="AF175" s="70"/>
      <c r="AG175" s="46"/>
      <c r="AH175" s="70"/>
      <c r="AI175" s="46"/>
      <c r="AJ175" s="46"/>
      <c r="AK175" s="46"/>
      <c r="AL175" s="46"/>
      <c r="AM175" s="46"/>
      <c r="AN175" s="46"/>
      <c r="AO175" s="46"/>
      <c r="AP175" s="46"/>
      <c r="AQ175" s="69"/>
      <c r="AR175" s="69"/>
      <c r="AS175" s="69"/>
      <c r="AT175" s="69"/>
      <c r="AU175" s="69"/>
      <c r="AV175" s="69"/>
      <c r="AW175" s="69"/>
      <c r="AX175" s="71"/>
    </row>
    <row r="176" spans="2:50" ht="16.5" customHeight="1" thickBot="1" x14ac:dyDescent="0.3">
      <c r="B176" s="1" t="s">
        <v>3</v>
      </c>
      <c r="C176" s="10"/>
      <c r="D176" s="7">
        <f t="shared" si="18"/>
        <v>0</v>
      </c>
      <c r="F176" s="1" t="s">
        <v>3</v>
      </c>
      <c r="G176" s="79"/>
      <c r="H176" s="73"/>
      <c r="I176" s="73"/>
      <c r="J176" s="74"/>
      <c r="K176" s="72"/>
      <c r="L176" s="73"/>
      <c r="M176" s="73"/>
      <c r="N176" s="73"/>
      <c r="O176" s="72"/>
      <c r="P176" s="74"/>
      <c r="Q176" s="72"/>
      <c r="R176" s="73"/>
      <c r="S176" s="73"/>
      <c r="T176" s="73"/>
      <c r="U176" s="73"/>
      <c r="V176" s="73"/>
      <c r="W176" s="73"/>
      <c r="X176" s="74"/>
      <c r="Y176" s="79"/>
      <c r="Z176" s="73"/>
      <c r="AA176" s="73"/>
      <c r="AB176" s="73"/>
      <c r="AC176" s="72"/>
      <c r="AD176" s="73"/>
      <c r="AE176" s="73"/>
      <c r="AF176" s="74"/>
      <c r="AG176" s="73"/>
      <c r="AH176" s="74"/>
      <c r="AI176" s="73"/>
      <c r="AJ176" s="73"/>
      <c r="AK176" s="73"/>
      <c r="AL176" s="73"/>
      <c r="AM176" s="73"/>
      <c r="AN176" s="73"/>
      <c r="AO176" s="73"/>
      <c r="AP176" s="73"/>
      <c r="AQ176" s="72"/>
      <c r="AR176" s="72"/>
      <c r="AS176" s="72"/>
      <c r="AT176" s="72"/>
      <c r="AU176" s="72"/>
      <c r="AV176" s="72"/>
      <c r="AW176" s="72"/>
      <c r="AX176" s="75"/>
    </row>
    <row r="177" spans="2:50" ht="21" customHeight="1" x14ac:dyDescent="0.25">
      <c r="B177" s="2"/>
      <c r="C177" s="3" t="s">
        <v>25</v>
      </c>
      <c r="D177" s="9">
        <f>SUM(D173:D176)</f>
        <v>0</v>
      </c>
      <c r="G177" s="80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80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</row>
    <row r="178" spans="2:50" x14ac:dyDescent="0.25"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</row>
    <row r="179" spans="2:50" ht="15.75" x14ac:dyDescent="0.25">
      <c r="G179" s="100" t="s">
        <v>22</v>
      </c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1" t="s">
        <v>21</v>
      </c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46"/>
      <c r="AR179" s="46"/>
      <c r="AS179" s="46"/>
      <c r="AT179" s="46"/>
      <c r="AU179" s="46"/>
      <c r="AV179" s="46"/>
      <c r="AW179" s="46"/>
      <c r="AX179" s="46"/>
    </row>
    <row r="180" spans="2:50" ht="32.25" thickBot="1" x14ac:dyDescent="0.3">
      <c r="G180" s="102" t="s">
        <v>14</v>
      </c>
      <c r="H180" s="102"/>
      <c r="I180" s="102"/>
      <c r="J180" s="102"/>
      <c r="K180" s="102" t="s">
        <v>15</v>
      </c>
      <c r="L180" s="102"/>
      <c r="M180" s="102"/>
      <c r="N180" s="102"/>
      <c r="O180" s="102" t="s">
        <v>59</v>
      </c>
      <c r="P180" s="102"/>
      <c r="Q180" s="102" t="s">
        <v>16</v>
      </c>
      <c r="R180" s="102"/>
      <c r="S180" s="102"/>
      <c r="T180" s="102"/>
      <c r="U180" s="102"/>
      <c r="V180" s="102"/>
      <c r="W180" s="102"/>
      <c r="X180" s="102"/>
      <c r="Y180" s="102" t="s">
        <v>14</v>
      </c>
      <c r="Z180" s="102"/>
      <c r="AA180" s="102"/>
      <c r="AB180" s="102"/>
      <c r="AC180" s="102" t="s">
        <v>15</v>
      </c>
      <c r="AD180" s="102"/>
      <c r="AE180" s="102"/>
      <c r="AF180" s="102"/>
      <c r="AG180" s="102" t="s">
        <v>59</v>
      </c>
      <c r="AH180" s="102"/>
      <c r="AI180" s="102" t="s">
        <v>16</v>
      </c>
      <c r="AJ180" s="102"/>
      <c r="AK180" s="102"/>
      <c r="AL180" s="102"/>
      <c r="AM180" s="102"/>
      <c r="AN180" s="102"/>
      <c r="AO180" s="102"/>
      <c r="AP180" s="102"/>
      <c r="AQ180" s="76" t="s">
        <v>60</v>
      </c>
      <c r="AR180" s="76"/>
      <c r="AS180" s="76" t="s">
        <v>65</v>
      </c>
      <c r="AT180" s="76" t="s">
        <v>61</v>
      </c>
      <c r="AU180" s="76" t="s">
        <v>62</v>
      </c>
      <c r="AV180" s="76" t="s">
        <v>27</v>
      </c>
      <c r="AW180" s="76" t="s">
        <v>64</v>
      </c>
      <c r="AX180" s="76" t="s">
        <v>63</v>
      </c>
    </row>
    <row r="181" spans="2:50" ht="48" thickBot="1" x14ac:dyDescent="0.3">
      <c r="B181" s="20">
        <v>0.19791666666666666</v>
      </c>
      <c r="C181" s="14" t="s">
        <v>13</v>
      </c>
      <c r="D181" s="8" t="s">
        <v>6</v>
      </c>
      <c r="F181" s="13"/>
      <c r="G181" s="63" t="s">
        <v>20</v>
      </c>
      <c r="H181" s="64" t="s">
        <v>17</v>
      </c>
      <c r="I181" s="64" t="s">
        <v>19</v>
      </c>
      <c r="J181" s="64" t="s">
        <v>18</v>
      </c>
      <c r="K181" s="64" t="s">
        <v>52</v>
      </c>
      <c r="L181" s="64" t="s">
        <v>51</v>
      </c>
      <c r="M181" s="64" t="s">
        <v>53</v>
      </c>
      <c r="N181" s="64" t="s">
        <v>54</v>
      </c>
      <c r="O181" s="64" t="s">
        <v>20</v>
      </c>
      <c r="P181" s="64" t="s">
        <v>19</v>
      </c>
      <c r="Q181" s="64" t="s">
        <v>55</v>
      </c>
      <c r="R181" s="64" t="s">
        <v>56</v>
      </c>
      <c r="S181" s="64" t="s">
        <v>52</v>
      </c>
      <c r="T181" s="64" t="s">
        <v>51</v>
      </c>
      <c r="U181" s="64" t="s">
        <v>57</v>
      </c>
      <c r="V181" s="64" t="s">
        <v>58</v>
      </c>
      <c r="W181" s="64" t="s">
        <v>53</v>
      </c>
      <c r="X181" s="64" t="s">
        <v>54</v>
      </c>
      <c r="Y181" s="63" t="s">
        <v>20</v>
      </c>
      <c r="Z181" s="64" t="s">
        <v>17</v>
      </c>
      <c r="AA181" s="64" t="s">
        <v>19</v>
      </c>
      <c r="AB181" s="64" t="s">
        <v>18</v>
      </c>
      <c r="AC181" s="64" t="s">
        <v>52</v>
      </c>
      <c r="AD181" s="64" t="s">
        <v>51</v>
      </c>
      <c r="AE181" s="64" t="s">
        <v>53</v>
      </c>
      <c r="AF181" s="64" t="s">
        <v>54</v>
      </c>
      <c r="AG181" s="64" t="s">
        <v>20</v>
      </c>
      <c r="AH181" s="64" t="s">
        <v>19</v>
      </c>
      <c r="AI181" s="64" t="s">
        <v>55</v>
      </c>
      <c r="AJ181" s="64" t="s">
        <v>56</v>
      </c>
      <c r="AK181" s="64" t="s">
        <v>52</v>
      </c>
      <c r="AL181" s="64" t="s">
        <v>51</v>
      </c>
      <c r="AM181" s="64" t="s">
        <v>57</v>
      </c>
      <c r="AN181" s="64" t="s">
        <v>58</v>
      </c>
      <c r="AO181" s="64" t="s">
        <v>53</v>
      </c>
      <c r="AP181" s="64" t="s">
        <v>54</v>
      </c>
      <c r="AQ181" s="46"/>
      <c r="AR181" s="46"/>
      <c r="AS181" s="46"/>
      <c r="AT181" s="46"/>
      <c r="AU181" s="46"/>
      <c r="AV181" s="46"/>
      <c r="AW181" s="46"/>
      <c r="AX181" s="46"/>
    </row>
    <row r="182" spans="2:50" ht="16.5" customHeight="1" thickBot="1" x14ac:dyDescent="0.3">
      <c r="B182" s="1" t="s">
        <v>0</v>
      </c>
      <c r="C182" s="10"/>
      <c r="D182">
        <f>C182</f>
        <v>0</v>
      </c>
      <c r="F182" s="12" t="s">
        <v>0</v>
      </c>
      <c r="G182" s="77"/>
      <c r="H182" s="66"/>
      <c r="I182" s="66"/>
      <c r="J182" s="67"/>
      <c r="K182" s="65"/>
      <c r="L182" s="66"/>
      <c r="M182" s="66"/>
      <c r="N182" s="66"/>
      <c r="O182" s="65"/>
      <c r="P182" s="67"/>
      <c r="Q182" s="65"/>
      <c r="R182" s="66"/>
      <c r="S182" s="66"/>
      <c r="T182" s="66"/>
      <c r="U182" s="66"/>
      <c r="V182" s="66"/>
      <c r="W182" s="66"/>
      <c r="X182" s="67"/>
      <c r="Y182" s="77"/>
      <c r="Z182" s="66"/>
      <c r="AA182" s="66"/>
      <c r="AB182" s="66"/>
      <c r="AC182" s="65"/>
      <c r="AD182" s="66"/>
      <c r="AE182" s="66"/>
      <c r="AF182" s="67"/>
      <c r="AG182" s="66"/>
      <c r="AH182" s="67"/>
      <c r="AI182" s="66"/>
      <c r="AJ182" s="66"/>
      <c r="AK182" s="66"/>
      <c r="AL182" s="66"/>
      <c r="AM182" s="66"/>
      <c r="AN182" s="66"/>
      <c r="AO182" s="66"/>
      <c r="AP182" s="66"/>
      <c r="AQ182" s="65"/>
      <c r="AR182" s="65"/>
      <c r="AS182" s="65"/>
      <c r="AT182" s="65"/>
      <c r="AU182" s="65"/>
      <c r="AV182" s="65"/>
      <c r="AW182" s="65"/>
      <c r="AX182" s="68"/>
    </row>
    <row r="183" spans="2:50" ht="16.5" customHeight="1" thickBot="1" x14ac:dyDescent="0.3">
      <c r="B183" s="1" t="s">
        <v>1</v>
      </c>
      <c r="C183" s="10"/>
      <c r="D183">
        <f t="shared" ref="D183:D185" si="19">C183</f>
        <v>0</v>
      </c>
      <c r="F183" s="1" t="s">
        <v>1</v>
      </c>
      <c r="G183" s="78"/>
      <c r="H183" s="46"/>
      <c r="I183" s="46"/>
      <c r="J183" s="70"/>
      <c r="K183" s="69"/>
      <c r="L183" s="46"/>
      <c r="M183" s="46"/>
      <c r="N183" s="46"/>
      <c r="O183" s="69"/>
      <c r="P183" s="70"/>
      <c r="Q183" s="69"/>
      <c r="R183" s="46"/>
      <c r="S183" s="46"/>
      <c r="T183" s="46"/>
      <c r="U183" s="46"/>
      <c r="V183" s="46"/>
      <c r="W183" s="46"/>
      <c r="X183" s="70"/>
      <c r="Y183" s="78"/>
      <c r="Z183" s="46"/>
      <c r="AA183" s="46"/>
      <c r="AB183" s="46"/>
      <c r="AC183" s="69"/>
      <c r="AD183" s="46"/>
      <c r="AE183" s="46"/>
      <c r="AF183" s="70"/>
      <c r="AG183" s="46"/>
      <c r="AH183" s="70"/>
      <c r="AI183" s="46"/>
      <c r="AJ183" s="46"/>
      <c r="AK183" s="46"/>
      <c r="AL183" s="46"/>
      <c r="AM183" s="46"/>
      <c r="AN183" s="46"/>
      <c r="AO183" s="46"/>
      <c r="AP183" s="46"/>
      <c r="AQ183" s="69"/>
      <c r="AR183" s="69"/>
      <c r="AS183" s="69"/>
      <c r="AT183" s="69"/>
      <c r="AU183" s="69"/>
      <c r="AV183" s="69"/>
      <c r="AW183" s="69"/>
      <c r="AX183" s="71"/>
    </row>
    <row r="184" spans="2:50" ht="16.5" customHeight="1" thickBot="1" x14ac:dyDescent="0.3">
      <c r="B184" s="1" t="s">
        <v>2</v>
      </c>
      <c r="C184" s="10"/>
      <c r="D184">
        <f>C184</f>
        <v>0</v>
      </c>
      <c r="F184" s="1" t="s">
        <v>2</v>
      </c>
      <c r="G184" s="78"/>
      <c r="H184" s="46"/>
      <c r="I184" s="46"/>
      <c r="J184" s="70"/>
      <c r="K184" s="69"/>
      <c r="L184" s="46"/>
      <c r="M184" s="46"/>
      <c r="N184" s="46"/>
      <c r="O184" s="69"/>
      <c r="P184" s="70"/>
      <c r="Q184" s="69"/>
      <c r="R184" s="46"/>
      <c r="S184" s="46"/>
      <c r="T184" s="46"/>
      <c r="U184" s="46"/>
      <c r="V184" s="46"/>
      <c r="W184" s="46"/>
      <c r="X184" s="70"/>
      <c r="Y184" s="78"/>
      <c r="Z184" s="46"/>
      <c r="AA184" s="46"/>
      <c r="AB184" s="46"/>
      <c r="AC184" s="69"/>
      <c r="AD184" s="46"/>
      <c r="AE184" s="46"/>
      <c r="AF184" s="70"/>
      <c r="AG184" s="46"/>
      <c r="AH184" s="70"/>
      <c r="AI184" s="46"/>
      <c r="AJ184" s="46"/>
      <c r="AK184" s="46"/>
      <c r="AL184" s="46"/>
      <c r="AM184" s="46"/>
      <c r="AN184" s="46"/>
      <c r="AO184" s="46"/>
      <c r="AP184" s="46"/>
      <c r="AQ184" s="69"/>
      <c r="AR184" s="69"/>
      <c r="AS184" s="69"/>
      <c r="AT184" s="69"/>
      <c r="AU184" s="69"/>
      <c r="AV184" s="69"/>
      <c r="AW184" s="69"/>
      <c r="AX184" s="71"/>
    </row>
    <row r="185" spans="2:50" ht="16.5" customHeight="1" thickBot="1" x14ac:dyDescent="0.3">
      <c r="B185" s="1" t="s">
        <v>3</v>
      </c>
      <c r="C185" s="10"/>
      <c r="D185" s="7">
        <f t="shared" si="19"/>
        <v>0</v>
      </c>
      <c r="F185" s="1" t="s">
        <v>3</v>
      </c>
      <c r="G185" s="79"/>
      <c r="H185" s="73"/>
      <c r="I185" s="73"/>
      <c r="J185" s="74"/>
      <c r="K185" s="72"/>
      <c r="L185" s="73"/>
      <c r="M185" s="73"/>
      <c r="N185" s="73"/>
      <c r="O185" s="72"/>
      <c r="P185" s="74"/>
      <c r="Q185" s="72"/>
      <c r="R185" s="73"/>
      <c r="S185" s="73"/>
      <c r="T185" s="73"/>
      <c r="U185" s="73"/>
      <c r="V185" s="73"/>
      <c r="W185" s="73"/>
      <c r="X185" s="74"/>
      <c r="Y185" s="79"/>
      <c r="Z185" s="73"/>
      <c r="AA185" s="73"/>
      <c r="AB185" s="73"/>
      <c r="AC185" s="72"/>
      <c r="AD185" s="73"/>
      <c r="AE185" s="73"/>
      <c r="AF185" s="74"/>
      <c r="AG185" s="73"/>
      <c r="AH185" s="74"/>
      <c r="AI185" s="73"/>
      <c r="AJ185" s="73"/>
      <c r="AK185" s="73"/>
      <c r="AL185" s="73"/>
      <c r="AM185" s="73"/>
      <c r="AN185" s="73"/>
      <c r="AO185" s="73"/>
      <c r="AP185" s="73"/>
      <c r="AQ185" s="72"/>
      <c r="AR185" s="72"/>
      <c r="AS185" s="72"/>
      <c r="AT185" s="72"/>
      <c r="AU185" s="72"/>
      <c r="AV185" s="72"/>
      <c r="AW185" s="72"/>
      <c r="AX185" s="75"/>
    </row>
    <row r="186" spans="2:50" ht="21" customHeight="1" x14ac:dyDescent="0.25">
      <c r="B186" s="2"/>
      <c r="C186" s="3" t="s">
        <v>25</v>
      </c>
      <c r="D186" s="9">
        <f>SUM(D182:D185)</f>
        <v>0</v>
      </c>
      <c r="G186" s="80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80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</row>
    <row r="187" spans="2:50" x14ac:dyDescent="0.25"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</row>
    <row r="188" spans="2:50" ht="15.75" x14ac:dyDescent="0.25">
      <c r="G188" s="100" t="s">
        <v>22</v>
      </c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1" t="s">
        <v>21</v>
      </c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46"/>
      <c r="AR188" s="46"/>
      <c r="AS188" s="46"/>
      <c r="AT188" s="46"/>
      <c r="AU188" s="46"/>
      <c r="AV188" s="46"/>
      <c r="AW188" s="46"/>
      <c r="AX188" s="46"/>
    </row>
    <row r="189" spans="2:50" ht="32.25" thickBot="1" x14ac:dyDescent="0.3">
      <c r="G189" s="102" t="s">
        <v>14</v>
      </c>
      <c r="H189" s="102"/>
      <c r="I189" s="102"/>
      <c r="J189" s="102"/>
      <c r="K189" s="102" t="s">
        <v>15</v>
      </c>
      <c r="L189" s="102"/>
      <c r="M189" s="102"/>
      <c r="N189" s="102"/>
      <c r="O189" s="102" t="s">
        <v>59</v>
      </c>
      <c r="P189" s="102"/>
      <c r="Q189" s="102" t="s">
        <v>16</v>
      </c>
      <c r="R189" s="102"/>
      <c r="S189" s="102"/>
      <c r="T189" s="102"/>
      <c r="U189" s="102"/>
      <c r="V189" s="102"/>
      <c r="W189" s="102"/>
      <c r="X189" s="102"/>
      <c r="Y189" s="102" t="s">
        <v>14</v>
      </c>
      <c r="Z189" s="102"/>
      <c r="AA189" s="102"/>
      <c r="AB189" s="102"/>
      <c r="AC189" s="102" t="s">
        <v>15</v>
      </c>
      <c r="AD189" s="102"/>
      <c r="AE189" s="102"/>
      <c r="AF189" s="102"/>
      <c r="AG189" s="102" t="s">
        <v>59</v>
      </c>
      <c r="AH189" s="102"/>
      <c r="AI189" s="102" t="s">
        <v>16</v>
      </c>
      <c r="AJ189" s="102"/>
      <c r="AK189" s="102"/>
      <c r="AL189" s="102"/>
      <c r="AM189" s="102"/>
      <c r="AN189" s="102"/>
      <c r="AO189" s="102"/>
      <c r="AP189" s="102"/>
      <c r="AQ189" s="76" t="s">
        <v>60</v>
      </c>
      <c r="AR189" s="76"/>
      <c r="AS189" s="76" t="s">
        <v>65</v>
      </c>
      <c r="AT189" s="76" t="s">
        <v>61</v>
      </c>
      <c r="AU189" s="76" t="s">
        <v>62</v>
      </c>
      <c r="AV189" s="76" t="s">
        <v>27</v>
      </c>
      <c r="AW189" s="76" t="s">
        <v>64</v>
      </c>
      <c r="AX189" s="76" t="s">
        <v>63</v>
      </c>
    </row>
    <row r="190" spans="2:50" ht="48" thickBot="1" x14ac:dyDescent="0.3">
      <c r="B190" s="21">
        <v>0.20833333333333334</v>
      </c>
      <c r="C190" s="14" t="s">
        <v>13</v>
      </c>
      <c r="D190" s="8" t="s">
        <v>6</v>
      </c>
      <c r="F190" s="13"/>
      <c r="G190" s="63" t="s">
        <v>20</v>
      </c>
      <c r="H190" s="64" t="s">
        <v>17</v>
      </c>
      <c r="I190" s="64" t="s">
        <v>19</v>
      </c>
      <c r="J190" s="64" t="s">
        <v>18</v>
      </c>
      <c r="K190" s="64" t="s">
        <v>52</v>
      </c>
      <c r="L190" s="64" t="s">
        <v>51</v>
      </c>
      <c r="M190" s="64" t="s">
        <v>53</v>
      </c>
      <c r="N190" s="64" t="s">
        <v>54</v>
      </c>
      <c r="O190" s="64" t="s">
        <v>20</v>
      </c>
      <c r="P190" s="64" t="s">
        <v>19</v>
      </c>
      <c r="Q190" s="64" t="s">
        <v>55</v>
      </c>
      <c r="R190" s="64" t="s">
        <v>56</v>
      </c>
      <c r="S190" s="64" t="s">
        <v>52</v>
      </c>
      <c r="T190" s="64" t="s">
        <v>51</v>
      </c>
      <c r="U190" s="64" t="s">
        <v>57</v>
      </c>
      <c r="V190" s="64" t="s">
        <v>58</v>
      </c>
      <c r="W190" s="64" t="s">
        <v>53</v>
      </c>
      <c r="X190" s="64" t="s">
        <v>54</v>
      </c>
      <c r="Y190" s="63" t="s">
        <v>20</v>
      </c>
      <c r="Z190" s="64" t="s">
        <v>17</v>
      </c>
      <c r="AA190" s="64" t="s">
        <v>19</v>
      </c>
      <c r="AB190" s="64" t="s">
        <v>18</v>
      </c>
      <c r="AC190" s="64" t="s">
        <v>52</v>
      </c>
      <c r="AD190" s="64" t="s">
        <v>51</v>
      </c>
      <c r="AE190" s="64" t="s">
        <v>53</v>
      </c>
      <c r="AF190" s="64" t="s">
        <v>54</v>
      </c>
      <c r="AG190" s="64" t="s">
        <v>20</v>
      </c>
      <c r="AH190" s="64" t="s">
        <v>19</v>
      </c>
      <c r="AI190" s="64" t="s">
        <v>55</v>
      </c>
      <c r="AJ190" s="64" t="s">
        <v>56</v>
      </c>
      <c r="AK190" s="64" t="s">
        <v>52</v>
      </c>
      <c r="AL190" s="64" t="s">
        <v>51</v>
      </c>
      <c r="AM190" s="64" t="s">
        <v>57</v>
      </c>
      <c r="AN190" s="64" t="s">
        <v>58</v>
      </c>
      <c r="AO190" s="64" t="s">
        <v>53</v>
      </c>
      <c r="AP190" s="64" t="s">
        <v>54</v>
      </c>
      <c r="AQ190" s="46"/>
      <c r="AR190" s="46"/>
      <c r="AS190" s="46"/>
      <c r="AT190" s="46"/>
      <c r="AU190" s="46"/>
      <c r="AV190" s="46"/>
      <c r="AW190" s="46"/>
      <c r="AX190" s="46"/>
    </row>
    <row r="191" spans="2:50" ht="16.5" customHeight="1" thickBot="1" x14ac:dyDescent="0.3">
      <c r="B191" s="1" t="s">
        <v>0</v>
      </c>
      <c r="C191" s="10"/>
      <c r="D191">
        <f>C191</f>
        <v>0</v>
      </c>
      <c r="F191" s="12" t="s">
        <v>0</v>
      </c>
      <c r="G191" s="77"/>
      <c r="H191" s="66"/>
      <c r="I191" s="66"/>
      <c r="J191" s="67"/>
      <c r="K191" s="65"/>
      <c r="L191" s="66"/>
      <c r="M191" s="66"/>
      <c r="N191" s="66"/>
      <c r="O191" s="65"/>
      <c r="P191" s="67"/>
      <c r="Q191" s="65"/>
      <c r="R191" s="66"/>
      <c r="S191" s="66"/>
      <c r="T191" s="66"/>
      <c r="U191" s="66"/>
      <c r="V191" s="66"/>
      <c r="W191" s="66"/>
      <c r="X191" s="67"/>
      <c r="Y191" s="77"/>
      <c r="Z191" s="66"/>
      <c r="AA191" s="66"/>
      <c r="AB191" s="66"/>
      <c r="AC191" s="65"/>
      <c r="AD191" s="66"/>
      <c r="AE191" s="66"/>
      <c r="AF191" s="67"/>
      <c r="AG191" s="66"/>
      <c r="AH191" s="67"/>
      <c r="AI191" s="66"/>
      <c r="AJ191" s="66"/>
      <c r="AK191" s="66"/>
      <c r="AL191" s="66"/>
      <c r="AM191" s="66"/>
      <c r="AN191" s="66"/>
      <c r="AO191" s="66"/>
      <c r="AP191" s="66"/>
      <c r="AQ191" s="65"/>
      <c r="AR191" s="65"/>
      <c r="AS191" s="65"/>
      <c r="AT191" s="65"/>
      <c r="AU191" s="65"/>
      <c r="AV191" s="65"/>
      <c r="AW191" s="65"/>
      <c r="AX191" s="68"/>
    </row>
    <row r="192" spans="2:50" ht="16.5" customHeight="1" thickBot="1" x14ac:dyDescent="0.3">
      <c r="B192" s="1" t="s">
        <v>1</v>
      </c>
      <c r="C192" s="10"/>
      <c r="D192">
        <f t="shared" ref="D192:D194" si="20">C192</f>
        <v>0</v>
      </c>
      <c r="F192" s="1" t="s">
        <v>1</v>
      </c>
      <c r="G192" s="78"/>
      <c r="H192" s="46"/>
      <c r="I192" s="46"/>
      <c r="J192" s="70"/>
      <c r="K192" s="69"/>
      <c r="L192" s="46"/>
      <c r="M192" s="46"/>
      <c r="N192" s="46"/>
      <c r="O192" s="69"/>
      <c r="P192" s="70"/>
      <c r="Q192" s="69"/>
      <c r="R192" s="46"/>
      <c r="S192" s="46"/>
      <c r="T192" s="46"/>
      <c r="U192" s="46"/>
      <c r="V192" s="46"/>
      <c r="W192" s="46"/>
      <c r="X192" s="70"/>
      <c r="Y192" s="78"/>
      <c r="Z192" s="46"/>
      <c r="AA192" s="46"/>
      <c r="AB192" s="46"/>
      <c r="AC192" s="69"/>
      <c r="AD192" s="46"/>
      <c r="AE192" s="46"/>
      <c r="AF192" s="70"/>
      <c r="AG192" s="46"/>
      <c r="AH192" s="70"/>
      <c r="AI192" s="46"/>
      <c r="AJ192" s="46"/>
      <c r="AK192" s="46"/>
      <c r="AL192" s="46"/>
      <c r="AM192" s="46"/>
      <c r="AN192" s="46"/>
      <c r="AO192" s="46"/>
      <c r="AP192" s="46"/>
      <c r="AQ192" s="69"/>
      <c r="AR192" s="69"/>
      <c r="AS192" s="69"/>
      <c r="AT192" s="69"/>
      <c r="AU192" s="69"/>
      <c r="AV192" s="69"/>
      <c r="AW192" s="69"/>
      <c r="AX192" s="71"/>
    </row>
    <row r="193" spans="2:50" ht="16.5" customHeight="1" thickBot="1" x14ac:dyDescent="0.3">
      <c r="B193" s="1" t="s">
        <v>2</v>
      </c>
      <c r="C193" s="10"/>
      <c r="D193">
        <f>C193</f>
        <v>0</v>
      </c>
      <c r="F193" s="1" t="s">
        <v>2</v>
      </c>
      <c r="G193" s="78"/>
      <c r="H193" s="46"/>
      <c r="I193" s="46"/>
      <c r="J193" s="70"/>
      <c r="K193" s="69"/>
      <c r="L193" s="46"/>
      <c r="M193" s="46"/>
      <c r="N193" s="46"/>
      <c r="O193" s="69"/>
      <c r="P193" s="70"/>
      <c r="Q193" s="69"/>
      <c r="R193" s="46"/>
      <c r="S193" s="46"/>
      <c r="T193" s="46"/>
      <c r="U193" s="46"/>
      <c r="V193" s="46"/>
      <c r="W193" s="46"/>
      <c r="X193" s="70"/>
      <c r="Y193" s="78"/>
      <c r="Z193" s="46"/>
      <c r="AA193" s="46"/>
      <c r="AB193" s="46"/>
      <c r="AC193" s="69"/>
      <c r="AD193" s="46"/>
      <c r="AE193" s="46"/>
      <c r="AF193" s="70"/>
      <c r="AG193" s="46"/>
      <c r="AH193" s="70"/>
      <c r="AI193" s="46"/>
      <c r="AJ193" s="46"/>
      <c r="AK193" s="46"/>
      <c r="AL193" s="46"/>
      <c r="AM193" s="46"/>
      <c r="AN193" s="46"/>
      <c r="AO193" s="46"/>
      <c r="AP193" s="46"/>
      <c r="AQ193" s="69"/>
      <c r="AR193" s="69"/>
      <c r="AS193" s="69"/>
      <c r="AT193" s="69"/>
      <c r="AU193" s="69"/>
      <c r="AV193" s="69"/>
      <c r="AW193" s="69"/>
      <c r="AX193" s="71"/>
    </row>
    <row r="194" spans="2:50" ht="16.5" customHeight="1" thickBot="1" x14ac:dyDescent="0.3">
      <c r="B194" s="1" t="s">
        <v>3</v>
      </c>
      <c r="C194" s="10"/>
      <c r="D194" s="7">
        <f t="shared" si="20"/>
        <v>0</v>
      </c>
      <c r="F194" s="1" t="s">
        <v>3</v>
      </c>
      <c r="G194" s="79"/>
      <c r="H194" s="73"/>
      <c r="I194" s="73"/>
      <c r="J194" s="74"/>
      <c r="K194" s="72"/>
      <c r="L194" s="73"/>
      <c r="M194" s="73"/>
      <c r="N194" s="73"/>
      <c r="O194" s="72"/>
      <c r="P194" s="74"/>
      <c r="Q194" s="72"/>
      <c r="R194" s="73"/>
      <c r="S194" s="73"/>
      <c r="T194" s="73"/>
      <c r="U194" s="73"/>
      <c r="V194" s="73"/>
      <c r="W194" s="73"/>
      <c r="X194" s="74"/>
      <c r="Y194" s="79"/>
      <c r="Z194" s="73"/>
      <c r="AA194" s="73"/>
      <c r="AB194" s="73"/>
      <c r="AC194" s="72"/>
      <c r="AD194" s="73"/>
      <c r="AE194" s="73"/>
      <c r="AF194" s="74"/>
      <c r="AG194" s="73"/>
      <c r="AH194" s="74"/>
      <c r="AI194" s="73"/>
      <c r="AJ194" s="73"/>
      <c r="AK194" s="73"/>
      <c r="AL194" s="73"/>
      <c r="AM194" s="73"/>
      <c r="AN194" s="73"/>
      <c r="AO194" s="73"/>
      <c r="AP194" s="73"/>
      <c r="AQ194" s="72"/>
      <c r="AR194" s="72"/>
      <c r="AS194" s="72"/>
      <c r="AT194" s="72"/>
      <c r="AU194" s="72"/>
      <c r="AV194" s="72"/>
      <c r="AW194" s="72"/>
      <c r="AX194" s="75"/>
    </row>
    <row r="195" spans="2:50" ht="21" customHeight="1" x14ac:dyDescent="0.25">
      <c r="B195" s="2"/>
      <c r="C195" s="3" t="s">
        <v>25</v>
      </c>
      <c r="D195" s="9">
        <f>SUM(D191:D194)</f>
        <v>0</v>
      </c>
      <c r="G195" s="80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80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</row>
    <row r="196" spans="2:50" x14ac:dyDescent="0.25"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</row>
    <row r="197" spans="2:50" ht="15.75" x14ac:dyDescent="0.25">
      <c r="G197" s="100" t="s">
        <v>22</v>
      </c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1" t="s">
        <v>21</v>
      </c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46"/>
      <c r="AR197" s="46"/>
      <c r="AS197" s="46"/>
      <c r="AT197" s="46"/>
      <c r="AU197" s="46"/>
      <c r="AV197" s="46"/>
      <c r="AW197" s="46"/>
      <c r="AX197" s="46"/>
    </row>
    <row r="198" spans="2:50" ht="32.25" thickBot="1" x14ac:dyDescent="0.3">
      <c r="G198" s="102" t="s">
        <v>14</v>
      </c>
      <c r="H198" s="102"/>
      <c r="I198" s="102"/>
      <c r="J198" s="102"/>
      <c r="K198" s="102" t="s">
        <v>15</v>
      </c>
      <c r="L198" s="102"/>
      <c r="M198" s="102"/>
      <c r="N198" s="102"/>
      <c r="O198" s="102" t="s">
        <v>59</v>
      </c>
      <c r="P198" s="102"/>
      <c r="Q198" s="102" t="s">
        <v>16</v>
      </c>
      <c r="R198" s="102"/>
      <c r="S198" s="102"/>
      <c r="T198" s="102"/>
      <c r="U198" s="102"/>
      <c r="V198" s="102"/>
      <c r="W198" s="102"/>
      <c r="X198" s="102"/>
      <c r="Y198" s="102" t="s">
        <v>14</v>
      </c>
      <c r="Z198" s="102"/>
      <c r="AA198" s="102"/>
      <c r="AB198" s="102"/>
      <c r="AC198" s="102" t="s">
        <v>15</v>
      </c>
      <c r="AD198" s="102"/>
      <c r="AE198" s="102"/>
      <c r="AF198" s="102"/>
      <c r="AG198" s="102" t="s">
        <v>59</v>
      </c>
      <c r="AH198" s="102"/>
      <c r="AI198" s="102" t="s">
        <v>16</v>
      </c>
      <c r="AJ198" s="102"/>
      <c r="AK198" s="102"/>
      <c r="AL198" s="102"/>
      <c r="AM198" s="102"/>
      <c r="AN198" s="102"/>
      <c r="AO198" s="102"/>
      <c r="AP198" s="102"/>
      <c r="AQ198" s="76" t="s">
        <v>60</v>
      </c>
      <c r="AR198" s="76"/>
      <c r="AS198" s="76" t="s">
        <v>65</v>
      </c>
      <c r="AT198" s="76" t="s">
        <v>61</v>
      </c>
      <c r="AU198" s="76" t="s">
        <v>62</v>
      </c>
      <c r="AV198" s="76" t="s">
        <v>27</v>
      </c>
      <c r="AW198" s="76" t="s">
        <v>64</v>
      </c>
      <c r="AX198" s="76" t="s">
        <v>63</v>
      </c>
    </row>
    <row r="199" spans="2:50" ht="48" thickBot="1" x14ac:dyDescent="0.3">
      <c r="B199" s="21">
        <v>0.21875</v>
      </c>
      <c r="C199" s="14" t="s">
        <v>13</v>
      </c>
      <c r="D199" s="8" t="s">
        <v>6</v>
      </c>
      <c r="F199" s="13"/>
      <c r="G199" s="63" t="s">
        <v>20</v>
      </c>
      <c r="H199" s="64" t="s">
        <v>17</v>
      </c>
      <c r="I199" s="64" t="s">
        <v>19</v>
      </c>
      <c r="J199" s="64" t="s">
        <v>18</v>
      </c>
      <c r="K199" s="64" t="s">
        <v>52</v>
      </c>
      <c r="L199" s="64" t="s">
        <v>51</v>
      </c>
      <c r="M199" s="64" t="s">
        <v>53</v>
      </c>
      <c r="N199" s="64" t="s">
        <v>54</v>
      </c>
      <c r="O199" s="64" t="s">
        <v>20</v>
      </c>
      <c r="P199" s="64" t="s">
        <v>19</v>
      </c>
      <c r="Q199" s="64" t="s">
        <v>55</v>
      </c>
      <c r="R199" s="64" t="s">
        <v>56</v>
      </c>
      <c r="S199" s="64" t="s">
        <v>52</v>
      </c>
      <c r="T199" s="64" t="s">
        <v>51</v>
      </c>
      <c r="U199" s="64" t="s">
        <v>57</v>
      </c>
      <c r="V199" s="64" t="s">
        <v>58</v>
      </c>
      <c r="W199" s="64" t="s">
        <v>53</v>
      </c>
      <c r="X199" s="64" t="s">
        <v>54</v>
      </c>
      <c r="Y199" s="63" t="s">
        <v>20</v>
      </c>
      <c r="Z199" s="64" t="s">
        <v>17</v>
      </c>
      <c r="AA199" s="64" t="s">
        <v>19</v>
      </c>
      <c r="AB199" s="64" t="s">
        <v>18</v>
      </c>
      <c r="AC199" s="64" t="s">
        <v>52</v>
      </c>
      <c r="AD199" s="64" t="s">
        <v>51</v>
      </c>
      <c r="AE199" s="64" t="s">
        <v>53</v>
      </c>
      <c r="AF199" s="64" t="s">
        <v>54</v>
      </c>
      <c r="AG199" s="64" t="s">
        <v>20</v>
      </c>
      <c r="AH199" s="64" t="s">
        <v>19</v>
      </c>
      <c r="AI199" s="64" t="s">
        <v>55</v>
      </c>
      <c r="AJ199" s="64" t="s">
        <v>56</v>
      </c>
      <c r="AK199" s="64" t="s">
        <v>52</v>
      </c>
      <c r="AL199" s="64" t="s">
        <v>51</v>
      </c>
      <c r="AM199" s="64" t="s">
        <v>57</v>
      </c>
      <c r="AN199" s="64" t="s">
        <v>58</v>
      </c>
      <c r="AO199" s="64" t="s">
        <v>53</v>
      </c>
      <c r="AP199" s="64" t="s">
        <v>54</v>
      </c>
      <c r="AQ199" s="46"/>
      <c r="AR199" s="46"/>
      <c r="AS199" s="46"/>
      <c r="AT199" s="46"/>
      <c r="AU199" s="46"/>
      <c r="AV199" s="46"/>
      <c r="AW199" s="46"/>
      <c r="AX199" s="46"/>
    </row>
    <row r="200" spans="2:50" ht="16.5" customHeight="1" thickBot="1" x14ac:dyDescent="0.3">
      <c r="B200" s="1" t="s">
        <v>0</v>
      </c>
      <c r="C200" s="10"/>
      <c r="D200">
        <f>C200</f>
        <v>0</v>
      </c>
      <c r="F200" s="12" t="s">
        <v>0</v>
      </c>
      <c r="G200" s="77"/>
      <c r="H200" s="66"/>
      <c r="I200" s="66"/>
      <c r="J200" s="67"/>
      <c r="K200" s="65"/>
      <c r="L200" s="66"/>
      <c r="M200" s="66"/>
      <c r="N200" s="66"/>
      <c r="O200" s="65"/>
      <c r="P200" s="67"/>
      <c r="Q200" s="65"/>
      <c r="R200" s="66"/>
      <c r="S200" s="66"/>
      <c r="T200" s="66"/>
      <c r="U200" s="66"/>
      <c r="V200" s="66"/>
      <c r="W200" s="66"/>
      <c r="X200" s="67"/>
      <c r="Y200" s="77"/>
      <c r="Z200" s="66"/>
      <c r="AA200" s="66"/>
      <c r="AB200" s="66"/>
      <c r="AC200" s="65"/>
      <c r="AD200" s="66"/>
      <c r="AE200" s="66"/>
      <c r="AF200" s="67"/>
      <c r="AG200" s="66"/>
      <c r="AH200" s="67"/>
      <c r="AI200" s="66"/>
      <c r="AJ200" s="66"/>
      <c r="AK200" s="66"/>
      <c r="AL200" s="66"/>
      <c r="AM200" s="66"/>
      <c r="AN200" s="66"/>
      <c r="AO200" s="66"/>
      <c r="AP200" s="66"/>
      <c r="AQ200" s="65"/>
      <c r="AR200" s="65"/>
      <c r="AS200" s="65"/>
      <c r="AT200" s="65"/>
      <c r="AU200" s="65"/>
      <c r="AV200" s="65"/>
      <c r="AW200" s="65"/>
      <c r="AX200" s="68"/>
    </row>
    <row r="201" spans="2:50" ht="16.5" customHeight="1" thickBot="1" x14ac:dyDescent="0.3">
      <c r="B201" s="1" t="s">
        <v>1</v>
      </c>
      <c r="C201" s="10"/>
      <c r="D201">
        <f t="shared" ref="D201:D203" si="21">C201</f>
        <v>0</v>
      </c>
      <c r="F201" s="1" t="s">
        <v>1</v>
      </c>
      <c r="G201" s="78"/>
      <c r="H201" s="46"/>
      <c r="I201" s="46"/>
      <c r="J201" s="70"/>
      <c r="K201" s="69"/>
      <c r="L201" s="46"/>
      <c r="M201" s="46"/>
      <c r="N201" s="46"/>
      <c r="O201" s="69"/>
      <c r="P201" s="70"/>
      <c r="Q201" s="69"/>
      <c r="R201" s="46"/>
      <c r="S201" s="46"/>
      <c r="T201" s="46"/>
      <c r="U201" s="46"/>
      <c r="V201" s="46"/>
      <c r="W201" s="46"/>
      <c r="X201" s="70"/>
      <c r="Y201" s="78"/>
      <c r="Z201" s="46"/>
      <c r="AA201" s="46"/>
      <c r="AB201" s="46"/>
      <c r="AC201" s="69"/>
      <c r="AD201" s="46"/>
      <c r="AE201" s="46"/>
      <c r="AF201" s="70"/>
      <c r="AG201" s="46"/>
      <c r="AH201" s="70"/>
      <c r="AI201" s="46"/>
      <c r="AJ201" s="46"/>
      <c r="AK201" s="46"/>
      <c r="AL201" s="46"/>
      <c r="AM201" s="46"/>
      <c r="AN201" s="46"/>
      <c r="AO201" s="46"/>
      <c r="AP201" s="46"/>
      <c r="AQ201" s="69"/>
      <c r="AR201" s="69"/>
      <c r="AS201" s="69"/>
      <c r="AT201" s="69"/>
      <c r="AU201" s="69"/>
      <c r="AV201" s="69"/>
      <c r="AW201" s="69"/>
      <c r="AX201" s="71"/>
    </row>
    <row r="202" spans="2:50" ht="16.5" customHeight="1" thickBot="1" x14ac:dyDescent="0.3">
      <c r="B202" s="1" t="s">
        <v>2</v>
      </c>
      <c r="C202" s="10"/>
      <c r="D202">
        <f>C202</f>
        <v>0</v>
      </c>
      <c r="F202" s="1" t="s">
        <v>2</v>
      </c>
      <c r="G202" s="78"/>
      <c r="H202" s="46"/>
      <c r="I202" s="46"/>
      <c r="J202" s="70"/>
      <c r="K202" s="69"/>
      <c r="L202" s="46"/>
      <c r="M202" s="46"/>
      <c r="N202" s="46"/>
      <c r="O202" s="69"/>
      <c r="P202" s="70"/>
      <c r="Q202" s="69"/>
      <c r="R202" s="46"/>
      <c r="S202" s="46"/>
      <c r="T202" s="46"/>
      <c r="U202" s="46"/>
      <c r="V202" s="46"/>
      <c r="W202" s="46"/>
      <c r="X202" s="70"/>
      <c r="Y202" s="78"/>
      <c r="Z202" s="46"/>
      <c r="AA202" s="46"/>
      <c r="AB202" s="46"/>
      <c r="AC202" s="69"/>
      <c r="AD202" s="46"/>
      <c r="AE202" s="46"/>
      <c r="AF202" s="70"/>
      <c r="AG202" s="46"/>
      <c r="AH202" s="70"/>
      <c r="AI202" s="46"/>
      <c r="AJ202" s="46"/>
      <c r="AK202" s="46"/>
      <c r="AL202" s="46"/>
      <c r="AM202" s="46"/>
      <c r="AN202" s="46"/>
      <c r="AO202" s="46"/>
      <c r="AP202" s="46"/>
      <c r="AQ202" s="69"/>
      <c r="AR202" s="69"/>
      <c r="AS202" s="69"/>
      <c r="AT202" s="69"/>
      <c r="AU202" s="69"/>
      <c r="AV202" s="69"/>
      <c r="AW202" s="69"/>
      <c r="AX202" s="71"/>
    </row>
    <row r="203" spans="2:50" ht="16.5" customHeight="1" thickBot="1" x14ac:dyDescent="0.3">
      <c r="B203" s="1" t="s">
        <v>3</v>
      </c>
      <c r="C203" s="10"/>
      <c r="D203" s="7">
        <f t="shared" si="21"/>
        <v>0</v>
      </c>
      <c r="F203" s="1" t="s">
        <v>3</v>
      </c>
      <c r="G203" s="79"/>
      <c r="H203" s="73"/>
      <c r="I203" s="73"/>
      <c r="J203" s="74"/>
      <c r="K203" s="72"/>
      <c r="L203" s="73"/>
      <c r="M203" s="73"/>
      <c r="N203" s="73"/>
      <c r="O203" s="72"/>
      <c r="P203" s="74"/>
      <c r="Q203" s="72"/>
      <c r="R203" s="73"/>
      <c r="S203" s="73"/>
      <c r="T203" s="73"/>
      <c r="U203" s="73"/>
      <c r="V203" s="73"/>
      <c r="W203" s="73"/>
      <c r="X203" s="74"/>
      <c r="Y203" s="79"/>
      <c r="Z203" s="73"/>
      <c r="AA203" s="73"/>
      <c r="AB203" s="73"/>
      <c r="AC203" s="72"/>
      <c r="AD203" s="73"/>
      <c r="AE203" s="73"/>
      <c r="AF203" s="74"/>
      <c r="AG203" s="73"/>
      <c r="AH203" s="74"/>
      <c r="AI203" s="73"/>
      <c r="AJ203" s="73"/>
      <c r="AK203" s="73"/>
      <c r="AL203" s="73"/>
      <c r="AM203" s="73"/>
      <c r="AN203" s="73"/>
      <c r="AO203" s="73"/>
      <c r="AP203" s="73"/>
      <c r="AQ203" s="72"/>
      <c r="AR203" s="72"/>
      <c r="AS203" s="72"/>
      <c r="AT203" s="72"/>
      <c r="AU203" s="72"/>
      <c r="AV203" s="72"/>
      <c r="AW203" s="72"/>
      <c r="AX203" s="75"/>
    </row>
    <row r="204" spans="2:50" ht="21" customHeight="1" x14ac:dyDescent="0.25">
      <c r="B204" s="2"/>
      <c r="C204" s="3" t="s">
        <v>25</v>
      </c>
      <c r="D204" s="9">
        <f>SUM(D200:D203)</f>
        <v>0</v>
      </c>
      <c r="G204" s="80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80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</row>
    <row r="205" spans="2:50" x14ac:dyDescent="0.25"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</row>
    <row r="206" spans="2:50" ht="15.75" x14ac:dyDescent="0.25">
      <c r="G206" s="100" t="s">
        <v>22</v>
      </c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1" t="s">
        <v>21</v>
      </c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46"/>
      <c r="AR206" s="46"/>
      <c r="AS206" s="46"/>
      <c r="AT206" s="46"/>
      <c r="AU206" s="46"/>
      <c r="AV206" s="46"/>
      <c r="AW206" s="46"/>
      <c r="AX206" s="46"/>
    </row>
    <row r="207" spans="2:50" ht="32.25" thickBot="1" x14ac:dyDescent="0.3">
      <c r="G207" s="102" t="s">
        <v>14</v>
      </c>
      <c r="H207" s="102"/>
      <c r="I207" s="102"/>
      <c r="J207" s="102"/>
      <c r="K207" s="102" t="s">
        <v>15</v>
      </c>
      <c r="L207" s="102"/>
      <c r="M207" s="102"/>
      <c r="N207" s="102"/>
      <c r="O207" s="102" t="s">
        <v>59</v>
      </c>
      <c r="P207" s="102"/>
      <c r="Q207" s="102" t="s">
        <v>16</v>
      </c>
      <c r="R207" s="102"/>
      <c r="S207" s="102"/>
      <c r="T207" s="102"/>
      <c r="U207" s="102"/>
      <c r="V207" s="102"/>
      <c r="W207" s="102"/>
      <c r="X207" s="102"/>
      <c r="Y207" s="102" t="s">
        <v>14</v>
      </c>
      <c r="Z207" s="102"/>
      <c r="AA207" s="102"/>
      <c r="AB207" s="102"/>
      <c r="AC207" s="102" t="s">
        <v>15</v>
      </c>
      <c r="AD207" s="102"/>
      <c r="AE207" s="102"/>
      <c r="AF207" s="102"/>
      <c r="AG207" s="102" t="s">
        <v>59</v>
      </c>
      <c r="AH207" s="102"/>
      <c r="AI207" s="102" t="s">
        <v>16</v>
      </c>
      <c r="AJ207" s="102"/>
      <c r="AK207" s="102"/>
      <c r="AL207" s="102"/>
      <c r="AM207" s="102"/>
      <c r="AN207" s="102"/>
      <c r="AO207" s="102"/>
      <c r="AP207" s="102"/>
      <c r="AQ207" s="76" t="s">
        <v>60</v>
      </c>
      <c r="AR207" s="76"/>
      <c r="AS207" s="76" t="s">
        <v>65</v>
      </c>
      <c r="AT207" s="76" t="s">
        <v>61</v>
      </c>
      <c r="AU207" s="76" t="s">
        <v>62</v>
      </c>
      <c r="AV207" s="76" t="s">
        <v>27</v>
      </c>
      <c r="AW207" s="76" t="s">
        <v>64</v>
      </c>
      <c r="AX207" s="76" t="s">
        <v>63</v>
      </c>
    </row>
    <row r="208" spans="2:50" ht="48" thickBot="1" x14ac:dyDescent="0.3">
      <c r="B208" s="21">
        <v>0.22916666666666666</v>
      </c>
      <c r="C208" s="14" t="s">
        <v>13</v>
      </c>
      <c r="D208" s="8" t="s">
        <v>6</v>
      </c>
      <c r="F208" s="13"/>
      <c r="G208" s="63" t="s">
        <v>20</v>
      </c>
      <c r="H208" s="64" t="s">
        <v>17</v>
      </c>
      <c r="I208" s="64" t="s">
        <v>19</v>
      </c>
      <c r="J208" s="64" t="s">
        <v>18</v>
      </c>
      <c r="K208" s="64" t="s">
        <v>52</v>
      </c>
      <c r="L208" s="64" t="s">
        <v>51</v>
      </c>
      <c r="M208" s="64" t="s">
        <v>53</v>
      </c>
      <c r="N208" s="64" t="s">
        <v>54</v>
      </c>
      <c r="O208" s="64" t="s">
        <v>20</v>
      </c>
      <c r="P208" s="64" t="s">
        <v>19</v>
      </c>
      <c r="Q208" s="64" t="s">
        <v>55</v>
      </c>
      <c r="R208" s="64" t="s">
        <v>56</v>
      </c>
      <c r="S208" s="64" t="s">
        <v>52</v>
      </c>
      <c r="T208" s="64" t="s">
        <v>51</v>
      </c>
      <c r="U208" s="64" t="s">
        <v>57</v>
      </c>
      <c r="V208" s="64" t="s">
        <v>58</v>
      </c>
      <c r="W208" s="64" t="s">
        <v>53</v>
      </c>
      <c r="X208" s="64" t="s">
        <v>54</v>
      </c>
      <c r="Y208" s="63" t="s">
        <v>20</v>
      </c>
      <c r="Z208" s="64" t="s">
        <v>17</v>
      </c>
      <c r="AA208" s="64" t="s">
        <v>19</v>
      </c>
      <c r="AB208" s="64" t="s">
        <v>18</v>
      </c>
      <c r="AC208" s="64" t="s">
        <v>52</v>
      </c>
      <c r="AD208" s="64" t="s">
        <v>51</v>
      </c>
      <c r="AE208" s="64" t="s">
        <v>53</v>
      </c>
      <c r="AF208" s="64" t="s">
        <v>54</v>
      </c>
      <c r="AG208" s="64" t="s">
        <v>20</v>
      </c>
      <c r="AH208" s="64" t="s">
        <v>19</v>
      </c>
      <c r="AI208" s="64" t="s">
        <v>55</v>
      </c>
      <c r="AJ208" s="64" t="s">
        <v>56</v>
      </c>
      <c r="AK208" s="64" t="s">
        <v>52</v>
      </c>
      <c r="AL208" s="64" t="s">
        <v>51</v>
      </c>
      <c r="AM208" s="64" t="s">
        <v>57</v>
      </c>
      <c r="AN208" s="64" t="s">
        <v>58</v>
      </c>
      <c r="AO208" s="64" t="s">
        <v>53</v>
      </c>
      <c r="AP208" s="64" t="s">
        <v>54</v>
      </c>
      <c r="AQ208" s="46"/>
      <c r="AR208" s="46"/>
      <c r="AS208" s="46"/>
      <c r="AT208" s="46"/>
      <c r="AU208" s="46"/>
      <c r="AV208" s="46"/>
      <c r="AW208" s="46"/>
      <c r="AX208" s="46"/>
    </row>
    <row r="209" spans="2:50" ht="16.5" customHeight="1" thickBot="1" x14ac:dyDescent="0.3">
      <c r="B209" s="1" t="s">
        <v>0</v>
      </c>
      <c r="C209" s="10"/>
      <c r="D209">
        <f>C209</f>
        <v>0</v>
      </c>
      <c r="F209" s="12" t="s">
        <v>0</v>
      </c>
      <c r="G209" s="77"/>
      <c r="H209" s="66"/>
      <c r="I209" s="66"/>
      <c r="J209" s="67"/>
      <c r="K209" s="65"/>
      <c r="L209" s="66"/>
      <c r="M209" s="66"/>
      <c r="N209" s="66"/>
      <c r="O209" s="65"/>
      <c r="P209" s="67"/>
      <c r="Q209" s="65"/>
      <c r="R209" s="66"/>
      <c r="S209" s="66"/>
      <c r="T209" s="66"/>
      <c r="U209" s="66"/>
      <c r="V209" s="66"/>
      <c r="W209" s="66"/>
      <c r="X209" s="67"/>
      <c r="Y209" s="77"/>
      <c r="Z209" s="66"/>
      <c r="AA209" s="66"/>
      <c r="AB209" s="66"/>
      <c r="AC209" s="65"/>
      <c r="AD209" s="66"/>
      <c r="AE209" s="66"/>
      <c r="AF209" s="67"/>
      <c r="AG209" s="66"/>
      <c r="AH209" s="67"/>
      <c r="AI209" s="66"/>
      <c r="AJ209" s="66"/>
      <c r="AK209" s="66"/>
      <c r="AL209" s="66"/>
      <c r="AM209" s="66"/>
      <c r="AN209" s="66"/>
      <c r="AO209" s="66"/>
      <c r="AP209" s="66"/>
      <c r="AQ209" s="65"/>
      <c r="AR209" s="65"/>
      <c r="AS209" s="65"/>
      <c r="AT209" s="65"/>
      <c r="AU209" s="65"/>
      <c r="AV209" s="65"/>
      <c r="AW209" s="65"/>
      <c r="AX209" s="68"/>
    </row>
    <row r="210" spans="2:50" ht="16.5" customHeight="1" thickBot="1" x14ac:dyDescent="0.3">
      <c r="B210" s="1" t="s">
        <v>1</v>
      </c>
      <c r="C210" s="10"/>
      <c r="D210">
        <f t="shared" ref="D210:D212" si="22">C210</f>
        <v>0</v>
      </c>
      <c r="F210" s="1" t="s">
        <v>1</v>
      </c>
      <c r="G210" s="78"/>
      <c r="H210" s="46"/>
      <c r="I210" s="46"/>
      <c r="J210" s="70"/>
      <c r="K210" s="69"/>
      <c r="L210" s="46"/>
      <c r="M210" s="46"/>
      <c r="N210" s="46"/>
      <c r="O210" s="69"/>
      <c r="P210" s="70"/>
      <c r="Q210" s="69"/>
      <c r="R210" s="46"/>
      <c r="S210" s="46"/>
      <c r="T210" s="46"/>
      <c r="U210" s="46"/>
      <c r="V210" s="46"/>
      <c r="W210" s="46"/>
      <c r="X210" s="70"/>
      <c r="Y210" s="78"/>
      <c r="Z210" s="46"/>
      <c r="AA210" s="46"/>
      <c r="AB210" s="46"/>
      <c r="AC210" s="69"/>
      <c r="AD210" s="46"/>
      <c r="AE210" s="46"/>
      <c r="AF210" s="70"/>
      <c r="AG210" s="46"/>
      <c r="AH210" s="70"/>
      <c r="AI210" s="46"/>
      <c r="AJ210" s="46"/>
      <c r="AK210" s="46"/>
      <c r="AL210" s="46"/>
      <c r="AM210" s="46"/>
      <c r="AN210" s="46"/>
      <c r="AO210" s="46"/>
      <c r="AP210" s="46"/>
      <c r="AQ210" s="69"/>
      <c r="AR210" s="69"/>
      <c r="AS210" s="69"/>
      <c r="AT210" s="69"/>
      <c r="AU210" s="69"/>
      <c r="AV210" s="69"/>
      <c r="AW210" s="69"/>
      <c r="AX210" s="71"/>
    </row>
    <row r="211" spans="2:50" ht="16.5" customHeight="1" thickBot="1" x14ac:dyDescent="0.3">
      <c r="B211" s="1" t="s">
        <v>2</v>
      </c>
      <c r="C211" s="10"/>
      <c r="D211">
        <f>C211</f>
        <v>0</v>
      </c>
      <c r="F211" s="1" t="s">
        <v>2</v>
      </c>
      <c r="G211" s="78"/>
      <c r="H211" s="46"/>
      <c r="I211" s="46"/>
      <c r="J211" s="70"/>
      <c r="K211" s="69"/>
      <c r="L211" s="46"/>
      <c r="M211" s="46"/>
      <c r="N211" s="46"/>
      <c r="O211" s="69"/>
      <c r="P211" s="70"/>
      <c r="Q211" s="69"/>
      <c r="R211" s="46"/>
      <c r="S211" s="46"/>
      <c r="T211" s="46"/>
      <c r="U211" s="46"/>
      <c r="V211" s="46"/>
      <c r="W211" s="46"/>
      <c r="X211" s="70"/>
      <c r="Y211" s="78"/>
      <c r="Z211" s="46"/>
      <c r="AA211" s="46"/>
      <c r="AB211" s="46"/>
      <c r="AC211" s="69"/>
      <c r="AD211" s="46"/>
      <c r="AE211" s="46"/>
      <c r="AF211" s="70"/>
      <c r="AG211" s="46"/>
      <c r="AH211" s="70"/>
      <c r="AI211" s="46"/>
      <c r="AJ211" s="46"/>
      <c r="AK211" s="46"/>
      <c r="AL211" s="46"/>
      <c r="AM211" s="46"/>
      <c r="AN211" s="46"/>
      <c r="AO211" s="46"/>
      <c r="AP211" s="46"/>
      <c r="AQ211" s="69"/>
      <c r="AR211" s="69"/>
      <c r="AS211" s="69"/>
      <c r="AT211" s="69"/>
      <c r="AU211" s="69"/>
      <c r="AV211" s="69"/>
      <c r="AW211" s="69"/>
      <c r="AX211" s="71"/>
    </row>
    <row r="212" spans="2:50" ht="16.5" customHeight="1" thickBot="1" x14ac:dyDescent="0.3">
      <c r="B212" s="1" t="s">
        <v>3</v>
      </c>
      <c r="C212" s="10"/>
      <c r="D212" s="7">
        <f t="shared" si="22"/>
        <v>0</v>
      </c>
      <c r="F212" s="1" t="s">
        <v>3</v>
      </c>
      <c r="G212" s="79"/>
      <c r="H212" s="73"/>
      <c r="I212" s="73"/>
      <c r="J212" s="74"/>
      <c r="K212" s="72"/>
      <c r="L212" s="73"/>
      <c r="M212" s="73"/>
      <c r="N212" s="73"/>
      <c r="O212" s="72"/>
      <c r="P212" s="74"/>
      <c r="Q212" s="72"/>
      <c r="R212" s="73"/>
      <c r="S212" s="73"/>
      <c r="T212" s="73"/>
      <c r="U212" s="73"/>
      <c r="V212" s="73"/>
      <c r="W212" s="73"/>
      <c r="X212" s="74"/>
      <c r="Y212" s="79"/>
      <c r="Z212" s="73"/>
      <c r="AA212" s="73"/>
      <c r="AB212" s="73"/>
      <c r="AC212" s="72"/>
      <c r="AD212" s="73"/>
      <c r="AE212" s="73"/>
      <c r="AF212" s="74"/>
      <c r="AG212" s="73"/>
      <c r="AH212" s="74"/>
      <c r="AI212" s="73"/>
      <c r="AJ212" s="73"/>
      <c r="AK212" s="73"/>
      <c r="AL212" s="73"/>
      <c r="AM212" s="73"/>
      <c r="AN212" s="73"/>
      <c r="AO212" s="73"/>
      <c r="AP212" s="73"/>
      <c r="AQ212" s="72"/>
      <c r="AR212" s="72"/>
      <c r="AS212" s="72"/>
      <c r="AT212" s="72"/>
      <c r="AU212" s="72"/>
      <c r="AV212" s="72"/>
      <c r="AW212" s="72"/>
      <c r="AX212" s="75"/>
    </row>
    <row r="213" spans="2:50" ht="21" customHeight="1" x14ac:dyDescent="0.25">
      <c r="B213" s="2"/>
      <c r="C213" s="3" t="s">
        <v>25</v>
      </c>
      <c r="D213" s="9">
        <f>SUM(D209:D212)</f>
        <v>0</v>
      </c>
      <c r="G213" s="80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80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</row>
    <row r="214" spans="2:50" x14ac:dyDescent="0.25"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</row>
    <row r="215" spans="2:50" ht="15.75" x14ac:dyDescent="0.25">
      <c r="G215" s="100" t="s">
        <v>22</v>
      </c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1" t="s">
        <v>21</v>
      </c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46"/>
      <c r="AR215" s="46"/>
      <c r="AS215" s="46"/>
      <c r="AT215" s="46"/>
      <c r="AU215" s="46"/>
      <c r="AV215" s="46"/>
      <c r="AW215" s="46"/>
      <c r="AX215" s="46"/>
    </row>
    <row r="216" spans="2:50" ht="32.25" thickBot="1" x14ac:dyDescent="0.3">
      <c r="G216" s="102" t="s">
        <v>14</v>
      </c>
      <c r="H216" s="102"/>
      <c r="I216" s="102"/>
      <c r="J216" s="102"/>
      <c r="K216" s="102" t="s">
        <v>15</v>
      </c>
      <c r="L216" s="102"/>
      <c r="M216" s="102"/>
      <c r="N216" s="102"/>
      <c r="O216" s="102" t="s">
        <v>59</v>
      </c>
      <c r="P216" s="102"/>
      <c r="Q216" s="102" t="s">
        <v>16</v>
      </c>
      <c r="R216" s="102"/>
      <c r="S216" s="102"/>
      <c r="T216" s="102"/>
      <c r="U216" s="102"/>
      <c r="V216" s="102"/>
      <c r="W216" s="102"/>
      <c r="X216" s="102"/>
      <c r="Y216" s="102" t="s">
        <v>14</v>
      </c>
      <c r="Z216" s="102"/>
      <c r="AA216" s="102"/>
      <c r="AB216" s="102"/>
      <c r="AC216" s="102" t="s">
        <v>15</v>
      </c>
      <c r="AD216" s="102"/>
      <c r="AE216" s="102"/>
      <c r="AF216" s="102"/>
      <c r="AG216" s="102" t="s">
        <v>59</v>
      </c>
      <c r="AH216" s="102"/>
      <c r="AI216" s="102" t="s">
        <v>16</v>
      </c>
      <c r="AJ216" s="102"/>
      <c r="AK216" s="102"/>
      <c r="AL216" s="102"/>
      <c r="AM216" s="102"/>
      <c r="AN216" s="102"/>
      <c r="AO216" s="102"/>
      <c r="AP216" s="102"/>
      <c r="AQ216" s="76" t="s">
        <v>60</v>
      </c>
      <c r="AR216" s="76" t="s">
        <v>70</v>
      </c>
      <c r="AS216" s="76" t="s">
        <v>65</v>
      </c>
      <c r="AT216" s="76" t="s">
        <v>61</v>
      </c>
      <c r="AU216" s="76" t="s">
        <v>62</v>
      </c>
      <c r="AV216" s="76" t="s">
        <v>27</v>
      </c>
      <c r="AW216" s="76" t="s">
        <v>64</v>
      </c>
      <c r="AX216" s="76" t="s">
        <v>63</v>
      </c>
    </row>
    <row r="217" spans="2:50" ht="48" thickBot="1" x14ac:dyDescent="0.3">
      <c r="B217" s="21">
        <v>0.23958333333333334</v>
      </c>
      <c r="C217" s="14" t="s">
        <v>13</v>
      </c>
      <c r="D217" s="8" t="s">
        <v>6</v>
      </c>
      <c r="F217" s="13"/>
      <c r="G217" s="81" t="s">
        <v>20</v>
      </c>
      <c r="H217" s="64" t="s">
        <v>17</v>
      </c>
      <c r="I217" s="64" t="s">
        <v>19</v>
      </c>
      <c r="J217" s="64" t="s">
        <v>18</v>
      </c>
      <c r="K217" s="64" t="s">
        <v>52</v>
      </c>
      <c r="L217" s="64" t="s">
        <v>51</v>
      </c>
      <c r="M217" s="64" t="s">
        <v>53</v>
      </c>
      <c r="N217" s="64" t="s">
        <v>54</v>
      </c>
      <c r="O217" s="64" t="s">
        <v>20</v>
      </c>
      <c r="P217" s="64" t="s">
        <v>19</v>
      </c>
      <c r="Q217" s="64" t="s">
        <v>55</v>
      </c>
      <c r="R217" s="64" t="s">
        <v>56</v>
      </c>
      <c r="S217" s="64" t="s">
        <v>52</v>
      </c>
      <c r="T217" s="64" t="s">
        <v>51</v>
      </c>
      <c r="U217" s="64" t="s">
        <v>57</v>
      </c>
      <c r="V217" s="64" t="s">
        <v>58</v>
      </c>
      <c r="W217" s="64" t="s">
        <v>53</v>
      </c>
      <c r="X217" s="64" t="s">
        <v>54</v>
      </c>
      <c r="Y217" s="81" t="s">
        <v>20</v>
      </c>
      <c r="Z217" s="64" t="s">
        <v>17</v>
      </c>
      <c r="AA217" s="64" t="s">
        <v>19</v>
      </c>
      <c r="AB217" s="64" t="s">
        <v>18</v>
      </c>
      <c r="AC217" s="64" t="s">
        <v>52</v>
      </c>
      <c r="AD217" s="64" t="s">
        <v>51</v>
      </c>
      <c r="AE217" s="64" t="s">
        <v>53</v>
      </c>
      <c r="AF217" s="64" t="s">
        <v>54</v>
      </c>
      <c r="AG217" s="64" t="s">
        <v>20</v>
      </c>
      <c r="AH217" s="64" t="s">
        <v>19</v>
      </c>
      <c r="AI217" s="64" t="s">
        <v>55</v>
      </c>
      <c r="AJ217" s="64" t="s">
        <v>56</v>
      </c>
      <c r="AK217" s="64" t="s">
        <v>52</v>
      </c>
      <c r="AL217" s="64" t="s">
        <v>51</v>
      </c>
      <c r="AM217" s="64" t="s">
        <v>57</v>
      </c>
      <c r="AN217" s="64" t="s">
        <v>58</v>
      </c>
      <c r="AO217" s="64" t="s">
        <v>53</v>
      </c>
      <c r="AP217" s="64" t="s">
        <v>54</v>
      </c>
      <c r="AQ217" s="46"/>
      <c r="AR217" s="46"/>
      <c r="AS217" s="46"/>
      <c r="AT217" s="46"/>
      <c r="AU217" s="46"/>
      <c r="AV217" s="46"/>
      <c r="AW217" s="46"/>
      <c r="AX217" s="46"/>
    </row>
    <row r="218" spans="2:50" ht="16.5" customHeight="1" thickBot="1" x14ac:dyDescent="0.3">
      <c r="B218" s="1" t="s">
        <v>0</v>
      </c>
      <c r="C218" s="10">
        <v>2</v>
      </c>
      <c r="D218">
        <f>C218</f>
        <v>2</v>
      </c>
      <c r="F218" s="12" t="s">
        <v>0</v>
      </c>
      <c r="G218" s="77"/>
      <c r="H218" s="66"/>
      <c r="I218" s="66"/>
      <c r="J218" s="67"/>
      <c r="K218" s="65"/>
      <c r="L218" s="66"/>
      <c r="M218" s="66"/>
      <c r="N218" s="66"/>
      <c r="O218" s="65">
        <v>2</v>
      </c>
      <c r="P218" s="67"/>
      <c r="Q218" s="65"/>
      <c r="R218" s="66"/>
      <c r="S218" s="66"/>
      <c r="T218" s="66"/>
      <c r="U218" s="66"/>
      <c r="V218" s="66"/>
      <c r="W218" s="66"/>
      <c r="X218" s="67"/>
      <c r="Y218" s="77"/>
      <c r="Z218" s="66"/>
      <c r="AA218" s="66"/>
      <c r="AB218" s="66"/>
      <c r="AC218" s="65"/>
      <c r="AD218" s="66"/>
      <c r="AE218" s="66"/>
      <c r="AF218" s="67"/>
      <c r="AG218" s="66"/>
      <c r="AH218" s="67">
        <v>2</v>
      </c>
      <c r="AI218" s="66"/>
      <c r="AJ218" s="66"/>
      <c r="AK218" s="66"/>
      <c r="AL218" s="66"/>
      <c r="AM218" s="66"/>
      <c r="AN218" s="66"/>
      <c r="AO218" s="66"/>
      <c r="AP218" s="66"/>
      <c r="AQ218" s="65"/>
      <c r="AR218" s="65">
        <v>1</v>
      </c>
      <c r="AS218" s="65"/>
      <c r="AT218" s="65"/>
      <c r="AU218" s="65"/>
      <c r="AV218" s="65"/>
      <c r="AW218" s="65"/>
      <c r="AX218" s="68">
        <v>2</v>
      </c>
    </row>
    <row r="219" spans="2:50" ht="16.5" customHeight="1" thickBot="1" x14ac:dyDescent="0.3">
      <c r="B219" s="1" t="s">
        <v>1</v>
      </c>
      <c r="C219" s="10">
        <v>1</v>
      </c>
      <c r="D219">
        <f t="shared" ref="D219:D221" si="23">C219</f>
        <v>1</v>
      </c>
      <c r="F219" s="1" t="s">
        <v>1</v>
      </c>
      <c r="G219" s="78"/>
      <c r="H219" s="46"/>
      <c r="I219" s="46"/>
      <c r="J219" s="70"/>
      <c r="K219" s="69"/>
      <c r="L219" s="46"/>
      <c r="M219" s="46"/>
      <c r="N219" s="46"/>
      <c r="O219" s="69"/>
      <c r="P219" s="70"/>
      <c r="Q219" s="69"/>
      <c r="R219" s="46"/>
      <c r="S219" s="46"/>
      <c r="T219" s="46"/>
      <c r="U219" s="46"/>
      <c r="V219" s="46"/>
      <c r="W219" s="46"/>
      <c r="X219" s="70">
        <v>1</v>
      </c>
      <c r="Y219" s="78"/>
      <c r="Z219" s="46"/>
      <c r="AA219" s="46"/>
      <c r="AB219" s="46"/>
      <c r="AC219" s="69"/>
      <c r="AD219" s="46"/>
      <c r="AE219" s="46"/>
      <c r="AF219" s="70"/>
      <c r="AG219" s="46"/>
      <c r="AH219" s="70"/>
      <c r="AI219" s="46"/>
      <c r="AJ219" s="46"/>
      <c r="AK219" s="46">
        <v>1</v>
      </c>
      <c r="AL219" s="46"/>
      <c r="AM219" s="46"/>
      <c r="AN219" s="46"/>
      <c r="AO219" s="46"/>
      <c r="AP219" s="46"/>
      <c r="AQ219" s="69"/>
      <c r="AR219" s="69"/>
      <c r="AS219" s="69"/>
      <c r="AT219" s="69"/>
      <c r="AU219" s="69"/>
      <c r="AV219" s="69"/>
      <c r="AW219" s="69"/>
      <c r="AX219" s="71"/>
    </row>
    <row r="220" spans="2:50" ht="16.5" customHeight="1" thickBot="1" x14ac:dyDescent="0.3">
      <c r="B220" s="1" t="s">
        <v>2</v>
      </c>
      <c r="C220" s="10"/>
      <c r="D220">
        <f>C220</f>
        <v>0</v>
      </c>
      <c r="F220" s="1" t="s">
        <v>2</v>
      </c>
      <c r="G220" s="78"/>
      <c r="H220" s="46"/>
      <c r="I220" s="46"/>
      <c r="J220" s="70"/>
      <c r="K220" s="69"/>
      <c r="L220" s="46"/>
      <c r="M220" s="46"/>
      <c r="N220" s="46"/>
      <c r="O220" s="69"/>
      <c r="P220" s="70"/>
      <c r="Q220" s="69"/>
      <c r="R220" s="46"/>
      <c r="S220" s="46"/>
      <c r="T220" s="46"/>
      <c r="U220" s="46"/>
      <c r="V220" s="46"/>
      <c r="W220" s="46"/>
      <c r="X220" s="70"/>
      <c r="Y220" s="78"/>
      <c r="Z220" s="46"/>
      <c r="AA220" s="46"/>
      <c r="AB220" s="46"/>
      <c r="AC220" s="69"/>
      <c r="AD220" s="46"/>
      <c r="AE220" s="46"/>
      <c r="AF220" s="70"/>
      <c r="AG220" s="46"/>
      <c r="AH220" s="70"/>
      <c r="AI220" s="46"/>
      <c r="AJ220" s="46"/>
      <c r="AK220" s="46"/>
      <c r="AL220" s="46"/>
      <c r="AM220" s="46"/>
      <c r="AN220" s="46"/>
      <c r="AO220" s="46"/>
      <c r="AP220" s="46"/>
      <c r="AQ220" s="69"/>
      <c r="AR220" s="69"/>
      <c r="AS220" s="69"/>
      <c r="AT220" s="69"/>
      <c r="AU220" s="69"/>
      <c r="AV220" s="69"/>
      <c r="AW220" s="69"/>
      <c r="AX220" s="71"/>
    </row>
    <row r="221" spans="2:50" ht="16.5" customHeight="1" thickBot="1" x14ac:dyDescent="0.3">
      <c r="B221" s="1" t="s">
        <v>3</v>
      </c>
      <c r="C221" s="10"/>
      <c r="D221" s="7">
        <f t="shared" si="23"/>
        <v>0</v>
      </c>
      <c r="F221" s="1" t="s">
        <v>3</v>
      </c>
      <c r="G221" s="79"/>
      <c r="H221" s="73"/>
      <c r="I221" s="73"/>
      <c r="J221" s="74"/>
      <c r="K221" s="72"/>
      <c r="L221" s="73"/>
      <c r="M221" s="73"/>
      <c r="N221" s="73"/>
      <c r="O221" s="72"/>
      <c r="P221" s="74"/>
      <c r="Q221" s="72"/>
      <c r="R221" s="73"/>
      <c r="S221" s="73"/>
      <c r="T221" s="73"/>
      <c r="U221" s="73"/>
      <c r="V221" s="73"/>
      <c r="W221" s="73"/>
      <c r="X221" s="74"/>
      <c r="Y221" s="79"/>
      <c r="Z221" s="73"/>
      <c r="AA221" s="73"/>
      <c r="AB221" s="73"/>
      <c r="AC221" s="72"/>
      <c r="AD221" s="73"/>
      <c r="AE221" s="73"/>
      <c r="AF221" s="74"/>
      <c r="AG221" s="73"/>
      <c r="AH221" s="74"/>
      <c r="AI221" s="73"/>
      <c r="AJ221" s="73"/>
      <c r="AK221" s="73"/>
      <c r="AL221" s="73"/>
      <c r="AM221" s="73"/>
      <c r="AN221" s="73"/>
      <c r="AO221" s="73"/>
      <c r="AP221" s="73"/>
      <c r="AQ221" s="72"/>
      <c r="AR221" s="72"/>
      <c r="AS221" s="72"/>
      <c r="AT221" s="72"/>
      <c r="AU221" s="72"/>
      <c r="AV221" s="72"/>
      <c r="AW221" s="72"/>
      <c r="AX221" s="75"/>
    </row>
    <row r="222" spans="2:50" ht="21" customHeight="1" x14ac:dyDescent="0.25">
      <c r="B222" s="2"/>
      <c r="C222" s="3" t="s">
        <v>25</v>
      </c>
      <c r="D222" s="9">
        <f>SUM(D218:D221)</f>
        <v>3</v>
      </c>
      <c r="G222" s="80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80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</row>
    <row r="223" spans="2:50" x14ac:dyDescent="0.25"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</row>
    <row r="224" spans="2:50" ht="15.75" x14ac:dyDescent="0.25">
      <c r="G224" s="100" t="s">
        <v>22</v>
      </c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1" t="s">
        <v>21</v>
      </c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46"/>
      <c r="AR224" s="46"/>
      <c r="AS224" s="46"/>
      <c r="AT224" s="46"/>
      <c r="AU224" s="46"/>
      <c r="AV224" s="46"/>
      <c r="AW224" s="46"/>
      <c r="AX224" s="46"/>
    </row>
    <row r="225" spans="2:51" ht="32.25" thickBot="1" x14ac:dyDescent="0.3">
      <c r="G225" s="102" t="s">
        <v>14</v>
      </c>
      <c r="H225" s="102"/>
      <c r="I225" s="102"/>
      <c r="J225" s="102"/>
      <c r="K225" s="102" t="s">
        <v>15</v>
      </c>
      <c r="L225" s="102"/>
      <c r="M225" s="102"/>
      <c r="N225" s="102"/>
      <c r="O225" s="102" t="s">
        <v>59</v>
      </c>
      <c r="P225" s="102"/>
      <c r="Q225" s="102" t="s">
        <v>16</v>
      </c>
      <c r="R225" s="102"/>
      <c r="S225" s="102"/>
      <c r="T225" s="102"/>
      <c r="U225" s="102"/>
      <c r="V225" s="102"/>
      <c r="W225" s="102"/>
      <c r="X225" s="102"/>
      <c r="Y225" s="102" t="s">
        <v>14</v>
      </c>
      <c r="Z225" s="102"/>
      <c r="AA225" s="102"/>
      <c r="AB225" s="102"/>
      <c r="AC225" s="102" t="s">
        <v>15</v>
      </c>
      <c r="AD225" s="102"/>
      <c r="AE225" s="102"/>
      <c r="AF225" s="102"/>
      <c r="AG225" s="102" t="s">
        <v>59</v>
      </c>
      <c r="AH225" s="102"/>
      <c r="AI225" s="102" t="s">
        <v>16</v>
      </c>
      <c r="AJ225" s="102"/>
      <c r="AK225" s="102"/>
      <c r="AL225" s="102"/>
      <c r="AM225" s="102"/>
      <c r="AN225" s="102"/>
      <c r="AO225" s="102"/>
      <c r="AP225" s="102"/>
      <c r="AQ225" s="76" t="s">
        <v>60</v>
      </c>
      <c r="AR225" s="76"/>
      <c r="AS225" s="76" t="s">
        <v>65</v>
      </c>
      <c r="AT225" s="76" t="s">
        <v>61</v>
      </c>
      <c r="AU225" s="76" t="s">
        <v>62</v>
      </c>
      <c r="AV225" s="76" t="s">
        <v>27</v>
      </c>
      <c r="AW225" s="76" t="s">
        <v>64</v>
      </c>
      <c r="AX225" s="76" t="s">
        <v>63</v>
      </c>
    </row>
    <row r="226" spans="2:51" ht="48" thickBot="1" x14ac:dyDescent="0.3">
      <c r="B226" s="20">
        <v>0.25</v>
      </c>
      <c r="C226" s="14" t="s">
        <v>13</v>
      </c>
      <c r="D226" s="8" t="s">
        <v>6</v>
      </c>
      <c r="F226" s="13"/>
      <c r="G226" s="81" t="s">
        <v>20</v>
      </c>
      <c r="H226" s="64" t="s">
        <v>17</v>
      </c>
      <c r="I226" s="64" t="s">
        <v>19</v>
      </c>
      <c r="J226" s="64" t="s">
        <v>18</v>
      </c>
      <c r="K226" s="64" t="s">
        <v>52</v>
      </c>
      <c r="L226" s="64" t="s">
        <v>51</v>
      </c>
      <c r="M226" s="64" t="s">
        <v>53</v>
      </c>
      <c r="N226" s="64" t="s">
        <v>54</v>
      </c>
      <c r="O226" s="64" t="s">
        <v>20</v>
      </c>
      <c r="P226" s="64" t="s">
        <v>19</v>
      </c>
      <c r="Q226" s="64" t="s">
        <v>55</v>
      </c>
      <c r="R226" s="64" t="s">
        <v>56</v>
      </c>
      <c r="S226" s="64" t="s">
        <v>52</v>
      </c>
      <c r="T226" s="64" t="s">
        <v>51</v>
      </c>
      <c r="U226" s="64" t="s">
        <v>57</v>
      </c>
      <c r="V226" s="64" t="s">
        <v>58</v>
      </c>
      <c r="W226" s="64" t="s">
        <v>53</v>
      </c>
      <c r="X226" s="64" t="s">
        <v>54</v>
      </c>
      <c r="Y226" s="81" t="s">
        <v>20</v>
      </c>
      <c r="Z226" s="64" t="s">
        <v>17</v>
      </c>
      <c r="AA226" s="64" t="s">
        <v>19</v>
      </c>
      <c r="AB226" s="64" t="s">
        <v>18</v>
      </c>
      <c r="AC226" s="64" t="s">
        <v>52</v>
      </c>
      <c r="AD226" s="64" t="s">
        <v>51</v>
      </c>
      <c r="AE226" s="64" t="s">
        <v>53</v>
      </c>
      <c r="AF226" s="64" t="s">
        <v>54</v>
      </c>
      <c r="AG226" s="64" t="s">
        <v>20</v>
      </c>
      <c r="AH226" s="64" t="s">
        <v>19</v>
      </c>
      <c r="AI226" s="64" t="s">
        <v>55</v>
      </c>
      <c r="AJ226" s="64" t="s">
        <v>56</v>
      </c>
      <c r="AK226" s="64" t="s">
        <v>52</v>
      </c>
      <c r="AL226" s="64" t="s">
        <v>51</v>
      </c>
      <c r="AM226" s="64" t="s">
        <v>57</v>
      </c>
      <c r="AN226" s="64" t="s">
        <v>58</v>
      </c>
      <c r="AO226" s="64" t="s">
        <v>53</v>
      </c>
      <c r="AP226" s="64" t="s">
        <v>54</v>
      </c>
      <c r="AQ226" s="46"/>
      <c r="AR226" s="46"/>
      <c r="AS226" s="46"/>
      <c r="AT226" s="46"/>
      <c r="AU226" s="46"/>
      <c r="AV226" s="46"/>
      <c r="AW226" s="46"/>
      <c r="AX226" s="46"/>
    </row>
    <row r="227" spans="2:51" ht="16.5" customHeight="1" thickBot="1" x14ac:dyDescent="0.3">
      <c r="B227" s="1" t="s">
        <v>0</v>
      </c>
      <c r="C227" s="10">
        <v>4</v>
      </c>
      <c r="D227">
        <f>C227</f>
        <v>4</v>
      </c>
      <c r="F227" s="12" t="s">
        <v>0</v>
      </c>
      <c r="G227" s="77">
        <v>1</v>
      </c>
      <c r="H227" s="66"/>
      <c r="I227" s="66">
        <v>1</v>
      </c>
      <c r="J227" s="67"/>
      <c r="K227" s="65"/>
      <c r="L227" s="66"/>
      <c r="M227" s="66"/>
      <c r="N227" s="66"/>
      <c r="O227" s="65"/>
      <c r="P227" s="67">
        <v>2</v>
      </c>
      <c r="Q227" s="65"/>
      <c r="R227" s="66"/>
      <c r="S227" s="66"/>
      <c r="T227" s="66"/>
      <c r="U227" s="66"/>
      <c r="V227" s="66"/>
      <c r="W227" s="66"/>
      <c r="X227" s="67"/>
      <c r="Y227" s="77">
        <v>1</v>
      </c>
      <c r="Z227" s="66"/>
      <c r="AA227" s="66">
        <v>1</v>
      </c>
      <c r="AB227" s="66"/>
      <c r="AC227" s="65"/>
      <c r="AD227" s="66"/>
      <c r="AE227" s="66"/>
      <c r="AF227" s="67"/>
      <c r="AG227" s="66">
        <v>2</v>
      </c>
      <c r="AH227" s="67"/>
      <c r="AI227" s="66"/>
      <c r="AJ227" s="66"/>
      <c r="AK227" s="66"/>
      <c r="AL227" s="66"/>
      <c r="AM227" s="66"/>
      <c r="AN227" s="66"/>
      <c r="AO227" s="66"/>
      <c r="AP227" s="66"/>
      <c r="AQ227" s="65"/>
      <c r="AR227" s="65"/>
      <c r="AS227" s="65"/>
      <c r="AT227" s="65"/>
      <c r="AU227" s="65"/>
      <c r="AV227" s="65"/>
      <c r="AW227" s="65"/>
      <c r="AX227" s="68">
        <v>4</v>
      </c>
    </row>
    <row r="228" spans="2:51" ht="16.5" customHeight="1" thickBot="1" x14ac:dyDescent="0.3">
      <c r="B228" s="1" t="s">
        <v>1</v>
      </c>
      <c r="C228" s="10"/>
      <c r="D228">
        <f t="shared" ref="D228:D230" si="24">C228</f>
        <v>0</v>
      </c>
      <c r="F228" s="1" t="s">
        <v>1</v>
      </c>
      <c r="G228" s="78"/>
      <c r="H228" s="46"/>
      <c r="I228" s="46"/>
      <c r="J228" s="70"/>
      <c r="K228" s="69"/>
      <c r="L228" s="46"/>
      <c r="M228" s="46"/>
      <c r="N228" s="46"/>
      <c r="O228" s="69"/>
      <c r="P228" s="70"/>
      <c r="Q228" s="69"/>
      <c r="R228" s="46"/>
      <c r="S228" s="46"/>
      <c r="T228" s="46"/>
      <c r="U228" s="46"/>
      <c r="V228" s="46"/>
      <c r="W228" s="46"/>
      <c r="X228" s="70"/>
      <c r="Y228" s="78"/>
      <c r="Z228" s="46"/>
      <c r="AA228" s="46"/>
      <c r="AB228" s="46"/>
      <c r="AC228" s="69"/>
      <c r="AD228" s="46"/>
      <c r="AE228" s="46"/>
      <c r="AF228" s="70"/>
      <c r="AG228" s="46"/>
      <c r="AH228" s="70"/>
      <c r="AI228" s="46"/>
      <c r="AJ228" s="46"/>
      <c r="AK228" s="46"/>
      <c r="AL228" s="46"/>
      <c r="AM228" s="46"/>
      <c r="AN228" s="46"/>
      <c r="AO228" s="46"/>
      <c r="AP228" s="46"/>
      <c r="AQ228" s="69"/>
      <c r="AR228" s="69"/>
      <c r="AS228" s="69"/>
      <c r="AT228" s="69"/>
      <c r="AU228" s="69"/>
      <c r="AV228" s="69"/>
      <c r="AW228" s="69"/>
      <c r="AX228" s="71"/>
    </row>
    <row r="229" spans="2:51" ht="16.5" customHeight="1" thickBot="1" x14ac:dyDescent="0.3">
      <c r="B229" s="1" t="s">
        <v>2</v>
      </c>
      <c r="C229" s="10"/>
      <c r="D229">
        <f>C229</f>
        <v>0</v>
      </c>
      <c r="F229" s="1" t="s">
        <v>2</v>
      </c>
      <c r="G229" s="78"/>
      <c r="H229" s="46"/>
      <c r="I229" s="46"/>
      <c r="J229" s="70"/>
      <c r="K229" s="69"/>
      <c r="L229" s="46"/>
      <c r="M229" s="46"/>
      <c r="N229" s="46"/>
      <c r="O229" s="69"/>
      <c r="P229" s="70"/>
      <c r="Q229" s="69"/>
      <c r="R229" s="46"/>
      <c r="S229" s="46"/>
      <c r="T229" s="46"/>
      <c r="U229" s="46"/>
      <c r="V229" s="46"/>
      <c r="W229" s="46"/>
      <c r="X229" s="70"/>
      <c r="Y229" s="78"/>
      <c r="Z229" s="46"/>
      <c r="AA229" s="46"/>
      <c r="AB229" s="46"/>
      <c r="AC229" s="69"/>
      <c r="AD229" s="46"/>
      <c r="AE229" s="46"/>
      <c r="AF229" s="70"/>
      <c r="AG229" s="46"/>
      <c r="AH229" s="70"/>
      <c r="AI229" s="46"/>
      <c r="AJ229" s="46"/>
      <c r="AK229" s="46"/>
      <c r="AL229" s="46"/>
      <c r="AM229" s="46"/>
      <c r="AN229" s="46"/>
      <c r="AO229" s="46"/>
      <c r="AP229" s="46"/>
      <c r="AQ229" s="69"/>
      <c r="AR229" s="69"/>
      <c r="AS229" s="69"/>
      <c r="AT229" s="69"/>
      <c r="AU229" s="69"/>
      <c r="AV229" s="69"/>
      <c r="AW229" s="69"/>
      <c r="AX229" s="71"/>
    </row>
    <row r="230" spans="2:51" ht="16.5" customHeight="1" thickBot="1" x14ac:dyDescent="0.3">
      <c r="B230" s="1" t="s">
        <v>3</v>
      </c>
      <c r="C230" s="10"/>
      <c r="D230" s="7">
        <f t="shared" si="24"/>
        <v>0</v>
      </c>
      <c r="F230" s="1" t="s">
        <v>3</v>
      </c>
      <c r="G230" s="79"/>
      <c r="H230" s="73"/>
      <c r="I230" s="73"/>
      <c r="J230" s="74"/>
      <c r="K230" s="72"/>
      <c r="L230" s="73"/>
      <c r="M230" s="73"/>
      <c r="N230" s="73"/>
      <c r="O230" s="72"/>
      <c r="P230" s="74"/>
      <c r="Q230" s="72"/>
      <c r="R230" s="73"/>
      <c r="S230" s="73"/>
      <c r="T230" s="73"/>
      <c r="U230" s="73"/>
      <c r="V230" s="73"/>
      <c r="W230" s="73"/>
      <c r="X230" s="74"/>
      <c r="Y230" s="79"/>
      <c r="Z230" s="73"/>
      <c r="AA230" s="73"/>
      <c r="AB230" s="73"/>
      <c r="AC230" s="72"/>
      <c r="AD230" s="73"/>
      <c r="AE230" s="73"/>
      <c r="AF230" s="74"/>
      <c r="AG230" s="73"/>
      <c r="AH230" s="74"/>
      <c r="AI230" s="73"/>
      <c r="AJ230" s="73"/>
      <c r="AK230" s="73"/>
      <c r="AL230" s="73"/>
      <c r="AM230" s="73"/>
      <c r="AN230" s="73"/>
      <c r="AO230" s="73"/>
      <c r="AP230" s="73"/>
      <c r="AQ230" s="72"/>
      <c r="AR230" s="72"/>
      <c r="AS230" s="72"/>
      <c r="AT230" s="72"/>
      <c r="AU230" s="72"/>
      <c r="AV230" s="72"/>
      <c r="AW230" s="72"/>
      <c r="AX230" s="75"/>
    </row>
    <row r="231" spans="2:51" ht="21" customHeight="1" x14ac:dyDescent="0.25">
      <c r="B231" s="2"/>
      <c r="C231" s="3" t="s">
        <v>25</v>
      </c>
      <c r="D231" s="9">
        <f>SUM(D227:D230)</f>
        <v>4</v>
      </c>
      <c r="G231" s="80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80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</row>
    <row r="232" spans="2:51" x14ac:dyDescent="0.25"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</row>
    <row r="233" spans="2:51" ht="15.75" x14ac:dyDescent="0.25">
      <c r="G233" s="100" t="s">
        <v>22</v>
      </c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1" t="s">
        <v>21</v>
      </c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46"/>
      <c r="AR233" s="46"/>
      <c r="AS233" s="46"/>
      <c r="AT233" s="46"/>
      <c r="AU233" s="46"/>
      <c r="AV233" s="46"/>
      <c r="AW233" s="46"/>
      <c r="AX233" s="46"/>
    </row>
    <row r="234" spans="2:51" ht="32.25" thickBot="1" x14ac:dyDescent="0.3">
      <c r="G234" s="102" t="s">
        <v>14</v>
      </c>
      <c r="H234" s="102"/>
      <c r="I234" s="102"/>
      <c r="J234" s="102"/>
      <c r="K234" s="102" t="s">
        <v>15</v>
      </c>
      <c r="L234" s="102"/>
      <c r="M234" s="102"/>
      <c r="N234" s="102"/>
      <c r="O234" s="102" t="s">
        <v>59</v>
      </c>
      <c r="P234" s="102"/>
      <c r="Q234" s="102" t="s">
        <v>16</v>
      </c>
      <c r="R234" s="102"/>
      <c r="S234" s="102"/>
      <c r="T234" s="102"/>
      <c r="U234" s="102"/>
      <c r="V234" s="102"/>
      <c r="W234" s="102"/>
      <c r="X234" s="102"/>
      <c r="Y234" s="102" t="s">
        <v>14</v>
      </c>
      <c r="Z234" s="102"/>
      <c r="AA234" s="102"/>
      <c r="AB234" s="102"/>
      <c r="AC234" s="102" t="s">
        <v>15</v>
      </c>
      <c r="AD234" s="102"/>
      <c r="AE234" s="102"/>
      <c r="AF234" s="102"/>
      <c r="AG234" s="102" t="s">
        <v>59</v>
      </c>
      <c r="AH234" s="102"/>
      <c r="AI234" s="102" t="s">
        <v>16</v>
      </c>
      <c r="AJ234" s="102"/>
      <c r="AK234" s="102"/>
      <c r="AL234" s="102"/>
      <c r="AM234" s="102"/>
      <c r="AN234" s="102"/>
      <c r="AO234" s="102"/>
      <c r="AP234" s="102"/>
      <c r="AQ234" s="76" t="s">
        <v>60</v>
      </c>
      <c r="AR234" s="76" t="s">
        <v>70</v>
      </c>
      <c r="AS234" s="76" t="s">
        <v>65</v>
      </c>
      <c r="AT234" s="76" t="s">
        <v>61</v>
      </c>
      <c r="AU234" s="76" t="s">
        <v>62</v>
      </c>
      <c r="AV234" s="76" t="s">
        <v>27</v>
      </c>
      <c r="AW234" s="76" t="s">
        <v>64</v>
      </c>
      <c r="AX234" s="76" t="s">
        <v>63</v>
      </c>
      <c r="AY234" s="76" t="s">
        <v>66</v>
      </c>
    </row>
    <row r="235" spans="2:51" ht="48" thickBot="1" x14ac:dyDescent="0.3">
      <c r="B235" s="20">
        <v>0.26041666666666669</v>
      </c>
      <c r="C235" s="14" t="s">
        <v>13</v>
      </c>
      <c r="D235" s="8" t="s">
        <v>6</v>
      </c>
      <c r="F235" s="13"/>
      <c r="G235" s="63" t="s">
        <v>20</v>
      </c>
      <c r="H235" s="64" t="s">
        <v>17</v>
      </c>
      <c r="I235" s="64" t="s">
        <v>19</v>
      </c>
      <c r="J235" s="64" t="s">
        <v>18</v>
      </c>
      <c r="K235" s="64" t="s">
        <v>52</v>
      </c>
      <c r="L235" s="64" t="s">
        <v>51</v>
      </c>
      <c r="M235" s="64" t="s">
        <v>53</v>
      </c>
      <c r="N235" s="64" t="s">
        <v>54</v>
      </c>
      <c r="O235" s="64" t="s">
        <v>20</v>
      </c>
      <c r="P235" s="64" t="s">
        <v>19</v>
      </c>
      <c r="Q235" s="64" t="s">
        <v>55</v>
      </c>
      <c r="R235" s="64" t="s">
        <v>56</v>
      </c>
      <c r="S235" s="64" t="s">
        <v>52</v>
      </c>
      <c r="T235" s="64" t="s">
        <v>51</v>
      </c>
      <c r="U235" s="64" t="s">
        <v>57</v>
      </c>
      <c r="V235" s="64" t="s">
        <v>58</v>
      </c>
      <c r="W235" s="64" t="s">
        <v>53</v>
      </c>
      <c r="X235" s="64" t="s">
        <v>54</v>
      </c>
      <c r="Y235" s="63" t="s">
        <v>20</v>
      </c>
      <c r="Z235" s="64" t="s">
        <v>17</v>
      </c>
      <c r="AA235" s="64" t="s">
        <v>19</v>
      </c>
      <c r="AB235" s="64" t="s">
        <v>18</v>
      </c>
      <c r="AC235" s="64" t="s">
        <v>52</v>
      </c>
      <c r="AD235" s="64" t="s">
        <v>51</v>
      </c>
      <c r="AE235" s="64" t="s">
        <v>53</v>
      </c>
      <c r="AF235" s="64" t="s">
        <v>54</v>
      </c>
      <c r="AG235" s="64" t="s">
        <v>20</v>
      </c>
      <c r="AH235" s="64" t="s">
        <v>19</v>
      </c>
      <c r="AI235" s="64" t="s">
        <v>55</v>
      </c>
      <c r="AJ235" s="64" t="s">
        <v>56</v>
      </c>
      <c r="AK235" s="64" t="s">
        <v>52</v>
      </c>
      <c r="AL235" s="64" t="s">
        <v>51</v>
      </c>
      <c r="AM235" s="64" t="s">
        <v>57</v>
      </c>
      <c r="AN235" s="64" t="s">
        <v>58</v>
      </c>
      <c r="AO235" s="64" t="s">
        <v>53</v>
      </c>
      <c r="AP235" s="64" t="s">
        <v>54</v>
      </c>
      <c r="AQ235" s="46"/>
      <c r="AR235" s="46"/>
      <c r="AS235" s="46"/>
      <c r="AT235" s="46"/>
      <c r="AU235" s="46"/>
      <c r="AV235" s="46"/>
      <c r="AW235" s="46"/>
      <c r="AX235" s="46"/>
    </row>
    <row r="236" spans="2:51" ht="16.5" customHeight="1" thickBot="1" x14ac:dyDescent="0.3">
      <c r="B236" s="1" t="s">
        <v>0</v>
      </c>
      <c r="C236" s="10">
        <v>12</v>
      </c>
      <c r="D236">
        <f>C236</f>
        <v>12</v>
      </c>
      <c r="F236" s="12" t="s">
        <v>0</v>
      </c>
      <c r="G236" s="77"/>
      <c r="H236" s="66"/>
      <c r="I236" s="66">
        <v>1</v>
      </c>
      <c r="J236" s="67"/>
      <c r="K236" s="65"/>
      <c r="L236" s="66"/>
      <c r="M236" s="66"/>
      <c r="N236" s="66"/>
      <c r="O236" s="65">
        <v>3</v>
      </c>
      <c r="P236" s="67">
        <v>2</v>
      </c>
      <c r="Q236" s="65">
        <v>3</v>
      </c>
      <c r="R236" s="66"/>
      <c r="S236" s="66">
        <v>2</v>
      </c>
      <c r="T236" s="66"/>
      <c r="U236" s="66">
        <v>1</v>
      </c>
      <c r="V236" s="66"/>
      <c r="W236" s="66"/>
      <c r="X236" s="67"/>
      <c r="Y236" s="77"/>
      <c r="Z236" s="66"/>
      <c r="AA236" s="66"/>
      <c r="AB236" s="66"/>
      <c r="AC236" s="65">
        <v>1</v>
      </c>
      <c r="AD236" s="66"/>
      <c r="AE236" s="66"/>
      <c r="AF236" s="67"/>
      <c r="AG236" s="66">
        <v>2</v>
      </c>
      <c r="AH236" s="67">
        <v>2</v>
      </c>
      <c r="AI236" s="66">
        <v>2</v>
      </c>
      <c r="AJ236" s="66">
        <v>2</v>
      </c>
      <c r="AK236" s="66"/>
      <c r="AL236" s="66"/>
      <c r="AM236" s="66"/>
      <c r="AN236" s="66">
        <v>3</v>
      </c>
      <c r="AO236" s="66"/>
      <c r="AP236" s="66"/>
      <c r="AQ236" s="65">
        <v>1</v>
      </c>
      <c r="AR236" s="65">
        <v>1</v>
      </c>
      <c r="AS236" s="65"/>
      <c r="AT236" s="65"/>
      <c r="AU236" s="65"/>
      <c r="AV236" s="65">
        <v>1</v>
      </c>
      <c r="AW236" s="65"/>
      <c r="AX236" s="68">
        <v>6</v>
      </c>
      <c r="AY236" s="17">
        <v>2</v>
      </c>
    </row>
    <row r="237" spans="2:51" ht="16.5" customHeight="1" thickBot="1" x14ac:dyDescent="0.3">
      <c r="B237" s="1" t="s">
        <v>1</v>
      </c>
      <c r="C237" s="10"/>
      <c r="D237">
        <f t="shared" ref="D237:D239" si="25">C237</f>
        <v>0</v>
      </c>
      <c r="F237" s="1" t="s">
        <v>1</v>
      </c>
      <c r="G237" s="78"/>
      <c r="H237" s="46"/>
      <c r="I237" s="46"/>
      <c r="J237" s="70"/>
      <c r="K237" s="69"/>
      <c r="L237" s="46"/>
      <c r="M237" s="46"/>
      <c r="N237" s="46"/>
      <c r="O237" s="69"/>
      <c r="P237" s="70"/>
      <c r="Q237" s="69"/>
      <c r="R237" s="46"/>
      <c r="S237" s="46"/>
      <c r="T237" s="46"/>
      <c r="U237" s="46"/>
      <c r="V237" s="46"/>
      <c r="W237" s="46"/>
      <c r="X237" s="70"/>
      <c r="Y237" s="78"/>
      <c r="Z237" s="46"/>
      <c r="AA237" s="46"/>
      <c r="AB237" s="46"/>
      <c r="AC237" s="69"/>
      <c r="AD237" s="46"/>
      <c r="AE237" s="46"/>
      <c r="AF237" s="70"/>
      <c r="AG237" s="46"/>
      <c r="AH237" s="70"/>
      <c r="AI237" s="46"/>
      <c r="AJ237" s="46"/>
      <c r="AK237" s="46"/>
      <c r="AL237" s="46"/>
      <c r="AM237" s="46"/>
      <c r="AN237" s="46"/>
      <c r="AO237" s="46"/>
      <c r="AP237" s="46"/>
      <c r="AQ237" s="69"/>
      <c r="AR237" s="69"/>
      <c r="AS237" s="69"/>
      <c r="AT237" s="69"/>
      <c r="AU237" s="69"/>
      <c r="AV237" s="69"/>
      <c r="AW237" s="69"/>
      <c r="AX237" s="71"/>
      <c r="AY237" s="18"/>
    </row>
    <row r="238" spans="2:51" ht="16.5" customHeight="1" thickBot="1" x14ac:dyDescent="0.3">
      <c r="B238" s="1" t="s">
        <v>2</v>
      </c>
      <c r="C238" s="10"/>
      <c r="D238">
        <f>C238</f>
        <v>0</v>
      </c>
      <c r="F238" s="1" t="s">
        <v>2</v>
      </c>
      <c r="G238" s="78"/>
      <c r="H238" s="46"/>
      <c r="I238" s="46"/>
      <c r="J238" s="70"/>
      <c r="K238" s="69"/>
      <c r="L238" s="46"/>
      <c r="M238" s="46"/>
      <c r="N238" s="46"/>
      <c r="O238" s="69"/>
      <c r="P238" s="70"/>
      <c r="Q238" s="69"/>
      <c r="R238" s="46"/>
      <c r="S238" s="46"/>
      <c r="T238" s="46"/>
      <c r="U238" s="46"/>
      <c r="V238" s="46"/>
      <c r="W238" s="46"/>
      <c r="X238" s="70"/>
      <c r="Y238" s="78"/>
      <c r="Z238" s="46"/>
      <c r="AA238" s="46"/>
      <c r="AB238" s="46"/>
      <c r="AC238" s="69"/>
      <c r="AD238" s="46"/>
      <c r="AE238" s="46"/>
      <c r="AF238" s="70"/>
      <c r="AG238" s="46"/>
      <c r="AH238" s="70"/>
      <c r="AI238" s="46"/>
      <c r="AJ238" s="46"/>
      <c r="AK238" s="46"/>
      <c r="AL238" s="46"/>
      <c r="AM238" s="46"/>
      <c r="AN238" s="46"/>
      <c r="AO238" s="46"/>
      <c r="AP238" s="46"/>
      <c r="AQ238" s="69"/>
      <c r="AR238" s="69"/>
      <c r="AS238" s="69"/>
      <c r="AT238" s="69"/>
      <c r="AU238" s="69"/>
      <c r="AV238" s="69"/>
      <c r="AW238" s="69"/>
      <c r="AX238" s="71"/>
      <c r="AY238" s="18"/>
    </row>
    <row r="239" spans="2:51" ht="16.5" customHeight="1" thickBot="1" x14ac:dyDescent="0.3">
      <c r="B239" s="1" t="s">
        <v>28</v>
      </c>
      <c r="C239" s="10"/>
      <c r="D239" s="7">
        <f t="shared" si="25"/>
        <v>0</v>
      </c>
      <c r="F239" s="1" t="s">
        <v>3</v>
      </c>
      <c r="G239" s="79"/>
      <c r="H239" s="73"/>
      <c r="I239" s="73"/>
      <c r="J239" s="74"/>
      <c r="K239" s="72"/>
      <c r="L239" s="73"/>
      <c r="M239" s="73"/>
      <c r="N239" s="73"/>
      <c r="O239" s="72"/>
      <c r="P239" s="74"/>
      <c r="Q239" s="72"/>
      <c r="R239" s="73"/>
      <c r="S239" s="73"/>
      <c r="T239" s="73"/>
      <c r="U239" s="73"/>
      <c r="V239" s="73"/>
      <c r="W239" s="73"/>
      <c r="X239" s="74"/>
      <c r="Y239" s="79"/>
      <c r="Z239" s="73"/>
      <c r="AA239" s="73"/>
      <c r="AB239" s="73"/>
      <c r="AC239" s="72"/>
      <c r="AD239" s="73"/>
      <c r="AE239" s="73"/>
      <c r="AF239" s="74"/>
      <c r="AG239" s="73"/>
      <c r="AH239" s="74"/>
      <c r="AI239" s="73"/>
      <c r="AJ239" s="73"/>
      <c r="AK239" s="73"/>
      <c r="AL239" s="73"/>
      <c r="AM239" s="73"/>
      <c r="AN239" s="73"/>
      <c r="AO239" s="73"/>
      <c r="AP239" s="73"/>
      <c r="AQ239" s="72"/>
      <c r="AR239" s="72"/>
      <c r="AS239" s="72"/>
      <c r="AT239" s="72"/>
      <c r="AU239" s="72"/>
      <c r="AV239" s="72"/>
      <c r="AW239" s="72"/>
      <c r="AX239" s="75"/>
      <c r="AY239" s="19"/>
    </row>
    <row r="240" spans="2:51" ht="21" customHeight="1" x14ac:dyDescent="0.25">
      <c r="B240" s="2"/>
      <c r="C240" s="3" t="s">
        <v>25</v>
      </c>
      <c r="D240" s="9">
        <f>SUM(D236:D239)</f>
        <v>12</v>
      </c>
      <c r="G240" s="80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80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</row>
    <row r="241" spans="2:53" x14ac:dyDescent="0.25"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</row>
    <row r="242" spans="2:53" ht="15.75" x14ac:dyDescent="0.25">
      <c r="G242" s="100" t="s">
        <v>22</v>
      </c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1" t="s">
        <v>21</v>
      </c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46"/>
      <c r="AR242" s="46"/>
      <c r="AS242" s="46"/>
      <c r="AT242" s="46"/>
      <c r="AU242" s="46"/>
      <c r="AV242" s="46"/>
      <c r="AW242" s="46"/>
      <c r="AX242" s="46"/>
    </row>
    <row r="243" spans="2:53" ht="32.25" thickBot="1" x14ac:dyDescent="0.3">
      <c r="G243" s="102" t="s">
        <v>14</v>
      </c>
      <c r="H243" s="102"/>
      <c r="I243" s="102"/>
      <c r="J243" s="102"/>
      <c r="K243" s="102" t="s">
        <v>15</v>
      </c>
      <c r="L243" s="102"/>
      <c r="M243" s="102"/>
      <c r="N243" s="102"/>
      <c r="O243" s="102" t="s">
        <v>59</v>
      </c>
      <c r="P243" s="102"/>
      <c r="Q243" s="102" t="s">
        <v>16</v>
      </c>
      <c r="R243" s="102"/>
      <c r="S243" s="102"/>
      <c r="T243" s="102"/>
      <c r="U243" s="102"/>
      <c r="V243" s="102"/>
      <c r="W243" s="102"/>
      <c r="X243" s="102"/>
      <c r="Y243" s="102" t="s">
        <v>14</v>
      </c>
      <c r="Z243" s="102"/>
      <c r="AA243" s="102"/>
      <c r="AB243" s="102"/>
      <c r="AC243" s="102" t="s">
        <v>15</v>
      </c>
      <c r="AD243" s="102"/>
      <c r="AE243" s="102"/>
      <c r="AF243" s="102"/>
      <c r="AG243" s="102" t="s">
        <v>59</v>
      </c>
      <c r="AH243" s="102"/>
      <c r="AI243" s="102" t="s">
        <v>16</v>
      </c>
      <c r="AJ243" s="102"/>
      <c r="AK243" s="102"/>
      <c r="AL243" s="102"/>
      <c r="AM243" s="102"/>
      <c r="AN243" s="102"/>
      <c r="AO243" s="102"/>
      <c r="AP243" s="102"/>
      <c r="AQ243" s="76" t="s">
        <v>60</v>
      </c>
      <c r="AR243" s="76" t="s">
        <v>70</v>
      </c>
      <c r="AS243" s="76" t="s">
        <v>65</v>
      </c>
      <c r="AT243" s="76" t="s">
        <v>61</v>
      </c>
      <c r="AU243" s="76" t="s">
        <v>62</v>
      </c>
      <c r="AV243" s="76" t="s">
        <v>27</v>
      </c>
      <c r="AW243" s="76" t="s">
        <v>64</v>
      </c>
      <c r="AX243" s="76" t="s">
        <v>63</v>
      </c>
      <c r="AY243" s="76" t="s">
        <v>66</v>
      </c>
    </row>
    <row r="244" spans="2:53" ht="48" thickBot="1" x14ac:dyDescent="0.3">
      <c r="B244" s="20">
        <v>0.27083333333333331</v>
      </c>
      <c r="C244" s="14" t="s">
        <v>13</v>
      </c>
      <c r="D244" s="8" t="s">
        <v>6</v>
      </c>
      <c r="F244" s="13"/>
      <c r="G244" s="63" t="s">
        <v>20</v>
      </c>
      <c r="H244" s="64" t="s">
        <v>17</v>
      </c>
      <c r="I244" s="64" t="s">
        <v>19</v>
      </c>
      <c r="J244" s="64" t="s">
        <v>18</v>
      </c>
      <c r="K244" s="64" t="s">
        <v>52</v>
      </c>
      <c r="L244" s="64" t="s">
        <v>51</v>
      </c>
      <c r="M244" s="64" t="s">
        <v>53</v>
      </c>
      <c r="N244" s="64" t="s">
        <v>54</v>
      </c>
      <c r="O244" s="64" t="s">
        <v>20</v>
      </c>
      <c r="P244" s="64" t="s">
        <v>19</v>
      </c>
      <c r="Q244" s="64" t="s">
        <v>55</v>
      </c>
      <c r="R244" s="64" t="s">
        <v>56</v>
      </c>
      <c r="S244" s="64" t="s">
        <v>52</v>
      </c>
      <c r="T244" s="64" t="s">
        <v>51</v>
      </c>
      <c r="U244" s="64" t="s">
        <v>57</v>
      </c>
      <c r="V244" s="64" t="s">
        <v>58</v>
      </c>
      <c r="W244" s="64" t="s">
        <v>53</v>
      </c>
      <c r="X244" s="64" t="s">
        <v>54</v>
      </c>
      <c r="Y244" s="63" t="s">
        <v>20</v>
      </c>
      <c r="Z244" s="64" t="s">
        <v>17</v>
      </c>
      <c r="AA244" s="64" t="s">
        <v>19</v>
      </c>
      <c r="AB244" s="64" t="s">
        <v>18</v>
      </c>
      <c r="AC244" s="64" t="s">
        <v>52</v>
      </c>
      <c r="AD244" s="64" t="s">
        <v>51</v>
      </c>
      <c r="AE244" s="64" t="s">
        <v>53</v>
      </c>
      <c r="AF244" s="64" t="s">
        <v>54</v>
      </c>
      <c r="AG244" s="64" t="s">
        <v>20</v>
      </c>
      <c r="AH244" s="64" t="s">
        <v>19</v>
      </c>
      <c r="AI244" s="64" t="s">
        <v>55</v>
      </c>
      <c r="AJ244" s="64" t="s">
        <v>56</v>
      </c>
      <c r="AK244" s="64" t="s">
        <v>52</v>
      </c>
      <c r="AL244" s="64" t="s">
        <v>51</v>
      </c>
      <c r="AM244" s="64" t="s">
        <v>57</v>
      </c>
      <c r="AN244" s="64" t="s">
        <v>58</v>
      </c>
      <c r="AO244" s="64" t="s">
        <v>53</v>
      </c>
      <c r="AP244" s="64" t="s">
        <v>54</v>
      </c>
      <c r="AQ244" s="46"/>
      <c r="AR244" s="46"/>
      <c r="AS244" s="46"/>
      <c r="AT244" s="46"/>
      <c r="AU244" s="46"/>
      <c r="AV244" s="46"/>
      <c r="AW244" s="46"/>
      <c r="AX244" s="46"/>
    </row>
    <row r="245" spans="2:53" ht="16.5" customHeight="1" thickBot="1" x14ac:dyDescent="0.3">
      <c r="B245" s="1" t="s">
        <v>0</v>
      </c>
      <c r="C245" s="10">
        <v>8</v>
      </c>
      <c r="D245">
        <f>C245</f>
        <v>8</v>
      </c>
      <c r="F245" s="12" t="s">
        <v>0</v>
      </c>
      <c r="G245" s="77"/>
      <c r="H245" s="66"/>
      <c r="I245" s="66"/>
      <c r="J245" s="67"/>
      <c r="K245" s="65"/>
      <c r="L245" s="66"/>
      <c r="M245" s="66"/>
      <c r="N245" s="66"/>
      <c r="O245" s="65">
        <v>1</v>
      </c>
      <c r="P245" s="67">
        <v>1</v>
      </c>
      <c r="Q245" s="65"/>
      <c r="R245" s="66">
        <v>1</v>
      </c>
      <c r="S245" s="66"/>
      <c r="T245" s="66"/>
      <c r="U245" s="66"/>
      <c r="V245" s="66">
        <v>2</v>
      </c>
      <c r="W245" s="66">
        <v>2</v>
      </c>
      <c r="X245" s="67">
        <v>1</v>
      </c>
      <c r="Y245" s="77"/>
      <c r="Z245" s="66"/>
      <c r="AA245" s="66"/>
      <c r="AB245" s="66"/>
      <c r="AC245" s="65"/>
      <c r="AD245" s="66"/>
      <c r="AE245" s="66"/>
      <c r="AF245" s="67"/>
      <c r="AG245" s="66">
        <v>1</v>
      </c>
      <c r="AH245" s="67">
        <v>3</v>
      </c>
      <c r="AI245" s="66">
        <v>2</v>
      </c>
      <c r="AJ245" s="66">
        <v>1</v>
      </c>
      <c r="AK245" s="66">
        <v>1</v>
      </c>
      <c r="AL245" s="66"/>
      <c r="AM245" s="66"/>
      <c r="AN245" s="66"/>
      <c r="AO245" s="66"/>
      <c r="AP245" s="66"/>
      <c r="AQ245" s="65"/>
      <c r="AR245" s="65">
        <v>2</v>
      </c>
      <c r="AS245" s="65"/>
      <c r="AT245" s="65"/>
      <c r="AU245" s="65"/>
      <c r="AV245" s="65"/>
      <c r="AW245" s="65"/>
      <c r="AX245" s="68">
        <v>4</v>
      </c>
      <c r="AY245" s="17"/>
      <c r="BA245" t="s">
        <v>95</v>
      </c>
    </row>
    <row r="246" spans="2:53" ht="16.5" customHeight="1" thickBot="1" x14ac:dyDescent="0.3">
      <c r="B246" s="1" t="s">
        <v>1</v>
      </c>
      <c r="C246" s="10"/>
      <c r="D246">
        <f t="shared" ref="D246:D248" si="26">C246</f>
        <v>0</v>
      </c>
      <c r="F246" s="1" t="s">
        <v>1</v>
      </c>
      <c r="G246" s="78"/>
      <c r="H246" s="46"/>
      <c r="I246" s="46"/>
      <c r="J246" s="70"/>
      <c r="K246" s="69"/>
      <c r="L246" s="46"/>
      <c r="M246" s="46"/>
      <c r="N246" s="46"/>
      <c r="O246" s="69"/>
      <c r="P246" s="70"/>
      <c r="Q246" s="69"/>
      <c r="R246" s="46"/>
      <c r="S246" s="46"/>
      <c r="T246" s="46"/>
      <c r="U246" s="46"/>
      <c r="V246" s="46"/>
      <c r="W246" s="46"/>
      <c r="X246" s="70"/>
      <c r="Y246" s="78"/>
      <c r="Z246" s="46"/>
      <c r="AA246" s="46"/>
      <c r="AB246" s="46"/>
      <c r="AC246" s="69"/>
      <c r="AD246" s="46"/>
      <c r="AE246" s="46"/>
      <c r="AF246" s="70"/>
      <c r="AG246" s="46"/>
      <c r="AH246" s="70"/>
      <c r="AI246" s="46"/>
      <c r="AJ246" s="46"/>
      <c r="AK246" s="46"/>
      <c r="AL246" s="46"/>
      <c r="AM246" s="46"/>
      <c r="AN246" s="46"/>
      <c r="AO246" s="46"/>
      <c r="AP246" s="46"/>
      <c r="AQ246" s="69"/>
      <c r="AR246" s="69"/>
      <c r="AS246" s="69"/>
      <c r="AT246" s="69"/>
      <c r="AU246" s="69"/>
      <c r="AV246" s="69"/>
      <c r="AW246" s="69"/>
      <c r="AX246" s="71"/>
      <c r="AY246" s="18"/>
    </row>
    <row r="247" spans="2:53" ht="16.5" customHeight="1" thickBot="1" x14ac:dyDescent="0.3">
      <c r="B247" s="1" t="s">
        <v>2</v>
      </c>
      <c r="C247" s="10"/>
      <c r="D247">
        <f>C247</f>
        <v>0</v>
      </c>
      <c r="F247" s="1" t="s">
        <v>2</v>
      </c>
      <c r="G247" s="78"/>
      <c r="H247" s="46"/>
      <c r="I247" s="46"/>
      <c r="J247" s="70"/>
      <c r="K247" s="69"/>
      <c r="L247" s="46"/>
      <c r="M247" s="46"/>
      <c r="N247" s="46"/>
      <c r="O247" s="69"/>
      <c r="P247" s="70"/>
      <c r="Q247" s="69"/>
      <c r="R247" s="46"/>
      <c r="S247" s="46"/>
      <c r="T247" s="46"/>
      <c r="U247" s="46"/>
      <c r="V247" s="46"/>
      <c r="W247" s="46"/>
      <c r="X247" s="70"/>
      <c r="Y247" s="78"/>
      <c r="Z247" s="46"/>
      <c r="AA247" s="46"/>
      <c r="AB247" s="46"/>
      <c r="AC247" s="69"/>
      <c r="AD247" s="46"/>
      <c r="AE247" s="46"/>
      <c r="AF247" s="70"/>
      <c r="AG247" s="46"/>
      <c r="AH247" s="70"/>
      <c r="AI247" s="46"/>
      <c r="AJ247" s="46"/>
      <c r="AK247" s="46"/>
      <c r="AL247" s="46"/>
      <c r="AM247" s="46"/>
      <c r="AN247" s="46"/>
      <c r="AO247" s="46"/>
      <c r="AP247" s="46"/>
      <c r="AQ247" s="69"/>
      <c r="AR247" s="69"/>
      <c r="AS247" s="69"/>
      <c r="AT247" s="69"/>
      <c r="AU247" s="69"/>
      <c r="AV247" s="69"/>
      <c r="AW247" s="69"/>
      <c r="AX247" s="71"/>
      <c r="AY247" s="18"/>
    </row>
    <row r="248" spans="2:53" ht="16.5" customHeight="1" thickBot="1" x14ac:dyDescent="0.3">
      <c r="B248" s="1" t="s">
        <v>3</v>
      </c>
      <c r="C248" s="10"/>
      <c r="D248" s="7">
        <f t="shared" si="26"/>
        <v>0</v>
      </c>
      <c r="F248" s="1" t="s">
        <v>3</v>
      </c>
      <c r="G248" s="79"/>
      <c r="H248" s="73"/>
      <c r="I248" s="73"/>
      <c r="J248" s="74"/>
      <c r="K248" s="72"/>
      <c r="L248" s="73"/>
      <c r="M248" s="73"/>
      <c r="N248" s="73"/>
      <c r="O248" s="72"/>
      <c r="P248" s="74"/>
      <c r="Q248" s="72"/>
      <c r="R248" s="73"/>
      <c r="S248" s="73"/>
      <c r="T248" s="73"/>
      <c r="U248" s="73"/>
      <c r="V248" s="73"/>
      <c r="W248" s="73"/>
      <c r="X248" s="74"/>
      <c r="Y248" s="79"/>
      <c r="Z248" s="73"/>
      <c r="AA248" s="73"/>
      <c r="AB248" s="73"/>
      <c r="AC248" s="72"/>
      <c r="AD248" s="73"/>
      <c r="AE248" s="73"/>
      <c r="AF248" s="74"/>
      <c r="AG248" s="73"/>
      <c r="AH248" s="74"/>
      <c r="AI248" s="73"/>
      <c r="AJ248" s="73"/>
      <c r="AK248" s="73"/>
      <c r="AL248" s="73"/>
      <c r="AM248" s="73"/>
      <c r="AN248" s="73"/>
      <c r="AO248" s="73"/>
      <c r="AP248" s="73"/>
      <c r="AQ248" s="72"/>
      <c r="AR248" s="72"/>
      <c r="AS248" s="72"/>
      <c r="AT248" s="72"/>
      <c r="AU248" s="72"/>
      <c r="AV248" s="72"/>
      <c r="AW248" s="72"/>
      <c r="AX248" s="75"/>
      <c r="AY248" s="19"/>
    </row>
    <row r="249" spans="2:53" ht="21" customHeight="1" x14ac:dyDescent="0.25">
      <c r="B249" s="2"/>
      <c r="C249" s="3" t="s">
        <v>25</v>
      </c>
      <c r="D249" s="9">
        <f>SUM(D245:D248)</f>
        <v>8</v>
      </c>
      <c r="G249" s="80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80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>
        <v>4</v>
      </c>
    </row>
    <row r="250" spans="2:53" x14ac:dyDescent="0.25"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</row>
    <row r="251" spans="2:53" ht="15.75" x14ac:dyDescent="0.25">
      <c r="G251" s="100" t="s">
        <v>22</v>
      </c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1" t="s">
        <v>21</v>
      </c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46"/>
      <c r="AR251" s="46"/>
      <c r="AS251" s="46"/>
      <c r="AT251" s="46"/>
      <c r="AU251" s="46"/>
      <c r="AV251" s="46"/>
      <c r="AW251" s="46"/>
      <c r="AX251" s="46"/>
    </row>
    <row r="252" spans="2:53" ht="32.25" thickBot="1" x14ac:dyDescent="0.3">
      <c r="G252" s="102" t="s">
        <v>14</v>
      </c>
      <c r="H252" s="102"/>
      <c r="I252" s="102"/>
      <c r="J252" s="102"/>
      <c r="K252" s="102" t="s">
        <v>15</v>
      </c>
      <c r="L252" s="102"/>
      <c r="M252" s="102"/>
      <c r="N252" s="102"/>
      <c r="O252" s="102" t="s">
        <v>59</v>
      </c>
      <c r="P252" s="102"/>
      <c r="Q252" s="102" t="s">
        <v>16</v>
      </c>
      <c r="R252" s="102"/>
      <c r="S252" s="102"/>
      <c r="T252" s="102"/>
      <c r="U252" s="102"/>
      <c r="V252" s="102"/>
      <c r="W252" s="102"/>
      <c r="X252" s="102"/>
      <c r="Y252" s="102" t="s">
        <v>14</v>
      </c>
      <c r="Z252" s="102"/>
      <c r="AA252" s="102"/>
      <c r="AB252" s="102"/>
      <c r="AC252" s="102" t="s">
        <v>15</v>
      </c>
      <c r="AD252" s="102"/>
      <c r="AE252" s="102"/>
      <c r="AF252" s="102"/>
      <c r="AG252" s="102" t="s">
        <v>59</v>
      </c>
      <c r="AH252" s="102"/>
      <c r="AI252" s="102" t="s">
        <v>16</v>
      </c>
      <c r="AJ252" s="102"/>
      <c r="AK252" s="102"/>
      <c r="AL252" s="102"/>
      <c r="AM252" s="102"/>
      <c r="AN252" s="102"/>
      <c r="AO252" s="102"/>
      <c r="AP252" s="102"/>
      <c r="AQ252" s="76" t="s">
        <v>60</v>
      </c>
      <c r="AR252" s="76" t="s">
        <v>70</v>
      </c>
      <c r="AS252" s="76" t="s">
        <v>65</v>
      </c>
      <c r="AT252" s="76" t="s">
        <v>61</v>
      </c>
      <c r="AU252" s="76" t="s">
        <v>62</v>
      </c>
      <c r="AV252" s="76" t="s">
        <v>27</v>
      </c>
      <c r="AW252" s="76" t="s">
        <v>64</v>
      </c>
      <c r="AX252" s="76" t="s">
        <v>63</v>
      </c>
      <c r="AY252" s="76" t="s">
        <v>66</v>
      </c>
    </row>
    <row r="253" spans="2:53" ht="48" thickBot="1" x14ac:dyDescent="0.3">
      <c r="B253" s="20">
        <v>0.28125</v>
      </c>
      <c r="C253" s="14" t="s">
        <v>13</v>
      </c>
      <c r="D253" s="8" t="s">
        <v>6</v>
      </c>
      <c r="F253" s="13"/>
      <c r="G253" s="63" t="s">
        <v>20</v>
      </c>
      <c r="H253" s="64" t="s">
        <v>17</v>
      </c>
      <c r="I253" s="64" t="s">
        <v>19</v>
      </c>
      <c r="J253" s="64" t="s">
        <v>18</v>
      </c>
      <c r="K253" s="64" t="s">
        <v>52</v>
      </c>
      <c r="L253" s="64" t="s">
        <v>51</v>
      </c>
      <c r="M253" s="64" t="s">
        <v>53</v>
      </c>
      <c r="N253" s="64" t="s">
        <v>54</v>
      </c>
      <c r="O253" s="64" t="s">
        <v>20</v>
      </c>
      <c r="P253" s="64" t="s">
        <v>19</v>
      </c>
      <c r="Q253" s="64" t="s">
        <v>55</v>
      </c>
      <c r="R253" s="64" t="s">
        <v>56</v>
      </c>
      <c r="S253" s="64" t="s">
        <v>52</v>
      </c>
      <c r="T253" s="64" t="s">
        <v>51</v>
      </c>
      <c r="U253" s="64" t="s">
        <v>57</v>
      </c>
      <c r="V253" s="64" t="s">
        <v>58</v>
      </c>
      <c r="W253" s="64" t="s">
        <v>53</v>
      </c>
      <c r="X253" s="64" t="s">
        <v>54</v>
      </c>
      <c r="Y253" s="63" t="s">
        <v>20</v>
      </c>
      <c r="Z253" s="64" t="s">
        <v>17</v>
      </c>
      <c r="AA253" s="64" t="s">
        <v>19</v>
      </c>
      <c r="AB253" s="64" t="s">
        <v>18</v>
      </c>
      <c r="AC253" s="64" t="s">
        <v>52</v>
      </c>
      <c r="AD253" s="64" t="s">
        <v>51</v>
      </c>
      <c r="AE253" s="64" t="s">
        <v>53</v>
      </c>
      <c r="AF253" s="64" t="s">
        <v>54</v>
      </c>
      <c r="AG253" s="64" t="s">
        <v>20</v>
      </c>
      <c r="AH253" s="64" t="s">
        <v>19</v>
      </c>
      <c r="AI253" s="64" t="s">
        <v>55</v>
      </c>
      <c r="AJ253" s="64" t="s">
        <v>56</v>
      </c>
      <c r="AK253" s="64" t="s">
        <v>52</v>
      </c>
      <c r="AL253" s="64" t="s">
        <v>51</v>
      </c>
      <c r="AM253" s="64" t="s">
        <v>57</v>
      </c>
      <c r="AN253" s="64" t="s">
        <v>58</v>
      </c>
      <c r="AO253" s="64" t="s">
        <v>53</v>
      </c>
      <c r="AP253" s="64" t="s">
        <v>54</v>
      </c>
      <c r="AQ253" s="46"/>
      <c r="AR253" s="46"/>
      <c r="AS253" s="46"/>
      <c r="AT253" s="46"/>
      <c r="AU253" s="46"/>
      <c r="AV253" s="46"/>
      <c r="AW253" s="46"/>
      <c r="AX253" s="46"/>
    </row>
    <row r="254" spans="2:53" ht="16.5" customHeight="1" thickBot="1" x14ac:dyDescent="0.3">
      <c r="B254" s="1" t="s">
        <v>0</v>
      </c>
      <c r="C254" s="10">
        <v>12</v>
      </c>
      <c r="D254">
        <f>C254</f>
        <v>12</v>
      </c>
      <c r="F254" s="12" t="s">
        <v>0</v>
      </c>
      <c r="G254" s="77"/>
      <c r="H254" s="66"/>
      <c r="I254" s="66"/>
      <c r="J254" s="67"/>
      <c r="K254" s="65"/>
      <c r="L254" s="66"/>
      <c r="M254" s="66"/>
      <c r="N254" s="66"/>
      <c r="O254" s="65">
        <v>2</v>
      </c>
      <c r="P254" s="67">
        <v>3</v>
      </c>
      <c r="Q254" s="65"/>
      <c r="R254" s="66">
        <v>1</v>
      </c>
      <c r="S254" s="66">
        <v>1</v>
      </c>
      <c r="T254" s="66"/>
      <c r="U254" s="66"/>
      <c r="V254" s="66">
        <v>1</v>
      </c>
      <c r="W254" s="66"/>
      <c r="X254" s="67">
        <v>4</v>
      </c>
      <c r="Y254" s="77"/>
      <c r="Z254" s="66"/>
      <c r="AA254" s="66"/>
      <c r="AB254" s="66"/>
      <c r="AC254" s="65"/>
      <c r="AD254" s="66"/>
      <c r="AE254" s="66"/>
      <c r="AF254" s="67"/>
      <c r="AG254" s="66">
        <v>3</v>
      </c>
      <c r="AH254" s="67">
        <v>2</v>
      </c>
      <c r="AI254" s="66">
        <v>3</v>
      </c>
      <c r="AJ254" s="66"/>
      <c r="AK254" s="66">
        <v>2</v>
      </c>
      <c r="AL254" s="66"/>
      <c r="AM254" s="66"/>
      <c r="AN254" s="66"/>
      <c r="AO254" s="66">
        <v>1</v>
      </c>
      <c r="AP254" s="66">
        <v>1</v>
      </c>
      <c r="AQ254" s="65"/>
      <c r="AR254" s="65">
        <v>1</v>
      </c>
      <c r="AS254" s="65"/>
      <c r="AT254" s="65"/>
      <c r="AU254" s="65"/>
      <c r="AV254" s="65"/>
      <c r="AW254" s="65"/>
      <c r="AX254" s="68">
        <v>6</v>
      </c>
      <c r="AY254" s="17">
        <v>3</v>
      </c>
    </row>
    <row r="255" spans="2:53" ht="16.5" customHeight="1" thickBot="1" x14ac:dyDescent="0.3">
      <c r="B255" s="1" t="s">
        <v>1</v>
      </c>
      <c r="C255" s="10"/>
      <c r="D255">
        <f t="shared" ref="D255:D257" si="27">C255</f>
        <v>0</v>
      </c>
      <c r="F255" s="1" t="s">
        <v>1</v>
      </c>
      <c r="G255" s="78"/>
      <c r="H255" s="46"/>
      <c r="I255" s="46"/>
      <c r="J255" s="70"/>
      <c r="K255" s="69"/>
      <c r="L255" s="46"/>
      <c r="M255" s="46"/>
      <c r="N255" s="46"/>
      <c r="O255" s="69"/>
      <c r="P255" s="70"/>
      <c r="Q255" s="69"/>
      <c r="R255" s="46"/>
      <c r="S255" s="46"/>
      <c r="T255" s="46"/>
      <c r="U255" s="46"/>
      <c r="V255" s="46"/>
      <c r="W255" s="46"/>
      <c r="X255" s="70"/>
      <c r="Y255" s="78"/>
      <c r="Z255" s="46"/>
      <c r="AA255" s="46"/>
      <c r="AB255" s="46"/>
      <c r="AC255" s="69"/>
      <c r="AD255" s="46"/>
      <c r="AE255" s="46"/>
      <c r="AF255" s="70"/>
      <c r="AG255" s="46"/>
      <c r="AH255" s="70"/>
      <c r="AI255" s="46"/>
      <c r="AJ255" s="46"/>
      <c r="AK255" s="46"/>
      <c r="AL255" s="46"/>
      <c r="AM255" s="46"/>
      <c r="AN255" s="46"/>
      <c r="AO255" s="46"/>
      <c r="AP255" s="46"/>
      <c r="AQ255" s="69"/>
      <c r="AR255" s="69"/>
      <c r="AS255" s="69"/>
      <c r="AT255" s="69"/>
      <c r="AU255" s="69"/>
      <c r="AV255" s="69"/>
      <c r="AW255" s="69"/>
      <c r="AX255" s="71"/>
      <c r="AY255" s="18"/>
    </row>
    <row r="256" spans="2:53" ht="16.5" customHeight="1" thickBot="1" x14ac:dyDescent="0.3">
      <c r="B256" s="1" t="s">
        <v>2</v>
      </c>
      <c r="C256" s="10"/>
      <c r="D256">
        <f>C256</f>
        <v>0</v>
      </c>
      <c r="F256" s="1" t="s">
        <v>2</v>
      </c>
      <c r="G256" s="78"/>
      <c r="H256" s="46"/>
      <c r="I256" s="46"/>
      <c r="J256" s="70"/>
      <c r="K256" s="69"/>
      <c r="L256" s="46"/>
      <c r="M256" s="46"/>
      <c r="N256" s="46"/>
      <c r="O256" s="69"/>
      <c r="P256" s="70"/>
      <c r="Q256" s="69"/>
      <c r="R256" s="46"/>
      <c r="S256" s="46"/>
      <c r="T256" s="46"/>
      <c r="U256" s="46"/>
      <c r="V256" s="46"/>
      <c r="W256" s="46"/>
      <c r="X256" s="70"/>
      <c r="Y256" s="78"/>
      <c r="Z256" s="46"/>
      <c r="AA256" s="46"/>
      <c r="AB256" s="46"/>
      <c r="AC256" s="69"/>
      <c r="AD256" s="46"/>
      <c r="AE256" s="46"/>
      <c r="AF256" s="70"/>
      <c r="AG256" s="46"/>
      <c r="AH256" s="70"/>
      <c r="AI256" s="46"/>
      <c r="AJ256" s="46"/>
      <c r="AK256" s="46"/>
      <c r="AL256" s="46"/>
      <c r="AM256" s="46"/>
      <c r="AN256" s="46"/>
      <c r="AO256" s="46"/>
      <c r="AP256" s="46"/>
      <c r="AQ256" s="69"/>
      <c r="AR256" s="69"/>
      <c r="AS256" s="69"/>
      <c r="AT256" s="69"/>
      <c r="AU256" s="69"/>
      <c r="AV256" s="69"/>
      <c r="AW256" s="69"/>
      <c r="AX256" s="71"/>
      <c r="AY256" s="18"/>
    </row>
    <row r="257" spans="2:52" ht="16.5" customHeight="1" thickBot="1" x14ac:dyDescent="0.3">
      <c r="B257" s="1" t="s">
        <v>3</v>
      </c>
      <c r="C257" s="10"/>
      <c r="D257" s="7">
        <f t="shared" si="27"/>
        <v>0</v>
      </c>
      <c r="F257" s="1" t="s">
        <v>3</v>
      </c>
      <c r="G257" s="79"/>
      <c r="H257" s="73"/>
      <c r="I257" s="73"/>
      <c r="J257" s="74"/>
      <c r="K257" s="72"/>
      <c r="L257" s="73"/>
      <c r="M257" s="73"/>
      <c r="N257" s="73"/>
      <c r="O257" s="72"/>
      <c r="P257" s="74"/>
      <c r="Q257" s="72"/>
      <c r="R257" s="73"/>
      <c r="S257" s="73"/>
      <c r="T257" s="73"/>
      <c r="U257" s="73"/>
      <c r="V257" s="73"/>
      <c r="W257" s="73"/>
      <c r="X257" s="74"/>
      <c r="Y257" s="79"/>
      <c r="Z257" s="73"/>
      <c r="AA257" s="73"/>
      <c r="AB257" s="73"/>
      <c r="AC257" s="72"/>
      <c r="AD257" s="73"/>
      <c r="AE257" s="73"/>
      <c r="AF257" s="74"/>
      <c r="AG257" s="73"/>
      <c r="AH257" s="74"/>
      <c r="AI257" s="73"/>
      <c r="AJ257" s="73"/>
      <c r="AK257" s="73"/>
      <c r="AL257" s="73"/>
      <c r="AM257" s="73"/>
      <c r="AN257" s="73"/>
      <c r="AO257" s="73"/>
      <c r="AP257" s="73"/>
      <c r="AQ257" s="72"/>
      <c r="AR257" s="72"/>
      <c r="AS257" s="72"/>
      <c r="AT257" s="72"/>
      <c r="AU257" s="72"/>
      <c r="AV257" s="72"/>
      <c r="AW257" s="72"/>
      <c r="AX257" s="75"/>
      <c r="AY257" s="19"/>
    </row>
    <row r="258" spans="2:52" ht="21" customHeight="1" x14ac:dyDescent="0.25">
      <c r="B258" s="2"/>
      <c r="C258" s="3" t="s">
        <v>25</v>
      </c>
      <c r="D258" s="9">
        <f>SUM(D254:D257)</f>
        <v>12</v>
      </c>
      <c r="G258" s="80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80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</row>
    <row r="259" spans="2:52" x14ac:dyDescent="0.25"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</row>
    <row r="260" spans="2:52" ht="15.75" x14ac:dyDescent="0.25">
      <c r="G260" s="100" t="s">
        <v>22</v>
      </c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1" t="s">
        <v>21</v>
      </c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46"/>
      <c r="AR260" s="46"/>
      <c r="AS260" s="46"/>
      <c r="AT260" s="46"/>
      <c r="AU260" s="46"/>
      <c r="AV260" s="46"/>
      <c r="AW260" s="46"/>
      <c r="AX260" s="46"/>
    </row>
    <row r="261" spans="2:52" ht="32.25" thickBot="1" x14ac:dyDescent="0.3">
      <c r="G261" s="102" t="s">
        <v>14</v>
      </c>
      <c r="H261" s="102"/>
      <c r="I261" s="102"/>
      <c r="J261" s="102"/>
      <c r="K261" s="102" t="s">
        <v>15</v>
      </c>
      <c r="L261" s="102"/>
      <c r="M261" s="102"/>
      <c r="N261" s="102"/>
      <c r="O261" s="102" t="s">
        <v>59</v>
      </c>
      <c r="P261" s="102"/>
      <c r="Q261" s="102" t="s">
        <v>16</v>
      </c>
      <c r="R261" s="102"/>
      <c r="S261" s="102"/>
      <c r="T261" s="102"/>
      <c r="U261" s="102"/>
      <c r="V261" s="102"/>
      <c r="W261" s="102"/>
      <c r="X261" s="102"/>
      <c r="Y261" s="102" t="s">
        <v>14</v>
      </c>
      <c r="Z261" s="102"/>
      <c r="AA261" s="102"/>
      <c r="AB261" s="102"/>
      <c r="AC261" s="102" t="s">
        <v>15</v>
      </c>
      <c r="AD261" s="102"/>
      <c r="AE261" s="102"/>
      <c r="AF261" s="102"/>
      <c r="AG261" s="102" t="s">
        <v>59</v>
      </c>
      <c r="AH261" s="102"/>
      <c r="AI261" s="102" t="s">
        <v>16</v>
      </c>
      <c r="AJ261" s="102"/>
      <c r="AK261" s="102"/>
      <c r="AL261" s="102"/>
      <c r="AM261" s="102"/>
      <c r="AN261" s="102"/>
      <c r="AO261" s="102"/>
      <c r="AP261" s="102"/>
      <c r="AQ261" s="76" t="s">
        <v>60</v>
      </c>
      <c r="AR261" s="76" t="s">
        <v>70</v>
      </c>
      <c r="AS261" s="76" t="s">
        <v>65</v>
      </c>
      <c r="AT261" s="76" t="s">
        <v>61</v>
      </c>
      <c r="AU261" s="76" t="s">
        <v>62</v>
      </c>
      <c r="AV261" s="76" t="s">
        <v>27</v>
      </c>
      <c r="AW261" s="76" t="s">
        <v>64</v>
      </c>
      <c r="AX261" s="76" t="s">
        <v>63</v>
      </c>
      <c r="AY261" s="76" t="s">
        <v>66</v>
      </c>
      <c r="AZ261" s="76" t="s">
        <v>67</v>
      </c>
    </row>
    <row r="262" spans="2:52" ht="48" thickBot="1" x14ac:dyDescent="0.3">
      <c r="B262" s="21">
        <v>0.29166666666666669</v>
      </c>
      <c r="C262" s="14" t="s">
        <v>13</v>
      </c>
      <c r="D262" s="8" t="s">
        <v>6</v>
      </c>
      <c r="F262" s="13"/>
      <c r="G262" s="63" t="s">
        <v>20</v>
      </c>
      <c r="H262" s="64" t="s">
        <v>17</v>
      </c>
      <c r="I262" s="64" t="s">
        <v>19</v>
      </c>
      <c r="J262" s="64" t="s">
        <v>18</v>
      </c>
      <c r="K262" s="64" t="s">
        <v>52</v>
      </c>
      <c r="L262" s="64" t="s">
        <v>51</v>
      </c>
      <c r="M262" s="64" t="s">
        <v>53</v>
      </c>
      <c r="N262" s="64" t="s">
        <v>54</v>
      </c>
      <c r="O262" s="64" t="s">
        <v>20</v>
      </c>
      <c r="P262" s="64" t="s">
        <v>19</v>
      </c>
      <c r="Q262" s="64" t="s">
        <v>55</v>
      </c>
      <c r="R262" s="64" t="s">
        <v>56</v>
      </c>
      <c r="S262" s="64" t="s">
        <v>52</v>
      </c>
      <c r="T262" s="64" t="s">
        <v>51</v>
      </c>
      <c r="U262" s="64" t="s">
        <v>57</v>
      </c>
      <c r="V262" s="64" t="s">
        <v>58</v>
      </c>
      <c r="W262" s="64" t="s">
        <v>53</v>
      </c>
      <c r="X262" s="64" t="s">
        <v>54</v>
      </c>
      <c r="Y262" s="63" t="s">
        <v>20</v>
      </c>
      <c r="Z262" s="64" t="s">
        <v>17</v>
      </c>
      <c r="AA262" s="64" t="s">
        <v>19</v>
      </c>
      <c r="AB262" s="64" t="s">
        <v>18</v>
      </c>
      <c r="AC262" s="64" t="s">
        <v>52</v>
      </c>
      <c r="AD262" s="64" t="s">
        <v>51</v>
      </c>
      <c r="AE262" s="64" t="s">
        <v>53</v>
      </c>
      <c r="AF262" s="64" t="s">
        <v>54</v>
      </c>
      <c r="AG262" s="64" t="s">
        <v>20</v>
      </c>
      <c r="AH262" s="64" t="s">
        <v>19</v>
      </c>
      <c r="AI262" s="64" t="s">
        <v>55</v>
      </c>
      <c r="AJ262" s="64" t="s">
        <v>56</v>
      </c>
      <c r="AK262" s="64" t="s">
        <v>52</v>
      </c>
      <c r="AL262" s="64" t="s">
        <v>51</v>
      </c>
      <c r="AM262" s="64" t="s">
        <v>57</v>
      </c>
      <c r="AN262" s="64" t="s">
        <v>58</v>
      </c>
      <c r="AO262" s="64" t="s">
        <v>53</v>
      </c>
      <c r="AP262" s="64" t="s">
        <v>54</v>
      </c>
      <c r="AQ262" s="46"/>
      <c r="AR262" s="46"/>
      <c r="AS262" s="46"/>
      <c r="AT262" s="46"/>
      <c r="AU262" s="46"/>
      <c r="AV262" s="46"/>
      <c r="AW262" s="46"/>
      <c r="AX262" s="46"/>
    </row>
    <row r="263" spans="2:52" ht="16.5" customHeight="1" thickBot="1" x14ac:dyDescent="0.3">
      <c r="B263" s="1" t="s">
        <v>0</v>
      </c>
      <c r="C263" s="10">
        <v>6</v>
      </c>
      <c r="D263">
        <f>C263</f>
        <v>6</v>
      </c>
      <c r="F263" s="12" t="s">
        <v>0</v>
      </c>
      <c r="G263" s="77"/>
      <c r="H263" s="66"/>
      <c r="I263" s="66"/>
      <c r="J263" s="67"/>
      <c r="K263" s="65"/>
      <c r="L263" s="66"/>
      <c r="M263" s="66"/>
      <c r="N263" s="66"/>
      <c r="O263" s="65">
        <v>2</v>
      </c>
      <c r="P263" s="67">
        <v>1</v>
      </c>
      <c r="Q263" s="65">
        <v>1</v>
      </c>
      <c r="R263" s="66"/>
      <c r="S263" s="66">
        <v>2</v>
      </c>
      <c r="T263" s="66"/>
      <c r="U263" s="66"/>
      <c r="V263" s="66"/>
      <c r="W263" s="66"/>
      <c r="X263" s="67"/>
      <c r="Y263" s="77"/>
      <c r="Z263" s="66"/>
      <c r="AA263" s="66"/>
      <c r="AB263" s="66"/>
      <c r="AC263" s="65"/>
      <c r="AD263" s="66"/>
      <c r="AE263" s="66"/>
      <c r="AF263" s="67"/>
      <c r="AG263" s="66">
        <v>1</v>
      </c>
      <c r="AH263" s="67"/>
      <c r="AI263" s="66"/>
      <c r="AJ263" s="66"/>
      <c r="AK263" s="66">
        <v>1</v>
      </c>
      <c r="AL263" s="66"/>
      <c r="AM263" s="66"/>
      <c r="AN263" s="66"/>
      <c r="AO263" s="66">
        <v>2</v>
      </c>
      <c r="AP263" s="66">
        <v>2</v>
      </c>
      <c r="AQ263" s="65">
        <v>2</v>
      </c>
      <c r="AR263" s="65">
        <v>3</v>
      </c>
      <c r="AS263" s="65"/>
      <c r="AT263" s="65"/>
      <c r="AU263" s="65"/>
      <c r="AV263" s="65">
        <v>2</v>
      </c>
      <c r="AW263" s="65"/>
      <c r="AX263" s="68">
        <v>3</v>
      </c>
      <c r="AY263" s="17"/>
      <c r="AZ263" s="17"/>
    </row>
    <row r="264" spans="2:52" ht="16.5" customHeight="1" thickBot="1" x14ac:dyDescent="0.3">
      <c r="B264" s="1" t="s">
        <v>1</v>
      </c>
      <c r="C264" s="10">
        <v>2</v>
      </c>
      <c r="D264">
        <f t="shared" ref="D264:D266" si="28">C264</f>
        <v>2</v>
      </c>
      <c r="F264" s="1" t="s">
        <v>1</v>
      </c>
      <c r="G264" s="78"/>
      <c r="H264" s="46"/>
      <c r="I264" s="46"/>
      <c r="J264" s="70"/>
      <c r="K264" s="69"/>
      <c r="L264" s="46"/>
      <c r="M264" s="46"/>
      <c r="N264" s="46"/>
      <c r="O264" s="69"/>
      <c r="P264" s="70">
        <v>2</v>
      </c>
      <c r="Q264" s="69"/>
      <c r="R264" s="46"/>
      <c r="S264" s="46"/>
      <c r="T264" s="46"/>
      <c r="U264" s="46"/>
      <c r="V264" s="46"/>
      <c r="W264" s="46"/>
      <c r="X264" s="70"/>
      <c r="Y264" s="78"/>
      <c r="Z264" s="46"/>
      <c r="AA264" s="46"/>
      <c r="AB264" s="46"/>
      <c r="AC264" s="69"/>
      <c r="AD264" s="46"/>
      <c r="AE264" s="46"/>
      <c r="AF264" s="70"/>
      <c r="AG264" s="46">
        <v>1</v>
      </c>
      <c r="AH264" s="70"/>
      <c r="AI264" s="46"/>
      <c r="AJ264" s="46"/>
      <c r="AK264" s="46"/>
      <c r="AL264" s="46"/>
      <c r="AM264" s="46"/>
      <c r="AN264" s="46"/>
      <c r="AO264" s="46"/>
      <c r="AP264" s="46">
        <v>1</v>
      </c>
      <c r="AQ264" s="69"/>
      <c r="AR264" s="69">
        <v>1</v>
      </c>
      <c r="AS264" s="69"/>
      <c r="AT264" s="69"/>
      <c r="AU264" s="69"/>
      <c r="AV264" s="69"/>
      <c r="AW264" s="69"/>
      <c r="AX264" s="71"/>
      <c r="AY264" s="18"/>
      <c r="AZ264" s="18">
        <v>2</v>
      </c>
    </row>
    <row r="265" spans="2:52" ht="16.5" customHeight="1" thickBot="1" x14ac:dyDescent="0.3">
      <c r="B265" s="1" t="s">
        <v>2</v>
      </c>
      <c r="C265" s="10">
        <v>1</v>
      </c>
      <c r="D265">
        <f>C265</f>
        <v>1</v>
      </c>
      <c r="F265" s="1" t="s">
        <v>2</v>
      </c>
      <c r="G265" s="78"/>
      <c r="H265" s="46"/>
      <c r="I265" s="46"/>
      <c r="J265" s="70"/>
      <c r="K265" s="69"/>
      <c r="L265" s="46"/>
      <c r="M265" s="46">
        <v>1</v>
      </c>
      <c r="N265" s="46"/>
      <c r="O265" s="69"/>
      <c r="P265" s="70"/>
      <c r="Q265" s="69"/>
      <c r="R265" s="46"/>
      <c r="S265" s="46"/>
      <c r="T265" s="46"/>
      <c r="U265" s="46"/>
      <c r="V265" s="46"/>
      <c r="W265" s="46"/>
      <c r="X265" s="70"/>
      <c r="Y265" s="78"/>
      <c r="Z265" s="46"/>
      <c r="AA265" s="46"/>
      <c r="AB265" s="46"/>
      <c r="AC265" s="69"/>
      <c r="AD265" s="46">
        <v>1</v>
      </c>
      <c r="AE265" s="46"/>
      <c r="AF265" s="70"/>
      <c r="AG265" s="46"/>
      <c r="AH265" s="70"/>
      <c r="AI265" s="46"/>
      <c r="AJ265" s="46"/>
      <c r="AK265" s="46"/>
      <c r="AL265" s="46"/>
      <c r="AM265" s="46"/>
      <c r="AN265" s="46"/>
      <c r="AO265" s="46"/>
      <c r="AP265" s="46"/>
      <c r="AQ265" s="69"/>
      <c r="AR265" s="69"/>
      <c r="AS265" s="69"/>
      <c r="AT265" s="69"/>
      <c r="AU265" s="69"/>
      <c r="AV265" s="69"/>
      <c r="AW265" s="69"/>
      <c r="AX265" s="71"/>
      <c r="AY265" s="18"/>
      <c r="AZ265" s="18">
        <v>1</v>
      </c>
    </row>
    <row r="266" spans="2:52" ht="16.5" customHeight="1" thickBot="1" x14ac:dyDescent="0.3">
      <c r="B266" s="1" t="s">
        <v>3</v>
      </c>
      <c r="C266" s="10"/>
      <c r="D266" s="7">
        <f t="shared" si="28"/>
        <v>0</v>
      </c>
      <c r="F266" s="1" t="s">
        <v>3</v>
      </c>
      <c r="G266" s="79"/>
      <c r="H266" s="73"/>
      <c r="I266" s="73"/>
      <c r="J266" s="74"/>
      <c r="K266" s="72"/>
      <c r="L266" s="73"/>
      <c r="M266" s="73"/>
      <c r="N266" s="73"/>
      <c r="O266" s="72"/>
      <c r="P266" s="74"/>
      <c r="Q266" s="72"/>
      <c r="R266" s="73"/>
      <c r="S266" s="73"/>
      <c r="T266" s="73"/>
      <c r="U266" s="73"/>
      <c r="V266" s="73"/>
      <c r="W266" s="73"/>
      <c r="X266" s="74"/>
      <c r="Y266" s="79"/>
      <c r="Z266" s="73"/>
      <c r="AA266" s="73"/>
      <c r="AB266" s="73"/>
      <c r="AC266" s="72"/>
      <c r="AD266" s="73"/>
      <c r="AE266" s="73"/>
      <c r="AF266" s="74"/>
      <c r="AG266" s="73"/>
      <c r="AH266" s="74"/>
      <c r="AI266" s="73"/>
      <c r="AJ266" s="73"/>
      <c r="AK266" s="73"/>
      <c r="AL266" s="73"/>
      <c r="AM266" s="73"/>
      <c r="AN266" s="73"/>
      <c r="AO266" s="73"/>
      <c r="AP266" s="73"/>
      <c r="AQ266" s="72"/>
      <c r="AR266" s="72"/>
      <c r="AS266" s="72"/>
      <c r="AT266" s="72"/>
      <c r="AU266" s="72"/>
      <c r="AV266" s="72"/>
      <c r="AW266" s="72"/>
      <c r="AX266" s="75"/>
      <c r="AY266" s="19"/>
      <c r="AZ266" s="19"/>
    </row>
    <row r="267" spans="2:52" ht="21" customHeight="1" x14ac:dyDescent="0.25">
      <c r="B267" s="2"/>
      <c r="C267" s="3" t="s">
        <v>25</v>
      </c>
      <c r="D267" s="9">
        <f>SUM(D263:D266)</f>
        <v>9</v>
      </c>
      <c r="G267" s="80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80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</row>
    <row r="268" spans="2:52" x14ac:dyDescent="0.25"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</row>
    <row r="269" spans="2:52" ht="15.75" x14ac:dyDescent="0.25">
      <c r="G269" s="100" t="s">
        <v>22</v>
      </c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1" t="s">
        <v>21</v>
      </c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46"/>
      <c r="AR269" s="46"/>
      <c r="AS269" s="46"/>
      <c r="AT269" s="46"/>
      <c r="AU269" s="46"/>
      <c r="AV269" s="46"/>
      <c r="AW269" s="46"/>
      <c r="AX269" s="46"/>
    </row>
    <row r="270" spans="2:52" ht="32.25" thickBot="1" x14ac:dyDescent="0.3">
      <c r="G270" s="102" t="s">
        <v>14</v>
      </c>
      <c r="H270" s="102"/>
      <c r="I270" s="102"/>
      <c r="J270" s="102"/>
      <c r="K270" s="102" t="s">
        <v>15</v>
      </c>
      <c r="L270" s="102"/>
      <c r="M270" s="102"/>
      <c r="N270" s="102"/>
      <c r="O270" s="102" t="s">
        <v>59</v>
      </c>
      <c r="P270" s="102"/>
      <c r="Q270" s="102" t="s">
        <v>16</v>
      </c>
      <c r="R270" s="102"/>
      <c r="S270" s="102"/>
      <c r="T270" s="102"/>
      <c r="U270" s="102"/>
      <c r="V270" s="102"/>
      <c r="W270" s="102"/>
      <c r="X270" s="102"/>
      <c r="Y270" s="102" t="s">
        <v>14</v>
      </c>
      <c r="Z270" s="102"/>
      <c r="AA270" s="102"/>
      <c r="AB270" s="102"/>
      <c r="AC270" s="102" t="s">
        <v>15</v>
      </c>
      <c r="AD270" s="102"/>
      <c r="AE270" s="102"/>
      <c r="AF270" s="102"/>
      <c r="AG270" s="102" t="s">
        <v>59</v>
      </c>
      <c r="AH270" s="102"/>
      <c r="AI270" s="102" t="s">
        <v>16</v>
      </c>
      <c r="AJ270" s="102"/>
      <c r="AK270" s="102"/>
      <c r="AL270" s="102"/>
      <c r="AM270" s="102"/>
      <c r="AN270" s="102"/>
      <c r="AO270" s="102"/>
      <c r="AP270" s="102"/>
      <c r="AQ270" s="76" t="s">
        <v>60</v>
      </c>
      <c r="AR270" s="76"/>
      <c r="AS270" s="76" t="s">
        <v>65</v>
      </c>
      <c r="AT270" s="76" t="s">
        <v>61</v>
      </c>
      <c r="AU270" s="76" t="s">
        <v>62</v>
      </c>
      <c r="AV270" s="76" t="s">
        <v>27</v>
      </c>
      <c r="AW270" s="76" t="s">
        <v>64</v>
      </c>
      <c r="AX270" s="76" t="s">
        <v>63</v>
      </c>
      <c r="AY270" s="76" t="s">
        <v>66</v>
      </c>
      <c r="AZ270" s="76" t="s">
        <v>67</v>
      </c>
    </row>
    <row r="271" spans="2:52" ht="48" thickBot="1" x14ac:dyDescent="0.3">
      <c r="B271" s="21">
        <v>0.30208333333333331</v>
      </c>
      <c r="C271" s="14" t="s">
        <v>13</v>
      </c>
      <c r="D271" s="8" t="s">
        <v>6</v>
      </c>
      <c r="F271" s="13"/>
      <c r="G271" s="63" t="s">
        <v>20</v>
      </c>
      <c r="H271" s="64" t="s">
        <v>17</v>
      </c>
      <c r="I271" s="64" t="s">
        <v>19</v>
      </c>
      <c r="J271" s="64" t="s">
        <v>18</v>
      </c>
      <c r="K271" s="64" t="s">
        <v>52</v>
      </c>
      <c r="L271" s="64" t="s">
        <v>51</v>
      </c>
      <c r="M271" s="64" t="s">
        <v>53</v>
      </c>
      <c r="N271" s="64" t="s">
        <v>54</v>
      </c>
      <c r="O271" s="64" t="s">
        <v>20</v>
      </c>
      <c r="P271" s="64" t="s">
        <v>19</v>
      </c>
      <c r="Q271" s="64" t="s">
        <v>55</v>
      </c>
      <c r="R271" s="64" t="s">
        <v>56</v>
      </c>
      <c r="S271" s="64" t="s">
        <v>52</v>
      </c>
      <c r="T271" s="64" t="s">
        <v>51</v>
      </c>
      <c r="U271" s="64" t="s">
        <v>57</v>
      </c>
      <c r="V271" s="64" t="s">
        <v>58</v>
      </c>
      <c r="W271" s="64" t="s">
        <v>53</v>
      </c>
      <c r="X271" s="64" t="s">
        <v>54</v>
      </c>
      <c r="Y271" s="63" t="s">
        <v>20</v>
      </c>
      <c r="Z271" s="64" t="s">
        <v>17</v>
      </c>
      <c r="AA271" s="64" t="s">
        <v>19</v>
      </c>
      <c r="AB271" s="64" t="s">
        <v>18</v>
      </c>
      <c r="AC271" s="64" t="s">
        <v>52</v>
      </c>
      <c r="AD271" s="64" t="s">
        <v>51</v>
      </c>
      <c r="AE271" s="64" t="s">
        <v>53</v>
      </c>
      <c r="AF271" s="64" t="s">
        <v>54</v>
      </c>
      <c r="AG271" s="64" t="s">
        <v>20</v>
      </c>
      <c r="AH271" s="64" t="s">
        <v>19</v>
      </c>
      <c r="AI271" s="64" t="s">
        <v>55</v>
      </c>
      <c r="AJ271" s="64" t="s">
        <v>56</v>
      </c>
      <c r="AK271" s="64" t="s">
        <v>52</v>
      </c>
      <c r="AL271" s="64" t="s">
        <v>51</v>
      </c>
      <c r="AM271" s="64" t="s">
        <v>57</v>
      </c>
      <c r="AN271" s="64" t="s">
        <v>58</v>
      </c>
      <c r="AO271" s="64" t="s">
        <v>53</v>
      </c>
      <c r="AP271" s="64" t="s">
        <v>54</v>
      </c>
      <c r="AQ271" s="46"/>
      <c r="AR271" s="46"/>
      <c r="AS271" s="46"/>
      <c r="AT271" s="46"/>
      <c r="AU271" s="46"/>
      <c r="AV271" s="46"/>
      <c r="AW271" s="46"/>
      <c r="AX271" s="46"/>
    </row>
    <row r="272" spans="2:52" ht="16.5" customHeight="1" thickBot="1" x14ac:dyDescent="0.3">
      <c r="B272" s="1" t="s">
        <v>0</v>
      </c>
      <c r="C272" s="10">
        <v>5</v>
      </c>
      <c r="D272">
        <f>C272</f>
        <v>5</v>
      </c>
      <c r="F272" s="12" t="s">
        <v>0</v>
      </c>
      <c r="G272" s="77"/>
      <c r="H272" s="66"/>
      <c r="I272" s="66"/>
      <c r="J272" s="67"/>
      <c r="K272" s="65"/>
      <c r="L272" s="66"/>
      <c r="M272" s="66"/>
      <c r="N272" s="66"/>
      <c r="O272" s="65">
        <v>2</v>
      </c>
      <c r="P272" s="67"/>
      <c r="Q272" s="65"/>
      <c r="R272" s="66">
        <v>1</v>
      </c>
      <c r="S272" s="66"/>
      <c r="T272" s="66"/>
      <c r="U272" s="66"/>
      <c r="V272" s="66">
        <v>2</v>
      </c>
      <c r="W272" s="66"/>
      <c r="X272" s="67"/>
      <c r="Y272" s="77"/>
      <c r="Z272" s="66"/>
      <c r="AA272" s="66"/>
      <c r="AB272" s="66"/>
      <c r="AC272" s="65">
        <v>1</v>
      </c>
      <c r="AD272" s="66"/>
      <c r="AE272" s="66"/>
      <c r="AF272" s="67"/>
      <c r="AG272" s="66"/>
      <c r="AH272" s="67">
        <v>1</v>
      </c>
      <c r="AI272" s="66">
        <v>2</v>
      </c>
      <c r="AJ272" s="66"/>
      <c r="AK272" s="66">
        <v>1</v>
      </c>
      <c r="AL272" s="66"/>
      <c r="AM272" s="66"/>
      <c r="AN272" s="66"/>
      <c r="AO272" s="66"/>
      <c r="AP272" s="66"/>
      <c r="AQ272" s="65"/>
      <c r="AR272" s="65"/>
      <c r="AS272" s="65"/>
      <c r="AT272" s="65"/>
      <c r="AU272" s="65"/>
      <c r="AV272" s="65"/>
      <c r="AW272" s="65"/>
      <c r="AX272" s="68">
        <v>1</v>
      </c>
      <c r="AY272" s="17">
        <v>2</v>
      </c>
      <c r="AZ272" s="17"/>
    </row>
    <row r="273" spans="2:52" ht="16.5" customHeight="1" thickBot="1" x14ac:dyDescent="0.3">
      <c r="B273" s="1" t="s">
        <v>1</v>
      </c>
      <c r="C273" s="10">
        <v>3</v>
      </c>
      <c r="D273">
        <f t="shared" ref="D273:D275" si="29">C273</f>
        <v>3</v>
      </c>
      <c r="F273" s="1" t="s">
        <v>1</v>
      </c>
      <c r="G273" s="78"/>
      <c r="H273" s="46"/>
      <c r="I273" s="46"/>
      <c r="J273" s="70"/>
      <c r="K273" s="69"/>
      <c r="L273" s="46"/>
      <c r="M273" s="46"/>
      <c r="N273" s="46"/>
      <c r="O273" s="69">
        <v>2</v>
      </c>
      <c r="P273" s="70">
        <v>1</v>
      </c>
      <c r="Q273" s="69"/>
      <c r="R273" s="46"/>
      <c r="S273" s="46"/>
      <c r="T273" s="46"/>
      <c r="U273" s="46"/>
      <c r="V273" s="46"/>
      <c r="W273" s="46"/>
      <c r="X273" s="70"/>
      <c r="Y273" s="78"/>
      <c r="Z273" s="46"/>
      <c r="AA273" s="46"/>
      <c r="AB273" s="46"/>
      <c r="AC273" s="69"/>
      <c r="AD273" s="46"/>
      <c r="AE273" s="46"/>
      <c r="AF273" s="70"/>
      <c r="AG273" s="46"/>
      <c r="AH273" s="70">
        <v>2</v>
      </c>
      <c r="AI273" s="46"/>
      <c r="AJ273" s="46">
        <v>1</v>
      </c>
      <c r="AK273" s="46"/>
      <c r="AL273" s="46"/>
      <c r="AM273" s="46"/>
      <c r="AN273" s="46"/>
      <c r="AO273" s="46"/>
      <c r="AP273" s="46"/>
      <c r="AQ273" s="69"/>
      <c r="AR273" s="69"/>
      <c r="AS273" s="69"/>
      <c r="AT273" s="69"/>
      <c r="AU273" s="69"/>
      <c r="AV273" s="69"/>
      <c r="AW273" s="69"/>
      <c r="AX273" s="71"/>
      <c r="AY273" s="18"/>
      <c r="AZ273" s="18">
        <v>3</v>
      </c>
    </row>
    <row r="274" spans="2:52" ht="16.5" customHeight="1" thickBot="1" x14ac:dyDescent="0.3">
      <c r="B274" s="1" t="s">
        <v>2</v>
      </c>
      <c r="C274" s="10"/>
      <c r="D274">
        <f>C274</f>
        <v>0</v>
      </c>
      <c r="F274" s="1" t="s">
        <v>2</v>
      </c>
      <c r="G274" s="78"/>
      <c r="H274" s="46"/>
      <c r="I274" s="46"/>
      <c r="J274" s="70"/>
      <c r="K274" s="69"/>
      <c r="L274" s="46"/>
      <c r="M274" s="46"/>
      <c r="N274" s="46"/>
      <c r="O274" s="69"/>
      <c r="P274" s="70"/>
      <c r="Q274" s="69"/>
      <c r="R274" s="46"/>
      <c r="S274" s="46"/>
      <c r="T274" s="46"/>
      <c r="U274" s="46"/>
      <c r="V274" s="46"/>
      <c r="W274" s="46"/>
      <c r="X274" s="70"/>
      <c r="Y274" s="78"/>
      <c r="Z274" s="46"/>
      <c r="AA274" s="46"/>
      <c r="AB274" s="46"/>
      <c r="AC274" s="69"/>
      <c r="AD274" s="46"/>
      <c r="AE274" s="46"/>
      <c r="AF274" s="70"/>
      <c r="AG274" s="46"/>
      <c r="AH274" s="70"/>
      <c r="AI274" s="46"/>
      <c r="AJ274" s="46"/>
      <c r="AK274" s="46"/>
      <c r="AL274" s="46"/>
      <c r="AM274" s="46"/>
      <c r="AN274" s="46"/>
      <c r="AO274" s="46"/>
      <c r="AP274" s="46"/>
      <c r="AQ274" s="69"/>
      <c r="AR274" s="69"/>
      <c r="AS274" s="69"/>
      <c r="AT274" s="69"/>
      <c r="AU274" s="69"/>
      <c r="AV274" s="69"/>
      <c r="AW274" s="69"/>
      <c r="AX274" s="71"/>
      <c r="AY274" s="18"/>
      <c r="AZ274" s="18"/>
    </row>
    <row r="275" spans="2:52" ht="16.5" customHeight="1" thickBot="1" x14ac:dyDescent="0.3">
      <c r="B275" s="1" t="s">
        <v>68</v>
      </c>
      <c r="C275" s="10"/>
      <c r="D275" s="7">
        <f t="shared" si="29"/>
        <v>0</v>
      </c>
      <c r="F275" s="1" t="s">
        <v>3</v>
      </c>
      <c r="G275" s="79"/>
      <c r="H275" s="73"/>
      <c r="I275" s="73"/>
      <c r="J275" s="74"/>
      <c r="K275" s="72"/>
      <c r="L275" s="73"/>
      <c r="M275" s="73"/>
      <c r="N275" s="73"/>
      <c r="O275" s="72"/>
      <c r="P275" s="74"/>
      <c r="Q275" s="72"/>
      <c r="R275" s="73"/>
      <c r="S275" s="73"/>
      <c r="T275" s="73"/>
      <c r="U275" s="73"/>
      <c r="V275" s="73"/>
      <c r="W275" s="73"/>
      <c r="X275" s="74"/>
      <c r="Y275" s="79"/>
      <c r="Z275" s="73"/>
      <c r="AA275" s="73"/>
      <c r="AB275" s="73"/>
      <c r="AC275" s="72"/>
      <c r="AD275" s="73"/>
      <c r="AE275" s="73"/>
      <c r="AF275" s="74"/>
      <c r="AG275" s="73"/>
      <c r="AH275" s="74"/>
      <c r="AI275" s="73"/>
      <c r="AJ275" s="73"/>
      <c r="AK275" s="73"/>
      <c r="AL275" s="73"/>
      <c r="AM275" s="73"/>
      <c r="AN275" s="73"/>
      <c r="AO275" s="73"/>
      <c r="AP275" s="73"/>
      <c r="AQ275" s="72"/>
      <c r="AR275" s="72"/>
      <c r="AS275" s="72"/>
      <c r="AT275" s="72"/>
      <c r="AU275" s="72"/>
      <c r="AV275" s="72"/>
      <c r="AW275" s="72"/>
      <c r="AX275" s="75"/>
      <c r="AY275" s="19"/>
      <c r="AZ275" s="19"/>
    </row>
    <row r="276" spans="2:52" ht="21" customHeight="1" x14ac:dyDescent="0.25">
      <c r="B276" s="2"/>
      <c r="C276" s="3" t="s">
        <v>25</v>
      </c>
      <c r="D276" s="9">
        <f>SUM(D272:D275)</f>
        <v>8</v>
      </c>
      <c r="G276" s="99" t="s">
        <v>72</v>
      </c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80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</row>
    <row r="277" spans="2:52" x14ac:dyDescent="0.25"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</row>
    <row r="278" spans="2:52" ht="15.75" x14ac:dyDescent="0.25">
      <c r="G278" s="100" t="s">
        <v>22</v>
      </c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1" t="s">
        <v>21</v>
      </c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46"/>
      <c r="AR278" s="46"/>
      <c r="AS278" s="46"/>
      <c r="AT278" s="46"/>
      <c r="AU278" s="46"/>
      <c r="AV278" s="46"/>
      <c r="AW278" s="46"/>
      <c r="AX278" s="46"/>
    </row>
    <row r="279" spans="2:52" ht="32.25" thickBot="1" x14ac:dyDescent="0.3">
      <c r="G279" s="102" t="s">
        <v>14</v>
      </c>
      <c r="H279" s="102"/>
      <c r="I279" s="102"/>
      <c r="J279" s="102"/>
      <c r="K279" s="102" t="s">
        <v>15</v>
      </c>
      <c r="L279" s="102"/>
      <c r="M279" s="102"/>
      <c r="N279" s="102"/>
      <c r="O279" s="102" t="s">
        <v>59</v>
      </c>
      <c r="P279" s="102"/>
      <c r="Q279" s="102" t="s">
        <v>16</v>
      </c>
      <c r="R279" s="102"/>
      <c r="S279" s="102"/>
      <c r="T279" s="102"/>
      <c r="U279" s="102"/>
      <c r="V279" s="102"/>
      <c r="W279" s="102"/>
      <c r="X279" s="102"/>
      <c r="Y279" s="102" t="s">
        <v>14</v>
      </c>
      <c r="Z279" s="102"/>
      <c r="AA279" s="102"/>
      <c r="AB279" s="102"/>
      <c r="AC279" s="102" t="s">
        <v>15</v>
      </c>
      <c r="AD279" s="102"/>
      <c r="AE279" s="102"/>
      <c r="AF279" s="102"/>
      <c r="AG279" s="102" t="s">
        <v>59</v>
      </c>
      <c r="AH279" s="102"/>
      <c r="AI279" s="102" t="s">
        <v>16</v>
      </c>
      <c r="AJ279" s="102"/>
      <c r="AK279" s="102"/>
      <c r="AL279" s="102"/>
      <c r="AM279" s="102"/>
      <c r="AN279" s="102"/>
      <c r="AO279" s="102"/>
      <c r="AP279" s="102"/>
      <c r="AQ279" s="76" t="s">
        <v>60</v>
      </c>
      <c r="AR279" s="76"/>
      <c r="AS279" s="76" t="s">
        <v>65</v>
      </c>
      <c r="AT279" s="76" t="s">
        <v>61</v>
      </c>
      <c r="AU279" s="76" t="s">
        <v>62</v>
      </c>
      <c r="AV279" s="76" t="s">
        <v>27</v>
      </c>
      <c r="AW279" s="76" t="s">
        <v>64</v>
      </c>
      <c r="AX279" s="76" t="s">
        <v>63</v>
      </c>
      <c r="AY279" s="76" t="s">
        <v>66</v>
      </c>
      <c r="AZ279" s="76" t="s">
        <v>67</v>
      </c>
    </row>
    <row r="280" spans="2:52" ht="48" thickBot="1" x14ac:dyDescent="0.3">
      <c r="B280" s="21">
        <v>0.3125</v>
      </c>
      <c r="C280" s="14" t="s">
        <v>13</v>
      </c>
      <c r="D280" s="8" t="s">
        <v>6</v>
      </c>
      <c r="F280" s="13"/>
      <c r="G280" s="63" t="s">
        <v>20</v>
      </c>
      <c r="H280" s="64" t="s">
        <v>17</v>
      </c>
      <c r="I280" s="64" t="s">
        <v>19</v>
      </c>
      <c r="J280" s="64" t="s">
        <v>18</v>
      </c>
      <c r="K280" s="64" t="s">
        <v>52</v>
      </c>
      <c r="L280" s="64" t="s">
        <v>51</v>
      </c>
      <c r="M280" s="64" t="s">
        <v>53</v>
      </c>
      <c r="N280" s="64" t="s">
        <v>54</v>
      </c>
      <c r="O280" s="64" t="s">
        <v>20</v>
      </c>
      <c r="P280" s="64" t="s">
        <v>19</v>
      </c>
      <c r="Q280" s="64" t="s">
        <v>55</v>
      </c>
      <c r="R280" s="64" t="s">
        <v>56</v>
      </c>
      <c r="S280" s="64" t="s">
        <v>52</v>
      </c>
      <c r="T280" s="64" t="s">
        <v>51</v>
      </c>
      <c r="U280" s="64" t="s">
        <v>57</v>
      </c>
      <c r="V280" s="64" t="s">
        <v>58</v>
      </c>
      <c r="W280" s="64" t="s">
        <v>53</v>
      </c>
      <c r="X280" s="64" t="s">
        <v>54</v>
      </c>
      <c r="Y280" s="63" t="s">
        <v>20</v>
      </c>
      <c r="Z280" s="64" t="s">
        <v>17</v>
      </c>
      <c r="AA280" s="64" t="s">
        <v>19</v>
      </c>
      <c r="AB280" s="64" t="s">
        <v>18</v>
      </c>
      <c r="AC280" s="64" t="s">
        <v>52</v>
      </c>
      <c r="AD280" s="64" t="s">
        <v>51</v>
      </c>
      <c r="AE280" s="64" t="s">
        <v>53</v>
      </c>
      <c r="AF280" s="64" t="s">
        <v>54</v>
      </c>
      <c r="AG280" s="64" t="s">
        <v>20</v>
      </c>
      <c r="AH280" s="64" t="s">
        <v>19</v>
      </c>
      <c r="AI280" s="64" t="s">
        <v>55</v>
      </c>
      <c r="AJ280" s="64" t="s">
        <v>56</v>
      </c>
      <c r="AK280" s="64" t="s">
        <v>52</v>
      </c>
      <c r="AL280" s="64" t="s">
        <v>51</v>
      </c>
      <c r="AM280" s="64" t="s">
        <v>57</v>
      </c>
      <c r="AN280" s="64" t="s">
        <v>58</v>
      </c>
      <c r="AO280" s="64" t="s">
        <v>53</v>
      </c>
      <c r="AP280" s="64" t="s">
        <v>54</v>
      </c>
      <c r="AQ280" s="46"/>
      <c r="AR280" s="46"/>
      <c r="AS280" s="46"/>
      <c r="AT280" s="46"/>
      <c r="AU280" s="46"/>
      <c r="AV280" s="46"/>
      <c r="AW280" s="46"/>
      <c r="AX280" s="46"/>
    </row>
    <row r="281" spans="2:52" ht="16.5" customHeight="1" thickBot="1" x14ac:dyDescent="0.3">
      <c r="B281" s="1" t="s">
        <v>0</v>
      </c>
      <c r="C281" s="10">
        <v>3</v>
      </c>
      <c r="D281">
        <f>C281</f>
        <v>3</v>
      </c>
      <c r="F281" s="12" t="s">
        <v>0</v>
      </c>
      <c r="G281" s="77"/>
      <c r="H281" s="66"/>
      <c r="I281" s="66"/>
      <c r="J281" s="67"/>
      <c r="K281" s="65"/>
      <c r="L281" s="66"/>
      <c r="M281" s="66"/>
      <c r="N281" s="66"/>
      <c r="O281" s="65"/>
      <c r="P281" s="67">
        <v>1</v>
      </c>
      <c r="Q281" s="65"/>
      <c r="R281" s="66"/>
      <c r="S281" s="66"/>
      <c r="T281" s="66"/>
      <c r="U281" s="66"/>
      <c r="V281" s="66">
        <v>1</v>
      </c>
      <c r="W281" s="66"/>
      <c r="X281" s="67">
        <v>1</v>
      </c>
      <c r="Y281" s="77"/>
      <c r="Z281" s="66"/>
      <c r="AA281" s="66"/>
      <c r="AB281" s="66"/>
      <c r="AC281" s="65"/>
      <c r="AD281" s="66">
        <v>1</v>
      </c>
      <c r="AE281" s="66"/>
      <c r="AF281" s="67"/>
      <c r="AG281" s="66"/>
      <c r="AH281" s="67"/>
      <c r="AI281" s="66">
        <v>2</v>
      </c>
      <c r="AJ281" s="66"/>
      <c r="AK281" s="66"/>
      <c r="AL281" s="66"/>
      <c r="AM281" s="66"/>
      <c r="AN281" s="66"/>
      <c r="AO281" s="66"/>
      <c r="AP281" s="66"/>
      <c r="AQ281" s="65"/>
      <c r="AR281" s="65"/>
      <c r="AS281" s="65"/>
      <c r="AT281" s="65"/>
      <c r="AU281" s="65"/>
      <c r="AV281" s="65"/>
      <c r="AW281" s="65"/>
      <c r="AX281" s="68">
        <v>1</v>
      </c>
      <c r="AY281" s="17"/>
      <c r="AZ281" s="17"/>
    </row>
    <row r="282" spans="2:52" ht="16.5" customHeight="1" thickBot="1" x14ac:dyDescent="0.3">
      <c r="B282" s="1" t="s">
        <v>1</v>
      </c>
      <c r="C282" s="10">
        <v>1</v>
      </c>
      <c r="D282">
        <f t="shared" ref="D282:D284" si="30">C282</f>
        <v>1</v>
      </c>
      <c r="F282" s="1" t="s">
        <v>1</v>
      </c>
      <c r="G282" s="78"/>
      <c r="H282" s="46"/>
      <c r="I282" s="46">
        <v>1</v>
      </c>
      <c r="J282" s="70"/>
      <c r="K282" s="69"/>
      <c r="L282" s="46"/>
      <c r="M282" s="46"/>
      <c r="N282" s="46"/>
      <c r="O282" s="69"/>
      <c r="P282" s="70"/>
      <c r="Q282" s="69"/>
      <c r="R282" s="46"/>
      <c r="S282" s="46"/>
      <c r="T282" s="46"/>
      <c r="U282" s="46"/>
      <c r="V282" s="46"/>
      <c r="W282" s="46"/>
      <c r="X282" s="70"/>
      <c r="Y282" s="78">
        <v>1</v>
      </c>
      <c r="Z282" s="46"/>
      <c r="AA282" s="46"/>
      <c r="AB282" s="46"/>
      <c r="AC282" s="69"/>
      <c r="AD282" s="46"/>
      <c r="AE282" s="46"/>
      <c r="AF282" s="70"/>
      <c r="AG282" s="46"/>
      <c r="AH282" s="70"/>
      <c r="AI282" s="46"/>
      <c r="AJ282" s="46"/>
      <c r="AK282" s="46"/>
      <c r="AL282" s="46"/>
      <c r="AM282" s="46"/>
      <c r="AN282" s="46"/>
      <c r="AO282" s="46"/>
      <c r="AP282" s="46"/>
      <c r="AQ282" s="69"/>
      <c r="AR282" s="69"/>
      <c r="AS282" s="69"/>
      <c r="AT282" s="69"/>
      <c r="AU282" s="69"/>
      <c r="AV282" s="69"/>
      <c r="AW282" s="69"/>
      <c r="AX282" s="71"/>
      <c r="AY282" s="18"/>
      <c r="AZ282" s="18"/>
    </row>
    <row r="283" spans="2:52" ht="16.5" customHeight="1" thickBot="1" x14ac:dyDescent="0.3">
      <c r="B283" s="1" t="s">
        <v>2</v>
      </c>
      <c r="C283" s="10"/>
      <c r="D283">
        <f>C283</f>
        <v>0</v>
      </c>
      <c r="F283" s="1" t="s">
        <v>2</v>
      </c>
      <c r="G283" s="78"/>
      <c r="H283" s="46"/>
      <c r="I283" s="46"/>
      <c r="J283" s="70"/>
      <c r="K283" s="69"/>
      <c r="L283" s="46"/>
      <c r="M283" s="46"/>
      <c r="N283" s="46"/>
      <c r="O283" s="69"/>
      <c r="P283" s="70"/>
      <c r="Q283" s="69"/>
      <c r="R283" s="46"/>
      <c r="S283" s="46"/>
      <c r="T283" s="46"/>
      <c r="U283" s="46"/>
      <c r="V283" s="46"/>
      <c r="W283" s="46"/>
      <c r="X283" s="70"/>
      <c r="Y283" s="78"/>
      <c r="Z283" s="46"/>
      <c r="AA283" s="46"/>
      <c r="AB283" s="46"/>
      <c r="AC283" s="69"/>
      <c r="AD283" s="46"/>
      <c r="AE283" s="46"/>
      <c r="AF283" s="70"/>
      <c r="AG283" s="46"/>
      <c r="AH283" s="70"/>
      <c r="AI283" s="46"/>
      <c r="AJ283" s="46"/>
      <c r="AK283" s="46"/>
      <c r="AL283" s="46"/>
      <c r="AM283" s="46"/>
      <c r="AN283" s="46"/>
      <c r="AO283" s="46"/>
      <c r="AP283" s="46"/>
      <c r="AQ283" s="69"/>
      <c r="AR283" s="69"/>
      <c r="AS283" s="69"/>
      <c r="AT283" s="69"/>
      <c r="AU283" s="69"/>
      <c r="AV283" s="69"/>
      <c r="AW283" s="69"/>
      <c r="AX283" s="71"/>
      <c r="AY283" s="18"/>
      <c r="AZ283" s="18"/>
    </row>
    <row r="284" spans="2:52" ht="16.5" customHeight="1" thickBot="1" x14ac:dyDescent="0.3">
      <c r="B284" s="1" t="s">
        <v>3</v>
      </c>
      <c r="C284" s="10"/>
      <c r="D284" s="7">
        <f t="shared" si="30"/>
        <v>0</v>
      </c>
      <c r="F284" s="1" t="s">
        <v>3</v>
      </c>
      <c r="G284" s="79"/>
      <c r="H284" s="73"/>
      <c r="I284" s="73"/>
      <c r="J284" s="74"/>
      <c r="K284" s="72"/>
      <c r="L284" s="73"/>
      <c r="M284" s="73"/>
      <c r="N284" s="73"/>
      <c r="O284" s="72"/>
      <c r="P284" s="74"/>
      <c r="Q284" s="72"/>
      <c r="R284" s="73"/>
      <c r="S284" s="73"/>
      <c r="T284" s="73"/>
      <c r="U284" s="73"/>
      <c r="V284" s="73"/>
      <c r="W284" s="73"/>
      <c r="X284" s="74"/>
      <c r="Y284" s="79"/>
      <c r="Z284" s="73"/>
      <c r="AA284" s="73"/>
      <c r="AB284" s="73"/>
      <c r="AC284" s="72"/>
      <c r="AD284" s="73"/>
      <c r="AE284" s="73"/>
      <c r="AF284" s="74"/>
      <c r="AG284" s="73"/>
      <c r="AH284" s="74"/>
      <c r="AI284" s="73"/>
      <c r="AJ284" s="73"/>
      <c r="AK284" s="73"/>
      <c r="AL284" s="73"/>
      <c r="AM284" s="73"/>
      <c r="AN284" s="73"/>
      <c r="AO284" s="73"/>
      <c r="AP284" s="73"/>
      <c r="AQ284" s="72"/>
      <c r="AR284" s="72"/>
      <c r="AS284" s="72"/>
      <c r="AT284" s="72"/>
      <c r="AU284" s="72"/>
      <c r="AV284" s="72"/>
      <c r="AW284" s="72"/>
      <c r="AX284" s="75"/>
      <c r="AY284" s="19"/>
      <c r="AZ284" s="19"/>
    </row>
    <row r="285" spans="2:52" ht="21" customHeight="1" x14ac:dyDescent="0.25">
      <c r="B285" s="2"/>
      <c r="C285" s="3" t="s">
        <v>25</v>
      </c>
      <c r="D285" s="9">
        <f>SUM(D281:D284)</f>
        <v>4</v>
      </c>
      <c r="G285" s="80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80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</row>
    <row r="286" spans="2:52" x14ac:dyDescent="0.25"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</row>
    <row r="287" spans="2:52" ht="15.75" x14ac:dyDescent="0.25">
      <c r="G287" s="100" t="s">
        <v>22</v>
      </c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1" t="s">
        <v>21</v>
      </c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46"/>
      <c r="AR287" s="46"/>
      <c r="AS287" s="46"/>
      <c r="AT287" s="46"/>
      <c r="AU287" s="46"/>
      <c r="AV287" s="46"/>
      <c r="AW287" s="46"/>
      <c r="AX287" s="46"/>
    </row>
    <row r="288" spans="2:52" ht="32.25" thickBot="1" x14ac:dyDescent="0.3">
      <c r="G288" s="102" t="s">
        <v>14</v>
      </c>
      <c r="H288" s="102"/>
      <c r="I288" s="102"/>
      <c r="J288" s="102"/>
      <c r="K288" s="102" t="s">
        <v>15</v>
      </c>
      <c r="L288" s="102"/>
      <c r="M288" s="102"/>
      <c r="N288" s="102"/>
      <c r="O288" s="102" t="s">
        <v>59</v>
      </c>
      <c r="P288" s="102"/>
      <c r="Q288" s="102" t="s">
        <v>16</v>
      </c>
      <c r="R288" s="102"/>
      <c r="S288" s="102"/>
      <c r="T288" s="102"/>
      <c r="U288" s="102"/>
      <c r="V288" s="102"/>
      <c r="W288" s="102"/>
      <c r="X288" s="102"/>
      <c r="Y288" s="102" t="s">
        <v>14</v>
      </c>
      <c r="Z288" s="102"/>
      <c r="AA288" s="102"/>
      <c r="AB288" s="102"/>
      <c r="AC288" s="102" t="s">
        <v>15</v>
      </c>
      <c r="AD288" s="102"/>
      <c r="AE288" s="102"/>
      <c r="AF288" s="102"/>
      <c r="AG288" s="102" t="s">
        <v>59</v>
      </c>
      <c r="AH288" s="102"/>
      <c r="AI288" s="102" t="s">
        <v>16</v>
      </c>
      <c r="AJ288" s="102"/>
      <c r="AK288" s="102"/>
      <c r="AL288" s="102"/>
      <c r="AM288" s="102"/>
      <c r="AN288" s="102"/>
      <c r="AO288" s="102"/>
      <c r="AP288" s="102"/>
      <c r="AQ288" s="76" t="s">
        <v>60</v>
      </c>
      <c r="AR288" s="76"/>
      <c r="AS288" s="76" t="s">
        <v>65</v>
      </c>
      <c r="AT288" s="76" t="s">
        <v>61</v>
      </c>
      <c r="AU288" s="76" t="s">
        <v>62</v>
      </c>
      <c r="AV288" s="76" t="s">
        <v>27</v>
      </c>
      <c r="AW288" s="76" t="s">
        <v>64</v>
      </c>
      <c r="AX288" s="76" t="s">
        <v>63</v>
      </c>
      <c r="AY288" s="76" t="s">
        <v>66</v>
      </c>
      <c r="AZ288" s="76" t="s">
        <v>67</v>
      </c>
    </row>
    <row r="289" spans="2:52" ht="48" thickBot="1" x14ac:dyDescent="0.3">
      <c r="B289" s="21">
        <v>0.32291666666666669</v>
      </c>
      <c r="C289" s="14" t="s">
        <v>13</v>
      </c>
      <c r="D289" s="8" t="s">
        <v>6</v>
      </c>
      <c r="F289" s="13"/>
      <c r="G289" s="63" t="s">
        <v>20</v>
      </c>
      <c r="H289" s="64" t="s">
        <v>17</v>
      </c>
      <c r="I289" s="64" t="s">
        <v>19</v>
      </c>
      <c r="J289" s="64" t="s">
        <v>18</v>
      </c>
      <c r="K289" s="64" t="s">
        <v>52</v>
      </c>
      <c r="L289" s="64" t="s">
        <v>51</v>
      </c>
      <c r="M289" s="64" t="s">
        <v>53</v>
      </c>
      <c r="N289" s="64" t="s">
        <v>54</v>
      </c>
      <c r="O289" s="64" t="s">
        <v>20</v>
      </c>
      <c r="P289" s="64" t="s">
        <v>19</v>
      </c>
      <c r="Q289" s="64" t="s">
        <v>55</v>
      </c>
      <c r="R289" s="64" t="s">
        <v>56</v>
      </c>
      <c r="S289" s="64" t="s">
        <v>52</v>
      </c>
      <c r="T289" s="64" t="s">
        <v>51</v>
      </c>
      <c r="U289" s="64" t="s">
        <v>57</v>
      </c>
      <c r="V289" s="64" t="s">
        <v>58</v>
      </c>
      <c r="W289" s="64" t="s">
        <v>53</v>
      </c>
      <c r="X289" s="64" t="s">
        <v>54</v>
      </c>
      <c r="Y289" s="63" t="s">
        <v>20</v>
      </c>
      <c r="Z289" s="64" t="s">
        <v>17</v>
      </c>
      <c r="AA289" s="64" t="s">
        <v>19</v>
      </c>
      <c r="AB289" s="64" t="s">
        <v>18</v>
      </c>
      <c r="AC289" s="64" t="s">
        <v>52</v>
      </c>
      <c r="AD289" s="64" t="s">
        <v>51</v>
      </c>
      <c r="AE289" s="64" t="s">
        <v>53</v>
      </c>
      <c r="AF289" s="64" t="s">
        <v>54</v>
      </c>
      <c r="AG289" s="64" t="s">
        <v>20</v>
      </c>
      <c r="AH289" s="64" t="s">
        <v>19</v>
      </c>
      <c r="AI289" s="64" t="s">
        <v>55</v>
      </c>
      <c r="AJ289" s="64" t="s">
        <v>56</v>
      </c>
      <c r="AK289" s="64" t="s">
        <v>52</v>
      </c>
      <c r="AL289" s="64" t="s">
        <v>51</v>
      </c>
      <c r="AM289" s="64" t="s">
        <v>57</v>
      </c>
      <c r="AN289" s="64" t="s">
        <v>58</v>
      </c>
      <c r="AO289" s="64" t="s">
        <v>53</v>
      </c>
      <c r="AP289" s="64" t="s">
        <v>54</v>
      </c>
      <c r="AQ289" s="46"/>
      <c r="AR289" s="46"/>
      <c r="AS289" s="46"/>
      <c r="AT289" s="46"/>
      <c r="AU289" s="46"/>
      <c r="AV289" s="46"/>
      <c r="AW289" s="46"/>
      <c r="AX289" s="46"/>
    </row>
    <row r="290" spans="2:52" ht="16.5" customHeight="1" thickBot="1" x14ac:dyDescent="0.3">
      <c r="B290" s="1" t="s">
        <v>0</v>
      </c>
      <c r="C290" s="10">
        <v>5</v>
      </c>
      <c r="D290">
        <f>C290</f>
        <v>5</v>
      </c>
      <c r="F290" s="12" t="s">
        <v>0</v>
      </c>
      <c r="G290" s="77"/>
      <c r="H290" s="66"/>
      <c r="I290" s="66">
        <v>1</v>
      </c>
      <c r="J290" s="67"/>
      <c r="K290" s="65"/>
      <c r="L290" s="66"/>
      <c r="M290" s="66"/>
      <c r="N290" s="66"/>
      <c r="O290" s="65">
        <v>2</v>
      </c>
      <c r="P290" s="67"/>
      <c r="Q290" s="65"/>
      <c r="R290" s="66">
        <v>1</v>
      </c>
      <c r="S290" s="66"/>
      <c r="T290" s="66"/>
      <c r="U290" s="66">
        <v>1</v>
      </c>
      <c r="V290" s="66"/>
      <c r="W290" s="66"/>
      <c r="X290" s="67"/>
      <c r="Y290" s="77">
        <v>1</v>
      </c>
      <c r="Z290" s="66"/>
      <c r="AA290" s="66"/>
      <c r="AB290" s="66"/>
      <c r="AC290" s="65"/>
      <c r="AD290" s="66"/>
      <c r="AE290" s="66"/>
      <c r="AF290" s="67"/>
      <c r="AG290" s="66"/>
      <c r="AH290" s="67">
        <v>2</v>
      </c>
      <c r="AI290" s="66">
        <v>1</v>
      </c>
      <c r="AJ290" s="66"/>
      <c r="AK290" s="66"/>
      <c r="AL290" s="66">
        <v>1</v>
      </c>
      <c r="AM290" s="66"/>
      <c r="AN290" s="66"/>
      <c r="AO290" s="66"/>
      <c r="AP290" s="66"/>
      <c r="AQ290" s="65"/>
      <c r="AR290" s="65"/>
      <c r="AS290" s="65"/>
      <c r="AT290" s="65"/>
      <c r="AU290" s="65"/>
      <c r="AV290" s="65"/>
      <c r="AW290" s="65"/>
      <c r="AX290" s="68">
        <v>3</v>
      </c>
      <c r="AY290" s="17">
        <v>1</v>
      </c>
      <c r="AZ290" s="17"/>
    </row>
    <row r="291" spans="2:52" ht="16.5" customHeight="1" thickBot="1" x14ac:dyDescent="0.3">
      <c r="B291" s="1" t="s">
        <v>1</v>
      </c>
      <c r="C291" s="10">
        <v>3</v>
      </c>
      <c r="D291">
        <f t="shared" ref="D291:D293" si="31">C291</f>
        <v>3</v>
      </c>
      <c r="F291" s="1" t="s">
        <v>1</v>
      </c>
      <c r="G291" s="78"/>
      <c r="H291" s="46"/>
      <c r="I291" s="46"/>
      <c r="J291" s="70"/>
      <c r="K291" s="69"/>
      <c r="L291" s="46"/>
      <c r="M291" s="46"/>
      <c r="N291" s="46"/>
      <c r="O291" s="69"/>
      <c r="P291" s="70">
        <v>1</v>
      </c>
      <c r="Q291" s="69"/>
      <c r="R291" s="46"/>
      <c r="S291" s="46"/>
      <c r="T291" s="46"/>
      <c r="U291" s="46"/>
      <c r="V291" s="46">
        <v>2</v>
      </c>
      <c r="W291" s="46"/>
      <c r="X291" s="70"/>
      <c r="Y291" s="78">
        <v>2</v>
      </c>
      <c r="Z291" s="46"/>
      <c r="AA291" s="46"/>
      <c r="AB291" s="46"/>
      <c r="AC291" s="69"/>
      <c r="AD291" s="46"/>
      <c r="AE291" s="46"/>
      <c r="AF291" s="70"/>
      <c r="AG291" s="46">
        <v>1</v>
      </c>
      <c r="AH291" s="70"/>
      <c r="AI291" s="46"/>
      <c r="AJ291" s="46"/>
      <c r="AK291" s="46"/>
      <c r="AL291" s="46"/>
      <c r="AM291" s="46"/>
      <c r="AN291" s="46"/>
      <c r="AO291" s="46"/>
      <c r="AP291" s="46"/>
      <c r="AQ291" s="69"/>
      <c r="AR291" s="69"/>
      <c r="AS291" s="69"/>
      <c r="AT291" s="69"/>
      <c r="AU291" s="69"/>
      <c r="AV291" s="69"/>
      <c r="AW291" s="69"/>
      <c r="AX291" s="71"/>
      <c r="AY291" s="18"/>
      <c r="AZ291" s="18">
        <v>3</v>
      </c>
    </row>
    <row r="292" spans="2:52" ht="16.5" customHeight="1" thickBot="1" x14ac:dyDescent="0.3">
      <c r="B292" s="1" t="s">
        <v>2</v>
      </c>
      <c r="C292" s="10"/>
      <c r="D292">
        <f>C292</f>
        <v>0</v>
      </c>
      <c r="F292" s="1" t="s">
        <v>2</v>
      </c>
      <c r="G292" s="78"/>
      <c r="H292" s="46"/>
      <c r="I292" s="46"/>
      <c r="J292" s="70"/>
      <c r="K292" s="69"/>
      <c r="L292" s="46"/>
      <c r="M292" s="46"/>
      <c r="N292" s="46"/>
      <c r="O292" s="69"/>
      <c r="P292" s="70"/>
      <c r="Q292" s="69"/>
      <c r="R292" s="46"/>
      <c r="S292" s="46"/>
      <c r="T292" s="46"/>
      <c r="U292" s="46"/>
      <c r="V292" s="46"/>
      <c r="W292" s="46"/>
      <c r="X292" s="70"/>
      <c r="Y292" s="78"/>
      <c r="Z292" s="46"/>
      <c r="AA292" s="46"/>
      <c r="AB292" s="46"/>
      <c r="AC292" s="69"/>
      <c r="AD292" s="46"/>
      <c r="AE292" s="46"/>
      <c r="AF292" s="70"/>
      <c r="AG292" s="46"/>
      <c r="AH292" s="70"/>
      <c r="AI292" s="46"/>
      <c r="AJ292" s="46"/>
      <c r="AK292" s="46"/>
      <c r="AL292" s="46"/>
      <c r="AM292" s="46"/>
      <c r="AN292" s="46"/>
      <c r="AO292" s="46"/>
      <c r="AP292" s="46"/>
      <c r="AQ292" s="69"/>
      <c r="AR292" s="69"/>
      <c r="AS292" s="69"/>
      <c r="AT292" s="69"/>
      <c r="AU292" s="69"/>
      <c r="AV292" s="69"/>
      <c r="AW292" s="69"/>
      <c r="AX292" s="71"/>
      <c r="AY292" s="18"/>
      <c r="AZ292" s="18"/>
    </row>
    <row r="293" spans="2:52" ht="16.5" customHeight="1" thickBot="1" x14ac:dyDescent="0.3">
      <c r="B293" s="1" t="s">
        <v>3</v>
      </c>
      <c r="C293" s="10"/>
      <c r="D293" s="7">
        <f t="shared" si="31"/>
        <v>0</v>
      </c>
      <c r="F293" s="1" t="s">
        <v>3</v>
      </c>
      <c r="G293" s="79"/>
      <c r="H293" s="73"/>
      <c r="I293" s="73"/>
      <c r="J293" s="74"/>
      <c r="K293" s="72"/>
      <c r="L293" s="73"/>
      <c r="M293" s="73"/>
      <c r="N293" s="73"/>
      <c r="O293" s="72"/>
      <c r="P293" s="74"/>
      <c r="Q293" s="72"/>
      <c r="R293" s="73"/>
      <c r="S293" s="73"/>
      <c r="T293" s="73"/>
      <c r="U293" s="73"/>
      <c r="V293" s="73"/>
      <c r="W293" s="73"/>
      <c r="X293" s="74"/>
      <c r="Y293" s="79"/>
      <c r="Z293" s="73"/>
      <c r="AA293" s="73"/>
      <c r="AB293" s="73"/>
      <c r="AC293" s="72"/>
      <c r="AD293" s="73"/>
      <c r="AE293" s="73"/>
      <c r="AF293" s="74"/>
      <c r="AG293" s="73"/>
      <c r="AH293" s="74"/>
      <c r="AI293" s="73"/>
      <c r="AJ293" s="73"/>
      <c r="AK293" s="73"/>
      <c r="AL293" s="73"/>
      <c r="AM293" s="73"/>
      <c r="AN293" s="73"/>
      <c r="AO293" s="73"/>
      <c r="AP293" s="73"/>
      <c r="AQ293" s="72"/>
      <c r="AR293" s="72"/>
      <c r="AS293" s="72"/>
      <c r="AT293" s="72"/>
      <c r="AU293" s="72"/>
      <c r="AV293" s="72"/>
      <c r="AW293" s="72"/>
      <c r="AX293" s="75"/>
      <c r="AY293" s="19"/>
      <c r="AZ293" s="19"/>
    </row>
    <row r="294" spans="2:52" ht="21" customHeight="1" x14ac:dyDescent="0.25">
      <c r="B294" s="2"/>
      <c r="C294" s="3" t="s">
        <v>25</v>
      </c>
      <c r="D294" s="9">
        <f>SUM(D290:D293)</f>
        <v>8</v>
      </c>
      <c r="G294" s="80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80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</row>
    <row r="295" spans="2:52" x14ac:dyDescent="0.25"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</row>
    <row r="296" spans="2:52" ht="15.75" x14ac:dyDescent="0.25">
      <c r="G296" s="100" t="s">
        <v>22</v>
      </c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1" t="s">
        <v>21</v>
      </c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46"/>
      <c r="AR296" s="46"/>
      <c r="AS296" s="46"/>
      <c r="AT296" s="46"/>
      <c r="AU296" s="46"/>
      <c r="AV296" s="46"/>
      <c r="AW296" s="46"/>
      <c r="AX296" s="46"/>
    </row>
    <row r="297" spans="2:52" ht="32.25" thickBot="1" x14ac:dyDescent="0.3">
      <c r="G297" s="102" t="s">
        <v>14</v>
      </c>
      <c r="H297" s="102"/>
      <c r="I297" s="102"/>
      <c r="J297" s="102"/>
      <c r="K297" s="102" t="s">
        <v>15</v>
      </c>
      <c r="L297" s="102"/>
      <c r="M297" s="102"/>
      <c r="N297" s="102"/>
      <c r="O297" s="102" t="s">
        <v>59</v>
      </c>
      <c r="P297" s="102"/>
      <c r="Q297" s="102" t="s">
        <v>16</v>
      </c>
      <c r="R297" s="102"/>
      <c r="S297" s="102"/>
      <c r="T297" s="102"/>
      <c r="U297" s="102"/>
      <c r="V297" s="102"/>
      <c r="W297" s="102"/>
      <c r="X297" s="102"/>
      <c r="Y297" s="102" t="s">
        <v>14</v>
      </c>
      <c r="Z297" s="102"/>
      <c r="AA297" s="102"/>
      <c r="AB297" s="102"/>
      <c r="AC297" s="102" t="s">
        <v>15</v>
      </c>
      <c r="AD297" s="102"/>
      <c r="AE297" s="102"/>
      <c r="AF297" s="102"/>
      <c r="AG297" s="102" t="s">
        <v>59</v>
      </c>
      <c r="AH297" s="102"/>
      <c r="AI297" s="102" t="s">
        <v>16</v>
      </c>
      <c r="AJ297" s="102"/>
      <c r="AK297" s="102"/>
      <c r="AL297" s="102"/>
      <c r="AM297" s="102"/>
      <c r="AN297" s="102"/>
      <c r="AO297" s="102"/>
      <c r="AP297" s="102"/>
      <c r="AQ297" s="76" t="s">
        <v>60</v>
      </c>
      <c r="AR297" s="76"/>
      <c r="AS297" s="76" t="s">
        <v>65</v>
      </c>
      <c r="AT297" s="76" t="s">
        <v>61</v>
      </c>
      <c r="AU297" s="76" t="s">
        <v>62</v>
      </c>
      <c r="AV297" s="76" t="s">
        <v>27</v>
      </c>
      <c r="AW297" s="76" t="s">
        <v>64</v>
      </c>
      <c r="AX297" s="76" t="s">
        <v>63</v>
      </c>
      <c r="AY297" s="76" t="s">
        <v>66</v>
      </c>
      <c r="AZ297" s="76" t="s">
        <v>67</v>
      </c>
    </row>
    <row r="298" spans="2:52" ht="48" thickBot="1" x14ac:dyDescent="0.3">
      <c r="B298" s="20">
        <v>0.33333333333333331</v>
      </c>
      <c r="C298" s="14" t="s">
        <v>13</v>
      </c>
      <c r="D298" s="8" t="s">
        <v>6</v>
      </c>
      <c r="F298" s="13"/>
      <c r="G298" s="63" t="s">
        <v>20</v>
      </c>
      <c r="H298" s="64" t="s">
        <v>17</v>
      </c>
      <c r="I298" s="64" t="s">
        <v>19</v>
      </c>
      <c r="J298" s="64" t="s">
        <v>18</v>
      </c>
      <c r="K298" s="64" t="s">
        <v>52</v>
      </c>
      <c r="L298" s="64" t="s">
        <v>51</v>
      </c>
      <c r="M298" s="64" t="s">
        <v>53</v>
      </c>
      <c r="N298" s="64" t="s">
        <v>54</v>
      </c>
      <c r="O298" s="64" t="s">
        <v>20</v>
      </c>
      <c r="P298" s="64" t="s">
        <v>19</v>
      </c>
      <c r="Q298" s="64" t="s">
        <v>55</v>
      </c>
      <c r="R298" s="64" t="s">
        <v>56</v>
      </c>
      <c r="S298" s="64" t="s">
        <v>52</v>
      </c>
      <c r="T298" s="64" t="s">
        <v>51</v>
      </c>
      <c r="U298" s="64" t="s">
        <v>57</v>
      </c>
      <c r="V298" s="64" t="s">
        <v>58</v>
      </c>
      <c r="W298" s="64" t="s">
        <v>53</v>
      </c>
      <c r="X298" s="64" t="s">
        <v>54</v>
      </c>
      <c r="Y298" s="63" t="s">
        <v>20</v>
      </c>
      <c r="Z298" s="64" t="s">
        <v>17</v>
      </c>
      <c r="AA298" s="64" t="s">
        <v>19</v>
      </c>
      <c r="AB298" s="64" t="s">
        <v>18</v>
      </c>
      <c r="AC298" s="64" t="s">
        <v>52</v>
      </c>
      <c r="AD298" s="64" t="s">
        <v>51</v>
      </c>
      <c r="AE298" s="64" t="s">
        <v>53</v>
      </c>
      <c r="AF298" s="64" t="s">
        <v>54</v>
      </c>
      <c r="AG298" s="64" t="s">
        <v>20</v>
      </c>
      <c r="AH298" s="64" t="s">
        <v>19</v>
      </c>
      <c r="AI298" s="64" t="s">
        <v>55</v>
      </c>
      <c r="AJ298" s="64" t="s">
        <v>56</v>
      </c>
      <c r="AK298" s="64" t="s">
        <v>52</v>
      </c>
      <c r="AL298" s="64" t="s">
        <v>51</v>
      </c>
      <c r="AM298" s="64" t="s">
        <v>57</v>
      </c>
      <c r="AN298" s="64" t="s">
        <v>58</v>
      </c>
      <c r="AO298" s="64" t="s">
        <v>53</v>
      </c>
      <c r="AP298" s="64" t="s">
        <v>54</v>
      </c>
      <c r="AQ298" s="46"/>
      <c r="AR298" s="46"/>
      <c r="AS298" s="46"/>
      <c r="AT298" s="46"/>
      <c r="AU298" s="46"/>
      <c r="AV298" s="46"/>
      <c r="AW298" s="46"/>
      <c r="AX298" s="46"/>
    </row>
    <row r="299" spans="2:52" ht="16.5" customHeight="1" thickBot="1" x14ac:dyDescent="0.3">
      <c r="B299" s="1" t="s">
        <v>0</v>
      </c>
      <c r="C299" s="10">
        <v>4</v>
      </c>
      <c r="D299">
        <f>C299</f>
        <v>4</v>
      </c>
      <c r="F299" s="12" t="s">
        <v>0</v>
      </c>
      <c r="G299" s="77"/>
      <c r="H299" s="66"/>
      <c r="I299" s="66"/>
      <c r="J299" s="67"/>
      <c r="K299" s="65"/>
      <c r="L299" s="66"/>
      <c r="M299" s="66"/>
      <c r="N299" s="66"/>
      <c r="O299" s="65"/>
      <c r="P299" s="67"/>
      <c r="Q299" s="65"/>
      <c r="R299" s="66"/>
      <c r="S299" s="66">
        <v>3</v>
      </c>
      <c r="T299" s="66"/>
      <c r="U299" s="66"/>
      <c r="V299" s="66">
        <v>1</v>
      </c>
      <c r="W299" s="66"/>
      <c r="X299" s="67"/>
      <c r="Y299" s="77"/>
      <c r="Z299" s="66"/>
      <c r="AA299" s="66"/>
      <c r="AB299" s="66"/>
      <c r="AC299" s="65"/>
      <c r="AD299" s="66"/>
      <c r="AE299" s="66"/>
      <c r="AF299" s="67"/>
      <c r="AG299" s="66"/>
      <c r="AH299" s="67"/>
      <c r="AI299" s="66">
        <v>1</v>
      </c>
      <c r="AJ299" s="66">
        <v>3</v>
      </c>
      <c r="AK299" s="66"/>
      <c r="AL299" s="66"/>
      <c r="AM299" s="66"/>
      <c r="AN299" s="66"/>
      <c r="AO299" s="66"/>
      <c r="AP299" s="66"/>
      <c r="AQ299" s="65"/>
      <c r="AR299" s="65"/>
      <c r="AS299" s="65"/>
      <c r="AT299" s="65"/>
      <c r="AU299" s="65"/>
      <c r="AV299" s="65"/>
      <c r="AW299" s="65"/>
      <c r="AX299" s="68">
        <v>2</v>
      </c>
      <c r="AY299" s="17"/>
      <c r="AZ299" s="17"/>
    </row>
    <row r="300" spans="2:52" ht="16.5" customHeight="1" thickBot="1" x14ac:dyDescent="0.3">
      <c r="B300" s="1" t="s">
        <v>1</v>
      </c>
      <c r="C300" s="10">
        <v>2</v>
      </c>
      <c r="D300">
        <f t="shared" ref="D300:D302" si="32">C300</f>
        <v>2</v>
      </c>
      <c r="F300" s="1" t="s">
        <v>1</v>
      </c>
      <c r="G300" s="78"/>
      <c r="H300" s="46"/>
      <c r="I300" s="46"/>
      <c r="J300" s="70"/>
      <c r="K300" s="69"/>
      <c r="L300" s="46"/>
      <c r="M300" s="46"/>
      <c r="N300" s="46"/>
      <c r="O300" s="69"/>
      <c r="P300" s="70"/>
      <c r="Q300" s="69"/>
      <c r="R300" s="46"/>
      <c r="S300" s="46">
        <v>2</v>
      </c>
      <c r="T300" s="46"/>
      <c r="U300" s="46"/>
      <c r="V300" s="46"/>
      <c r="W300" s="46"/>
      <c r="X300" s="70"/>
      <c r="Y300" s="78"/>
      <c r="Z300" s="46"/>
      <c r="AA300" s="46"/>
      <c r="AB300" s="46"/>
      <c r="AC300" s="69"/>
      <c r="AD300" s="46"/>
      <c r="AE300" s="46"/>
      <c r="AF300" s="70"/>
      <c r="AG300" s="46"/>
      <c r="AH300" s="70"/>
      <c r="AI300" s="46"/>
      <c r="AJ300" s="46"/>
      <c r="AK300" s="46"/>
      <c r="AL300" s="46"/>
      <c r="AM300" s="46"/>
      <c r="AN300" s="46"/>
      <c r="AO300" s="46"/>
      <c r="AP300" s="46">
        <v>2</v>
      </c>
      <c r="AQ300" s="69"/>
      <c r="AR300" s="69"/>
      <c r="AS300" s="69"/>
      <c r="AT300" s="69">
        <v>1</v>
      </c>
      <c r="AU300" s="69"/>
      <c r="AV300" s="69"/>
      <c r="AW300" s="69"/>
      <c r="AX300" s="71"/>
      <c r="AY300" s="18"/>
      <c r="AZ300" s="18"/>
    </row>
    <row r="301" spans="2:52" ht="16.5" customHeight="1" thickBot="1" x14ac:dyDescent="0.3">
      <c r="B301" s="1" t="s">
        <v>2</v>
      </c>
      <c r="C301" s="10"/>
      <c r="D301">
        <f>C301</f>
        <v>0</v>
      </c>
      <c r="F301" s="1" t="s">
        <v>2</v>
      </c>
      <c r="G301" s="78"/>
      <c r="H301" s="46"/>
      <c r="I301" s="46"/>
      <c r="J301" s="70"/>
      <c r="K301" s="69"/>
      <c r="L301" s="46"/>
      <c r="M301" s="46"/>
      <c r="N301" s="46"/>
      <c r="O301" s="69"/>
      <c r="P301" s="70"/>
      <c r="Q301" s="69"/>
      <c r="R301" s="46"/>
      <c r="S301" s="46"/>
      <c r="T301" s="46"/>
      <c r="U301" s="46"/>
      <c r="V301" s="46"/>
      <c r="W301" s="46"/>
      <c r="X301" s="70"/>
      <c r="Y301" s="78"/>
      <c r="Z301" s="46"/>
      <c r="AA301" s="46"/>
      <c r="AB301" s="46"/>
      <c r="AC301" s="69"/>
      <c r="AD301" s="46"/>
      <c r="AE301" s="46"/>
      <c r="AF301" s="70"/>
      <c r="AG301" s="46"/>
      <c r="AH301" s="70"/>
      <c r="AI301" s="46"/>
      <c r="AJ301" s="46"/>
      <c r="AK301" s="46"/>
      <c r="AL301" s="46"/>
      <c r="AM301" s="46"/>
      <c r="AN301" s="46"/>
      <c r="AO301" s="46"/>
      <c r="AP301" s="46"/>
      <c r="AQ301" s="69"/>
      <c r="AR301" s="69"/>
      <c r="AS301" s="69"/>
      <c r="AT301" s="69"/>
      <c r="AU301" s="69"/>
      <c r="AV301" s="69"/>
      <c r="AW301" s="69"/>
      <c r="AX301" s="71"/>
      <c r="AY301" s="18"/>
      <c r="AZ301" s="18"/>
    </row>
    <row r="302" spans="2:52" ht="16.5" customHeight="1" thickBot="1" x14ac:dyDescent="0.3">
      <c r="B302" s="1" t="s">
        <v>29</v>
      </c>
      <c r="C302" s="10"/>
      <c r="D302" s="7">
        <f t="shared" si="32"/>
        <v>0</v>
      </c>
      <c r="F302" s="1" t="s">
        <v>3</v>
      </c>
      <c r="G302" s="79"/>
      <c r="H302" s="73"/>
      <c r="I302" s="73"/>
      <c r="J302" s="74"/>
      <c r="K302" s="72"/>
      <c r="L302" s="73"/>
      <c r="M302" s="73"/>
      <c r="N302" s="73"/>
      <c r="O302" s="72"/>
      <c r="P302" s="74"/>
      <c r="Q302" s="72"/>
      <c r="R302" s="73"/>
      <c r="S302" s="73"/>
      <c r="T302" s="73"/>
      <c r="U302" s="73"/>
      <c r="V302" s="73"/>
      <c r="W302" s="73"/>
      <c r="X302" s="74"/>
      <c r="Y302" s="79"/>
      <c r="Z302" s="73"/>
      <c r="AA302" s="73"/>
      <c r="AB302" s="73"/>
      <c r="AC302" s="72"/>
      <c r="AD302" s="73"/>
      <c r="AE302" s="73"/>
      <c r="AF302" s="74"/>
      <c r="AG302" s="73"/>
      <c r="AH302" s="74"/>
      <c r="AI302" s="73"/>
      <c r="AJ302" s="73"/>
      <c r="AK302" s="73"/>
      <c r="AL302" s="73"/>
      <c r="AM302" s="73"/>
      <c r="AN302" s="73"/>
      <c r="AO302" s="73"/>
      <c r="AP302" s="73"/>
      <c r="AQ302" s="72"/>
      <c r="AR302" s="72"/>
      <c r="AS302" s="72"/>
      <c r="AT302" s="72"/>
      <c r="AU302" s="72"/>
      <c r="AV302" s="72"/>
      <c r="AW302" s="72"/>
      <c r="AX302" s="75"/>
      <c r="AY302" s="19"/>
      <c r="AZ302" s="19"/>
    </row>
    <row r="303" spans="2:52" ht="21" customHeight="1" x14ac:dyDescent="0.25">
      <c r="B303" s="2"/>
      <c r="C303" s="3" t="s">
        <v>25</v>
      </c>
      <c r="D303" s="9">
        <f>SUM(D299:D302)</f>
        <v>6</v>
      </c>
      <c r="G303" s="80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80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</row>
    <row r="304" spans="2:52" x14ac:dyDescent="0.25"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</row>
    <row r="305" spans="2:53" ht="15.75" x14ac:dyDescent="0.25">
      <c r="G305" s="100" t="s">
        <v>22</v>
      </c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1" t="s">
        <v>21</v>
      </c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46"/>
      <c r="AR305" s="46"/>
      <c r="AS305" s="46"/>
      <c r="AT305" s="46"/>
      <c r="AU305" s="46"/>
      <c r="AV305" s="46"/>
      <c r="AW305" s="46"/>
      <c r="AX305" s="46"/>
    </row>
    <row r="306" spans="2:53" ht="32.25" thickBot="1" x14ac:dyDescent="0.3">
      <c r="G306" s="102" t="s">
        <v>14</v>
      </c>
      <c r="H306" s="102"/>
      <c r="I306" s="102"/>
      <c r="J306" s="102"/>
      <c r="K306" s="102" t="s">
        <v>15</v>
      </c>
      <c r="L306" s="102"/>
      <c r="M306" s="102"/>
      <c r="N306" s="102"/>
      <c r="O306" s="102" t="s">
        <v>59</v>
      </c>
      <c r="P306" s="102"/>
      <c r="Q306" s="102" t="s">
        <v>16</v>
      </c>
      <c r="R306" s="102"/>
      <c r="S306" s="102"/>
      <c r="T306" s="102"/>
      <c r="U306" s="102"/>
      <c r="V306" s="102"/>
      <c r="W306" s="102"/>
      <c r="X306" s="102"/>
      <c r="Y306" s="102" t="s">
        <v>14</v>
      </c>
      <c r="Z306" s="102"/>
      <c r="AA306" s="102"/>
      <c r="AB306" s="102"/>
      <c r="AC306" s="102" t="s">
        <v>15</v>
      </c>
      <c r="AD306" s="102"/>
      <c r="AE306" s="102"/>
      <c r="AF306" s="102"/>
      <c r="AG306" s="102" t="s">
        <v>59</v>
      </c>
      <c r="AH306" s="102"/>
      <c r="AI306" s="102" t="s">
        <v>16</v>
      </c>
      <c r="AJ306" s="102"/>
      <c r="AK306" s="102"/>
      <c r="AL306" s="102"/>
      <c r="AM306" s="102"/>
      <c r="AN306" s="102"/>
      <c r="AO306" s="102"/>
      <c r="AP306" s="102"/>
      <c r="AQ306" s="76" t="s">
        <v>60</v>
      </c>
      <c r="AR306" s="76" t="s">
        <v>70</v>
      </c>
      <c r="AS306" s="76" t="s">
        <v>65</v>
      </c>
      <c r="AT306" s="76" t="s">
        <v>61</v>
      </c>
      <c r="AU306" s="76" t="s">
        <v>62</v>
      </c>
      <c r="AV306" s="76" t="s">
        <v>27</v>
      </c>
      <c r="AW306" s="76" t="s">
        <v>64</v>
      </c>
      <c r="AX306" s="76" t="s">
        <v>63</v>
      </c>
      <c r="AY306" s="76" t="s">
        <v>66</v>
      </c>
      <c r="AZ306" s="76" t="s">
        <v>67</v>
      </c>
    </row>
    <row r="307" spans="2:53" ht="48" thickBot="1" x14ac:dyDescent="0.3">
      <c r="B307" s="20">
        <v>0.34375</v>
      </c>
      <c r="C307" s="14" t="s">
        <v>13</v>
      </c>
      <c r="D307" s="8" t="s">
        <v>6</v>
      </c>
      <c r="F307" s="13"/>
      <c r="G307" s="63" t="s">
        <v>20</v>
      </c>
      <c r="H307" s="64" t="s">
        <v>17</v>
      </c>
      <c r="I307" s="64" t="s">
        <v>19</v>
      </c>
      <c r="J307" s="64" t="s">
        <v>18</v>
      </c>
      <c r="K307" s="64" t="s">
        <v>52</v>
      </c>
      <c r="L307" s="64" t="s">
        <v>51</v>
      </c>
      <c r="M307" s="64" t="s">
        <v>53</v>
      </c>
      <c r="N307" s="64" t="s">
        <v>54</v>
      </c>
      <c r="O307" s="64" t="s">
        <v>20</v>
      </c>
      <c r="P307" s="64" t="s">
        <v>19</v>
      </c>
      <c r="Q307" s="64" t="s">
        <v>55</v>
      </c>
      <c r="R307" s="64" t="s">
        <v>56</v>
      </c>
      <c r="S307" s="64" t="s">
        <v>52</v>
      </c>
      <c r="T307" s="64" t="s">
        <v>51</v>
      </c>
      <c r="U307" s="64" t="s">
        <v>57</v>
      </c>
      <c r="V307" s="64" t="s">
        <v>58</v>
      </c>
      <c r="W307" s="64" t="s">
        <v>53</v>
      </c>
      <c r="X307" s="64" t="s">
        <v>54</v>
      </c>
      <c r="Y307" s="63" t="s">
        <v>20</v>
      </c>
      <c r="Z307" s="64" t="s">
        <v>17</v>
      </c>
      <c r="AA307" s="64" t="s">
        <v>19</v>
      </c>
      <c r="AB307" s="64" t="s">
        <v>18</v>
      </c>
      <c r="AC307" s="64" t="s">
        <v>52</v>
      </c>
      <c r="AD307" s="64" t="s">
        <v>51</v>
      </c>
      <c r="AE307" s="64" t="s">
        <v>53</v>
      </c>
      <c r="AF307" s="64" t="s">
        <v>54</v>
      </c>
      <c r="AG307" s="64" t="s">
        <v>20</v>
      </c>
      <c r="AH307" s="64" t="s">
        <v>19</v>
      </c>
      <c r="AI307" s="64" t="s">
        <v>55</v>
      </c>
      <c r="AJ307" s="64" t="s">
        <v>56</v>
      </c>
      <c r="AK307" s="64" t="s">
        <v>52</v>
      </c>
      <c r="AL307" s="64" t="s">
        <v>51</v>
      </c>
      <c r="AM307" s="64" t="s">
        <v>57</v>
      </c>
      <c r="AN307" s="64" t="s">
        <v>58</v>
      </c>
      <c r="AO307" s="64" t="s">
        <v>53</v>
      </c>
      <c r="AP307" s="64" t="s">
        <v>54</v>
      </c>
      <c r="AQ307" s="46"/>
      <c r="AR307" s="46"/>
      <c r="AS307" s="46"/>
      <c r="AT307" s="46"/>
      <c r="AU307" s="46"/>
      <c r="AV307" s="46"/>
      <c r="AW307" s="46"/>
      <c r="AX307" s="46"/>
    </row>
    <row r="308" spans="2:53" ht="16.5" customHeight="1" thickBot="1" x14ac:dyDescent="0.3">
      <c r="B308" s="1" t="s">
        <v>0</v>
      </c>
      <c r="C308" s="10">
        <v>5</v>
      </c>
      <c r="D308">
        <f>C308</f>
        <v>5</v>
      </c>
      <c r="F308" s="12" t="s">
        <v>0</v>
      </c>
      <c r="G308" s="77"/>
      <c r="H308" s="66"/>
      <c r="I308" s="66"/>
      <c r="J308" s="67"/>
      <c r="K308" s="65"/>
      <c r="L308" s="66"/>
      <c r="M308" s="66"/>
      <c r="N308" s="66"/>
      <c r="O308" s="65">
        <v>1</v>
      </c>
      <c r="P308" s="67"/>
      <c r="Q308" s="65">
        <v>2</v>
      </c>
      <c r="R308" s="66"/>
      <c r="S308" s="66"/>
      <c r="T308" s="66"/>
      <c r="U308" s="66"/>
      <c r="V308" s="66">
        <v>1</v>
      </c>
      <c r="W308" s="66"/>
      <c r="X308" s="67">
        <v>1</v>
      </c>
      <c r="Y308" s="77"/>
      <c r="Z308" s="66"/>
      <c r="AA308" s="66"/>
      <c r="AB308" s="66"/>
      <c r="AC308" s="65"/>
      <c r="AD308" s="66"/>
      <c r="AE308" s="66"/>
      <c r="AF308" s="67"/>
      <c r="AG308" s="66"/>
      <c r="AH308" s="67">
        <v>1</v>
      </c>
      <c r="AI308" s="66">
        <v>1</v>
      </c>
      <c r="AJ308" s="66"/>
      <c r="AK308" s="66"/>
      <c r="AL308" s="66"/>
      <c r="AM308" s="66"/>
      <c r="AN308" s="66"/>
      <c r="AO308" s="66">
        <v>1</v>
      </c>
      <c r="AP308" s="66">
        <v>2</v>
      </c>
      <c r="AQ308" s="65"/>
      <c r="AR308" s="65">
        <v>1</v>
      </c>
      <c r="AS308" s="65"/>
      <c r="AT308" s="65"/>
      <c r="AU308" s="65"/>
      <c r="AV308" s="65"/>
      <c r="AW308" s="65"/>
      <c r="AX308" s="68">
        <v>1</v>
      </c>
      <c r="AY308" s="17"/>
      <c r="AZ308" s="17"/>
      <c r="BA308" t="s">
        <v>69</v>
      </c>
    </row>
    <row r="309" spans="2:53" ht="16.5" customHeight="1" thickBot="1" x14ac:dyDescent="0.3">
      <c r="B309" s="1" t="s">
        <v>1</v>
      </c>
      <c r="C309" s="10">
        <v>2</v>
      </c>
      <c r="D309">
        <f t="shared" ref="D309:D311" si="33">C309</f>
        <v>2</v>
      </c>
      <c r="F309" s="1" t="s">
        <v>1</v>
      </c>
      <c r="G309" s="78"/>
      <c r="H309" s="46"/>
      <c r="I309" s="46"/>
      <c r="J309" s="70"/>
      <c r="K309" s="69"/>
      <c r="L309" s="46"/>
      <c r="M309" s="46">
        <v>1</v>
      </c>
      <c r="N309" s="46"/>
      <c r="O309" s="69"/>
      <c r="P309" s="70"/>
      <c r="Q309" s="69"/>
      <c r="R309" s="46"/>
      <c r="S309" s="46"/>
      <c r="T309" s="46"/>
      <c r="U309" s="46"/>
      <c r="V309" s="46"/>
      <c r="W309" s="46"/>
      <c r="X309" s="70">
        <v>1</v>
      </c>
      <c r="Y309" s="78"/>
      <c r="Z309" s="46"/>
      <c r="AA309" s="46"/>
      <c r="AB309" s="46"/>
      <c r="AC309" s="69"/>
      <c r="AD309" s="46">
        <v>1</v>
      </c>
      <c r="AE309" s="46"/>
      <c r="AF309" s="70"/>
      <c r="AG309" s="46"/>
      <c r="AH309" s="70"/>
      <c r="AI309" s="46"/>
      <c r="AJ309" s="46"/>
      <c r="AK309" s="46">
        <v>1</v>
      </c>
      <c r="AL309" s="46"/>
      <c r="AM309" s="46"/>
      <c r="AN309" s="46"/>
      <c r="AO309" s="46"/>
      <c r="AP309" s="46"/>
      <c r="AQ309" s="69"/>
      <c r="AR309" s="69"/>
      <c r="AS309" s="69"/>
      <c r="AT309" s="69"/>
      <c r="AU309" s="69"/>
      <c r="AV309" s="69"/>
      <c r="AW309" s="69"/>
      <c r="AX309" s="71"/>
      <c r="AY309" s="18"/>
      <c r="AZ309" s="18"/>
    </row>
    <row r="310" spans="2:53" ht="16.5" customHeight="1" thickBot="1" x14ac:dyDescent="0.3">
      <c r="B310" s="1" t="s">
        <v>2</v>
      </c>
      <c r="C310" s="10"/>
      <c r="D310">
        <f>C310</f>
        <v>0</v>
      </c>
      <c r="F310" s="1" t="s">
        <v>2</v>
      </c>
      <c r="G310" s="78"/>
      <c r="H310" s="46"/>
      <c r="I310" s="46"/>
      <c r="J310" s="70"/>
      <c r="K310" s="69"/>
      <c r="L310" s="46"/>
      <c r="M310" s="46"/>
      <c r="N310" s="46"/>
      <c r="O310" s="69"/>
      <c r="P310" s="70"/>
      <c r="Q310" s="69"/>
      <c r="R310" s="46"/>
      <c r="S310" s="46"/>
      <c r="T310" s="46"/>
      <c r="U310" s="46"/>
      <c r="V310" s="46"/>
      <c r="W310" s="46"/>
      <c r="X310" s="70"/>
      <c r="Y310" s="78"/>
      <c r="Z310" s="46"/>
      <c r="AA310" s="46"/>
      <c r="AB310" s="46"/>
      <c r="AC310" s="69"/>
      <c r="AD310" s="46"/>
      <c r="AE310" s="46"/>
      <c r="AF310" s="70"/>
      <c r="AG310" s="46"/>
      <c r="AH310" s="70"/>
      <c r="AI310" s="46"/>
      <c r="AJ310" s="46"/>
      <c r="AK310" s="46"/>
      <c r="AL310" s="46"/>
      <c r="AM310" s="46"/>
      <c r="AN310" s="46"/>
      <c r="AO310" s="46"/>
      <c r="AP310" s="46"/>
      <c r="AQ310" s="69"/>
      <c r="AR310" s="69"/>
      <c r="AS310" s="69"/>
      <c r="AT310" s="69"/>
      <c r="AU310" s="69"/>
      <c r="AV310" s="69"/>
      <c r="AW310" s="69"/>
      <c r="AX310" s="71"/>
      <c r="AY310" s="18"/>
      <c r="AZ310" s="18"/>
    </row>
    <row r="311" spans="2:53" ht="16.5" customHeight="1" thickBot="1" x14ac:dyDescent="0.3">
      <c r="B311" s="1" t="s">
        <v>3</v>
      </c>
      <c r="C311" s="10"/>
      <c r="D311" s="7">
        <f t="shared" si="33"/>
        <v>0</v>
      </c>
      <c r="F311" s="1" t="s">
        <v>3</v>
      </c>
      <c r="G311" s="79"/>
      <c r="H311" s="73"/>
      <c r="I311" s="73"/>
      <c r="J311" s="74"/>
      <c r="K311" s="72"/>
      <c r="L311" s="73"/>
      <c r="M311" s="73"/>
      <c r="N311" s="73"/>
      <c r="O311" s="72"/>
      <c r="P311" s="74"/>
      <c r="Q311" s="72"/>
      <c r="R311" s="73"/>
      <c r="S311" s="73"/>
      <c r="T311" s="73"/>
      <c r="U311" s="73"/>
      <c r="V311" s="73"/>
      <c r="W311" s="73"/>
      <c r="X311" s="74"/>
      <c r="Y311" s="79"/>
      <c r="Z311" s="73"/>
      <c r="AA311" s="73"/>
      <c r="AB311" s="73"/>
      <c r="AC311" s="72"/>
      <c r="AD311" s="73"/>
      <c r="AE311" s="73"/>
      <c r="AF311" s="74"/>
      <c r="AG311" s="73"/>
      <c r="AH311" s="74"/>
      <c r="AI311" s="73"/>
      <c r="AJ311" s="73"/>
      <c r="AK311" s="73"/>
      <c r="AL311" s="73"/>
      <c r="AM311" s="73"/>
      <c r="AN311" s="73"/>
      <c r="AO311" s="73"/>
      <c r="AP311" s="73"/>
      <c r="AQ311" s="72"/>
      <c r="AR311" s="72"/>
      <c r="AS311" s="72"/>
      <c r="AT311" s="72"/>
      <c r="AU311" s="72"/>
      <c r="AV311" s="72"/>
      <c r="AW311" s="72"/>
      <c r="AX311" s="75"/>
      <c r="AY311" s="19"/>
      <c r="AZ311" s="19"/>
    </row>
    <row r="312" spans="2:53" ht="21" customHeight="1" x14ac:dyDescent="0.25">
      <c r="B312" s="2"/>
      <c r="C312" s="3" t="s">
        <v>25</v>
      </c>
      <c r="D312" s="9">
        <f>SUM(D308:D311)</f>
        <v>7</v>
      </c>
      <c r="G312" s="80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80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</row>
    <row r="313" spans="2:53" x14ac:dyDescent="0.25"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</row>
    <row r="314" spans="2:53" ht="15.75" x14ac:dyDescent="0.25">
      <c r="G314" s="100" t="s">
        <v>22</v>
      </c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1" t="s">
        <v>21</v>
      </c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46"/>
      <c r="AR314" s="46"/>
      <c r="AS314" s="46"/>
      <c r="AT314" s="46"/>
      <c r="AU314" s="46"/>
      <c r="AV314" s="46"/>
      <c r="AW314" s="46"/>
      <c r="AX314" s="46"/>
    </row>
    <row r="315" spans="2:53" ht="32.25" thickBot="1" x14ac:dyDescent="0.3">
      <c r="G315" s="102" t="s">
        <v>14</v>
      </c>
      <c r="H315" s="102"/>
      <c r="I315" s="102"/>
      <c r="J315" s="102"/>
      <c r="K315" s="102" t="s">
        <v>15</v>
      </c>
      <c r="L315" s="102"/>
      <c r="M315" s="102"/>
      <c r="N315" s="102"/>
      <c r="O315" s="102" t="s">
        <v>59</v>
      </c>
      <c r="P315" s="102"/>
      <c r="Q315" s="102" t="s">
        <v>16</v>
      </c>
      <c r="R315" s="102"/>
      <c r="S315" s="102"/>
      <c r="T315" s="102"/>
      <c r="U315" s="102"/>
      <c r="V315" s="102"/>
      <c r="W315" s="102"/>
      <c r="X315" s="102"/>
      <c r="Y315" s="102" t="s">
        <v>14</v>
      </c>
      <c r="Z315" s="102"/>
      <c r="AA315" s="102"/>
      <c r="AB315" s="102"/>
      <c r="AC315" s="102" t="s">
        <v>15</v>
      </c>
      <c r="AD315" s="102"/>
      <c r="AE315" s="102"/>
      <c r="AF315" s="102"/>
      <c r="AG315" s="102" t="s">
        <v>59</v>
      </c>
      <c r="AH315" s="102"/>
      <c r="AI315" s="102" t="s">
        <v>16</v>
      </c>
      <c r="AJ315" s="102"/>
      <c r="AK315" s="102"/>
      <c r="AL315" s="102"/>
      <c r="AM315" s="102"/>
      <c r="AN315" s="102"/>
      <c r="AO315" s="102"/>
      <c r="AP315" s="102"/>
      <c r="AQ315" s="76" t="s">
        <v>60</v>
      </c>
      <c r="AR315" s="76" t="s">
        <v>70</v>
      </c>
      <c r="AS315" s="76" t="s">
        <v>65</v>
      </c>
      <c r="AT315" s="76" t="s">
        <v>61</v>
      </c>
      <c r="AU315" s="76" t="s">
        <v>62</v>
      </c>
      <c r="AV315" s="76" t="s">
        <v>27</v>
      </c>
      <c r="AW315" s="76" t="s">
        <v>64</v>
      </c>
      <c r="AX315" s="76" t="s">
        <v>63</v>
      </c>
      <c r="AY315" s="76" t="s">
        <v>66</v>
      </c>
      <c r="AZ315" s="76" t="s">
        <v>67</v>
      </c>
    </row>
    <row r="316" spans="2:53" ht="48" thickBot="1" x14ac:dyDescent="0.3">
      <c r="B316" s="20">
        <v>0.35416666666666669</v>
      </c>
      <c r="C316" s="14" t="s">
        <v>13</v>
      </c>
      <c r="D316" s="8" t="s">
        <v>6</v>
      </c>
      <c r="F316" s="13"/>
      <c r="G316" s="63" t="s">
        <v>20</v>
      </c>
      <c r="H316" s="64" t="s">
        <v>17</v>
      </c>
      <c r="I316" s="64" t="s">
        <v>19</v>
      </c>
      <c r="J316" s="64" t="s">
        <v>18</v>
      </c>
      <c r="K316" s="64" t="s">
        <v>52</v>
      </c>
      <c r="L316" s="64" t="s">
        <v>51</v>
      </c>
      <c r="M316" s="64" t="s">
        <v>53</v>
      </c>
      <c r="N316" s="64" t="s">
        <v>54</v>
      </c>
      <c r="O316" s="64" t="s">
        <v>20</v>
      </c>
      <c r="P316" s="64" t="s">
        <v>19</v>
      </c>
      <c r="Q316" s="64" t="s">
        <v>55</v>
      </c>
      <c r="R316" s="64" t="s">
        <v>56</v>
      </c>
      <c r="S316" s="64" t="s">
        <v>52</v>
      </c>
      <c r="T316" s="64" t="s">
        <v>51</v>
      </c>
      <c r="U316" s="64" t="s">
        <v>57</v>
      </c>
      <c r="V316" s="64" t="s">
        <v>58</v>
      </c>
      <c r="W316" s="64" t="s">
        <v>53</v>
      </c>
      <c r="X316" s="64" t="s">
        <v>54</v>
      </c>
      <c r="Y316" s="63" t="s">
        <v>20</v>
      </c>
      <c r="Z316" s="64" t="s">
        <v>17</v>
      </c>
      <c r="AA316" s="64" t="s">
        <v>19</v>
      </c>
      <c r="AB316" s="64" t="s">
        <v>18</v>
      </c>
      <c r="AC316" s="64" t="s">
        <v>52</v>
      </c>
      <c r="AD316" s="64" t="s">
        <v>51</v>
      </c>
      <c r="AE316" s="64" t="s">
        <v>53</v>
      </c>
      <c r="AF316" s="64" t="s">
        <v>54</v>
      </c>
      <c r="AG316" s="64" t="s">
        <v>20</v>
      </c>
      <c r="AH316" s="64" t="s">
        <v>19</v>
      </c>
      <c r="AI316" s="64" t="s">
        <v>55</v>
      </c>
      <c r="AJ316" s="64" t="s">
        <v>56</v>
      </c>
      <c r="AK316" s="64" t="s">
        <v>52</v>
      </c>
      <c r="AL316" s="64" t="s">
        <v>51</v>
      </c>
      <c r="AM316" s="64" t="s">
        <v>57</v>
      </c>
      <c r="AN316" s="64" t="s">
        <v>58</v>
      </c>
      <c r="AO316" s="64" t="s">
        <v>53</v>
      </c>
      <c r="AP316" s="64" t="s">
        <v>54</v>
      </c>
      <c r="AQ316" s="46"/>
      <c r="AR316" s="46"/>
      <c r="AS316" s="46"/>
      <c r="AT316" s="46"/>
      <c r="AU316" s="46"/>
      <c r="AV316" s="46"/>
      <c r="AW316" s="46"/>
      <c r="AX316" s="46"/>
    </row>
    <row r="317" spans="2:53" ht="16.5" customHeight="1" thickBot="1" x14ac:dyDescent="0.3">
      <c r="B317" s="1" t="s">
        <v>0</v>
      </c>
      <c r="C317" s="10">
        <v>9</v>
      </c>
      <c r="D317">
        <f>C317</f>
        <v>9</v>
      </c>
      <c r="F317" s="12" t="s">
        <v>0</v>
      </c>
      <c r="G317" s="77"/>
      <c r="H317" s="66"/>
      <c r="I317" s="66"/>
      <c r="J317" s="67"/>
      <c r="K317" s="65"/>
      <c r="L317" s="66"/>
      <c r="M317" s="66"/>
      <c r="N317" s="66"/>
      <c r="O317" s="65"/>
      <c r="P317" s="67">
        <v>1</v>
      </c>
      <c r="Q317" s="65">
        <v>2</v>
      </c>
      <c r="R317" s="66"/>
      <c r="S317" s="66">
        <v>2</v>
      </c>
      <c r="T317" s="66"/>
      <c r="U317" s="66"/>
      <c r="V317" s="66">
        <v>2</v>
      </c>
      <c r="W317" s="66">
        <v>2</v>
      </c>
      <c r="X317" s="67"/>
      <c r="Y317" s="77"/>
      <c r="Z317" s="66"/>
      <c r="AA317" s="66"/>
      <c r="AB317" s="66"/>
      <c r="AC317" s="65"/>
      <c r="AD317" s="66"/>
      <c r="AE317" s="66"/>
      <c r="AF317" s="67"/>
      <c r="AG317" s="66"/>
      <c r="AH317" s="67"/>
      <c r="AI317" s="66"/>
      <c r="AJ317" s="66">
        <v>3</v>
      </c>
      <c r="AK317" s="66"/>
      <c r="AL317" s="66">
        <v>2</v>
      </c>
      <c r="AM317" s="66"/>
      <c r="AN317" s="66">
        <v>2</v>
      </c>
      <c r="AO317" s="66">
        <v>1</v>
      </c>
      <c r="AP317" s="66">
        <v>1</v>
      </c>
      <c r="AQ317" s="65"/>
      <c r="AR317" s="65">
        <v>3</v>
      </c>
      <c r="AS317" s="65"/>
      <c r="AT317" s="65">
        <v>1</v>
      </c>
      <c r="AU317" s="65"/>
      <c r="AV317" s="65"/>
      <c r="AW317" s="65"/>
      <c r="AX317" s="68"/>
      <c r="AY317" s="17">
        <v>4</v>
      </c>
      <c r="AZ317" s="17">
        <v>1</v>
      </c>
    </row>
    <row r="318" spans="2:53" ht="16.5" customHeight="1" thickBot="1" x14ac:dyDescent="0.3">
      <c r="B318" s="1" t="s">
        <v>1</v>
      </c>
      <c r="C318" s="10">
        <v>6</v>
      </c>
      <c r="D318">
        <f t="shared" ref="D318:D320" si="34">C318</f>
        <v>6</v>
      </c>
      <c r="F318" s="1" t="s">
        <v>1</v>
      </c>
      <c r="G318" s="78"/>
      <c r="H318" s="46"/>
      <c r="I318" s="46"/>
      <c r="J318" s="70"/>
      <c r="K318" s="69"/>
      <c r="L318" s="46"/>
      <c r="M318" s="46"/>
      <c r="N318" s="46"/>
      <c r="O318" s="69"/>
      <c r="P318" s="70">
        <v>1</v>
      </c>
      <c r="Q318" s="69"/>
      <c r="R318" s="46"/>
      <c r="S318" s="46">
        <v>4</v>
      </c>
      <c r="T318" s="46"/>
      <c r="U318" s="46"/>
      <c r="V318" s="46"/>
      <c r="W318" s="46"/>
      <c r="X318" s="70">
        <v>1</v>
      </c>
      <c r="Y318" s="78"/>
      <c r="Z318" s="46"/>
      <c r="AA318" s="46"/>
      <c r="AB318" s="46"/>
      <c r="AC318" s="69"/>
      <c r="AD318" s="46"/>
      <c r="AE318" s="46"/>
      <c r="AF318" s="70"/>
      <c r="AG318" s="46"/>
      <c r="AH318" s="70"/>
      <c r="AI318" s="46"/>
      <c r="AJ318" s="46"/>
      <c r="AK318" s="46">
        <v>1</v>
      </c>
      <c r="AL318" s="46"/>
      <c r="AM318" s="46"/>
      <c r="AN318" s="46"/>
      <c r="AO318" s="46"/>
      <c r="AP318" s="46">
        <v>5</v>
      </c>
      <c r="AQ318" s="69">
        <v>1</v>
      </c>
      <c r="AR318" s="69">
        <v>1</v>
      </c>
      <c r="AS318" s="69"/>
      <c r="AT318" s="69">
        <v>5</v>
      </c>
      <c r="AU318" s="69"/>
      <c r="AV318" s="69"/>
      <c r="AW318" s="69"/>
      <c r="AX318" s="71"/>
      <c r="AY318" s="18"/>
      <c r="AZ318" s="18">
        <v>5</v>
      </c>
    </row>
    <row r="319" spans="2:53" ht="16.5" customHeight="1" thickBot="1" x14ac:dyDescent="0.3">
      <c r="B319" s="1" t="s">
        <v>2</v>
      </c>
      <c r="C319" s="10">
        <v>2</v>
      </c>
      <c r="D319">
        <f>C319</f>
        <v>2</v>
      </c>
      <c r="F319" s="1" t="s">
        <v>2</v>
      </c>
      <c r="G319" s="78"/>
      <c r="H319" s="46"/>
      <c r="I319" s="46"/>
      <c r="J319" s="70"/>
      <c r="K319" s="69">
        <v>1</v>
      </c>
      <c r="L319" s="46"/>
      <c r="M319" s="46"/>
      <c r="N319" s="46"/>
      <c r="O319" s="69"/>
      <c r="P319" s="70"/>
      <c r="Q319" s="69"/>
      <c r="R319" s="46"/>
      <c r="S319" s="46">
        <v>1</v>
      </c>
      <c r="T319" s="46"/>
      <c r="U319" s="46"/>
      <c r="V319" s="46"/>
      <c r="W319" s="46"/>
      <c r="X319" s="70"/>
      <c r="Y319" s="78"/>
      <c r="Z319" s="46"/>
      <c r="AA319" s="46"/>
      <c r="AB319" s="46"/>
      <c r="AC319" s="69"/>
      <c r="AD319" s="46"/>
      <c r="AE319" s="46"/>
      <c r="AF319" s="70"/>
      <c r="AG319" s="46"/>
      <c r="AH319" s="70"/>
      <c r="AI319" s="46"/>
      <c r="AJ319" s="46"/>
      <c r="AK319" s="46"/>
      <c r="AL319" s="46"/>
      <c r="AM319" s="46"/>
      <c r="AN319" s="46"/>
      <c r="AO319" s="46"/>
      <c r="AP319" s="46">
        <v>2</v>
      </c>
      <c r="AQ319" s="69"/>
      <c r="AR319" s="69"/>
      <c r="AS319" s="69"/>
      <c r="AT319" s="69">
        <v>2</v>
      </c>
      <c r="AU319" s="69"/>
      <c r="AV319" s="69"/>
      <c r="AW319" s="69"/>
      <c r="AX319" s="71"/>
      <c r="AY319" s="18"/>
      <c r="AZ319" s="18">
        <v>2</v>
      </c>
    </row>
    <row r="320" spans="2:53" ht="16.5" customHeight="1" thickBot="1" x14ac:dyDescent="0.3">
      <c r="B320" s="1" t="s">
        <v>3</v>
      </c>
      <c r="C320" s="10"/>
      <c r="D320" s="7">
        <f t="shared" si="34"/>
        <v>0</v>
      </c>
      <c r="F320" s="1" t="s">
        <v>3</v>
      </c>
      <c r="G320" s="79"/>
      <c r="H320" s="73"/>
      <c r="I320" s="73"/>
      <c r="J320" s="74"/>
      <c r="K320" s="72"/>
      <c r="L320" s="73"/>
      <c r="M320" s="73"/>
      <c r="N320" s="73"/>
      <c r="O320" s="72"/>
      <c r="P320" s="74"/>
      <c r="Q320" s="72"/>
      <c r="R320" s="73"/>
      <c r="S320" s="73"/>
      <c r="T320" s="73"/>
      <c r="U320" s="73"/>
      <c r="V320" s="73"/>
      <c r="W320" s="73"/>
      <c r="X320" s="74"/>
      <c r="Y320" s="79"/>
      <c r="Z320" s="73"/>
      <c r="AA320" s="73"/>
      <c r="AB320" s="73"/>
      <c r="AC320" s="72"/>
      <c r="AD320" s="73"/>
      <c r="AE320" s="73"/>
      <c r="AF320" s="74"/>
      <c r="AG320" s="73"/>
      <c r="AH320" s="74"/>
      <c r="AI320" s="73"/>
      <c r="AJ320" s="73"/>
      <c r="AK320" s="73"/>
      <c r="AL320" s="73"/>
      <c r="AM320" s="73"/>
      <c r="AN320" s="73"/>
      <c r="AO320" s="73"/>
      <c r="AP320" s="73"/>
      <c r="AQ320" s="72"/>
      <c r="AR320" s="72"/>
      <c r="AS320" s="72"/>
      <c r="AT320" s="72"/>
      <c r="AU320" s="72"/>
      <c r="AV320" s="72"/>
      <c r="AW320" s="72"/>
      <c r="AX320" s="75"/>
      <c r="AY320" s="19"/>
      <c r="AZ320" s="19"/>
    </row>
    <row r="321" spans="2:53" ht="21" customHeight="1" x14ac:dyDescent="0.25">
      <c r="B321" s="2"/>
      <c r="C321" s="3" t="s">
        <v>25</v>
      </c>
      <c r="D321" s="9">
        <f>SUM(D317:D320)</f>
        <v>17</v>
      </c>
      <c r="G321" s="80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80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</row>
    <row r="322" spans="2:53" x14ac:dyDescent="0.25"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</row>
    <row r="323" spans="2:53" ht="15.75" x14ac:dyDescent="0.25">
      <c r="G323" s="100" t="s">
        <v>22</v>
      </c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1" t="s">
        <v>21</v>
      </c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46"/>
      <c r="AR323" s="46"/>
      <c r="AS323" s="46"/>
      <c r="AT323" s="46"/>
      <c r="AU323" s="46"/>
      <c r="AV323" s="46"/>
      <c r="AW323" s="46"/>
      <c r="AX323" s="46"/>
    </row>
    <row r="324" spans="2:53" ht="32.25" thickBot="1" x14ac:dyDescent="0.3">
      <c r="G324" s="102" t="s">
        <v>14</v>
      </c>
      <c r="H324" s="102"/>
      <c r="I324" s="102"/>
      <c r="J324" s="102"/>
      <c r="K324" s="102" t="s">
        <v>15</v>
      </c>
      <c r="L324" s="102"/>
      <c r="M324" s="102"/>
      <c r="N324" s="102"/>
      <c r="O324" s="102" t="s">
        <v>59</v>
      </c>
      <c r="P324" s="102"/>
      <c r="Q324" s="102" t="s">
        <v>16</v>
      </c>
      <c r="R324" s="102"/>
      <c r="S324" s="102"/>
      <c r="T324" s="102"/>
      <c r="U324" s="102"/>
      <c r="V324" s="102"/>
      <c r="W324" s="102"/>
      <c r="X324" s="102"/>
      <c r="Y324" s="102" t="s">
        <v>14</v>
      </c>
      <c r="Z324" s="102"/>
      <c r="AA324" s="102"/>
      <c r="AB324" s="102"/>
      <c r="AC324" s="102" t="s">
        <v>15</v>
      </c>
      <c r="AD324" s="102"/>
      <c r="AE324" s="102"/>
      <c r="AF324" s="102"/>
      <c r="AG324" s="102" t="s">
        <v>59</v>
      </c>
      <c r="AH324" s="102"/>
      <c r="AI324" s="102" t="s">
        <v>16</v>
      </c>
      <c r="AJ324" s="102"/>
      <c r="AK324" s="102"/>
      <c r="AL324" s="102"/>
      <c r="AM324" s="102"/>
      <c r="AN324" s="102"/>
      <c r="AO324" s="102"/>
      <c r="AP324" s="102"/>
      <c r="AQ324" s="76" t="s">
        <v>60</v>
      </c>
      <c r="AR324" s="76" t="s">
        <v>70</v>
      </c>
      <c r="AS324" s="76" t="s">
        <v>65</v>
      </c>
      <c r="AT324" s="76" t="s">
        <v>61</v>
      </c>
      <c r="AU324" s="76" t="s">
        <v>62</v>
      </c>
      <c r="AV324" s="76" t="s">
        <v>27</v>
      </c>
      <c r="AW324" s="76" t="s">
        <v>64</v>
      </c>
      <c r="AX324" s="76" t="s">
        <v>63</v>
      </c>
      <c r="AY324" s="76" t="s">
        <v>66</v>
      </c>
      <c r="AZ324" s="76" t="s">
        <v>67</v>
      </c>
    </row>
    <row r="325" spans="2:53" ht="48" thickBot="1" x14ac:dyDescent="0.3">
      <c r="B325" s="20">
        <v>0.36458333333333331</v>
      </c>
      <c r="C325" s="14" t="s">
        <v>13</v>
      </c>
      <c r="D325" s="8" t="s">
        <v>6</v>
      </c>
      <c r="F325" s="13"/>
      <c r="G325" s="81" t="s">
        <v>20</v>
      </c>
      <c r="H325" s="64" t="s">
        <v>17</v>
      </c>
      <c r="I325" s="64" t="s">
        <v>19</v>
      </c>
      <c r="J325" s="64" t="s">
        <v>18</v>
      </c>
      <c r="K325" s="64" t="s">
        <v>52</v>
      </c>
      <c r="L325" s="64" t="s">
        <v>51</v>
      </c>
      <c r="M325" s="64" t="s">
        <v>53</v>
      </c>
      <c r="N325" s="64" t="s">
        <v>54</v>
      </c>
      <c r="O325" s="64" t="s">
        <v>20</v>
      </c>
      <c r="P325" s="64" t="s">
        <v>19</v>
      </c>
      <c r="Q325" s="64" t="s">
        <v>55</v>
      </c>
      <c r="R325" s="64" t="s">
        <v>56</v>
      </c>
      <c r="S325" s="64" t="s">
        <v>52</v>
      </c>
      <c r="T325" s="64" t="s">
        <v>51</v>
      </c>
      <c r="U325" s="64" t="s">
        <v>57</v>
      </c>
      <c r="V325" s="64" t="s">
        <v>58</v>
      </c>
      <c r="W325" s="64" t="s">
        <v>53</v>
      </c>
      <c r="X325" s="64" t="s">
        <v>54</v>
      </c>
      <c r="Y325" s="81" t="s">
        <v>20</v>
      </c>
      <c r="Z325" s="64" t="s">
        <v>17</v>
      </c>
      <c r="AA325" s="64" t="s">
        <v>19</v>
      </c>
      <c r="AB325" s="64" t="s">
        <v>18</v>
      </c>
      <c r="AC325" s="64" t="s">
        <v>52</v>
      </c>
      <c r="AD325" s="64" t="s">
        <v>51</v>
      </c>
      <c r="AE325" s="64" t="s">
        <v>53</v>
      </c>
      <c r="AF325" s="64" t="s">
        <v>54</v>
      </c>
      <c r="AG325" s="64" t="s">
        <v>20</v>
      </c>
      <c r="AH325" s="64" t="s">
        <v>19</v>
      </c>
      <c r="AI325" s="64" t="s">
        <v>55</v>
      </c>
      <c r="AJ325" s="64" t="s">
        <v>56</v>
      </c>
      <c r="AK325" s="64" t="s">
        <v>52</v>
      </c>
      <c r="AL325" s="64" t="s">
        <v>51</v>
      </c>
      <c r="AM325" s="64" t="s">
        <v>57</v>
      </c>
      <c r="AN325" s="64" t="s">
        <v>58</v>
      </c>
      <c r="AO325" s="64" t="s">
        <v>53</v>
      </c>
      <c r="AP325" s="64" t="s">
        <v>54</v>
      </c>
      <c r="AQ325" s="46"/>
      <c r="AR325" s="46"/>
      <c r="AS325" s="46"/>
      <c r="AT325" s="46"/>
      <c r="AU325" s="46"/>
      <c r="AV325" s="46"/>
      <c r="AW325" s="46"/>
      <c r="AX325" s="46"/>
    </row>
    <row r="326" spans="2:53" ht="16.5" customHeight="1" thickBot="1" x14ac:dyDescent="0.3">
      <c r="B326" s="1" t="s">
        <v>0</v>
      </c>
      <c r="C326" s="10">
        <v>57</v>
      </c>
      <c r="D326">
        <f>C326</f>
        <v>57</v>
      </c>
      <c r="F326" s="12" t="s">
        <v>0</v>
      </c>
      <c r="G326" s="77"/>
      <c r="H326" s="66"/>
      <c r="I326" s="66"/>
      <c r="J326" s="67"/>
      <c r="K326" s="65"/>
      <c r="L326" s="66"/>
      <c r="M326" s="66"/>
      <c r="N326" s="66"/>
      <c r="O326" s="65">
        <v>1</v>
      </c>
      <c r="P326" s="67"/>
      <c r="Q326" s="65"/>
      <c r="R326" s="66">
        <v>9</v>
      </c>
      <c r="S326" s="66">
        <v>20</v>
      </c>
      <c r="T326" s="66">
        <v>12</v>
      </c>
      <c r="U326" s="66">
        <v>4</v>
      </c>
      <c r="V326" s="66">
        <v>10</v>
      </c>
      <c r="W326" s="66"/>
      <c r="X326" s="67">
        <v>1</v>
      </c>
      <c r="Y326" s="77"/>
      <c r="Z326" s="66"/>
      <c r="AA326" s="66"/>
      <c r="AB326" s="66"/>
      <c r="AC326" s="65"/>
      <c r="AD326" s="66"/>
      <c r="AE326" s="66"/>
      <c r="AF326" s="67"/>
      <c r="AG326" s="66">
        <v>1</v>
      </c>
      <c r="AH326" s="67">
        <v>1</v>
      </c>
      <c r="AI326" s="66"/>
      <c r="AJ326" s="66">
        <v>1</v>
      </c>
      <c r="AK326" s="66"/>
      <c r="AL326" s="66"/>
      <c r="AM326" s="66"/>
      <c r="AN326" s="66"/>
      <c r="AO326" s="66">
        <v>12</v>
      </c>
      <c r="AP326" s="66">
        <v>44</v>
      </c>
      <c r="AQ326" s="65"/>
      <c r="AR326" s="65"/>
      <c r="AS326" s="65"/>
      <c r="AT326" s="65">
        <v>11</v>
      </c>
      <c r="AU326" s="65"/>
      <c r="AV326" s="65">
        <v>2</v>
      </c>
      <c r="AW326" s="65">
        <v>5</v>
      </c>
      <c r="AX326" s="68">
        <v>1</v>
      </c>
      <c r="AY326" s="17"/>
      <c r="AZ326" s="17">
        <v>7</v>
      </c>
      <c r="BA326" t="s">
        <v>71</v>
      </c>
    </row>
    <row r="327" spans="2:53" ht="16.5" customHeight="1" thickBot="1" x14ac:dyDescent="0.3">
      <c r="B327" s="1" t="s">
        <v>1</v>
      </c>
      <c r="C327" s="10">
        <v>60</v>
      </c>
      <c r="D327">
        <f t="shared" ref="D327:D329" si="35">C327</f>
        <v>60</v>
      </c>
      <c r="F327" s="1" t="s">
        <v>1</v>
      </c>
      <c r="G327" s="78"/>
      <c r="H327" s="46"/>
      <c r="I327" s="46"/>
      <c r="J327" s="70"/>
      <c r="K327" s="69"/>
      <c r="L327" s="46"/>
      <c r="M327" s="46"/>
      <c r="N327" s="46">
        <v>1</v>
      </c>
      <c r="O327" s="69">
        <v>3</v>
      </c>
      <c r="P327" s="70">
        <v>11</v>
      </c>
      <c r="Q327" s="69"/>
      <c r="R327" s="46">
        <v>2</v>
      </c>
      <c r="S327" s="46">
        <v>25</v>
      </c>
      <c r="T327" s="46">
        <v>9</v>
      </c>
      <c r="U327" s="46">
        <v>3</v>
      </c>
      <c r="V327" s="46">
        <v>6</v>
      </c>
      <c r="W327" s="46">
        <v>1</v>
      </c>
      <c r="X327" s="70"/>
      <c r="Y327" s="78"/>
      <c r="Z327" s="46"/>
      <c r="AA327" s="46"/>
      <c r="AB327" s="46"/>
      <c r="AC327" s="69"/>
      <c r="AD327" s="46">
        <v>1</v>
      </c>
      <c r="AE327" s="46"/>
      <c r="AF327" s="70"/>
      <c r="AG327" s="46">
        <v>1</v>
      </c>
      <c r="AH327" s="70"/>
      <c r="AI327" s="46"/>
      <c r="AJ327" s="46"/>
      <c r="AK327" s="46">
        <v>1</v>
      </c>
      <c r="AL327" s="46"/>
      <c r="AM327" s="46"/>
      <c r="AN327" s="46">
        <v>1</v>
      </c>
      <c r="AO327" s="46">
        <v>6</v>
      </c>
      <c r="AP327" s="46">
        <v>51</v>
      </c>
      <c r="AQ327" s="69"/>
      <c r="AR327" s="69"/>
      <c r="AS327" s="69"/>
      <c r="AT327" s="69">
        <v>12</v>
      </c>
      <c r="AU327" s="69"/>
      <c r="AV327" s="69"/>
      <c r="AW327" s="69"/>
      <c r="AX327" s="71"/>
      <c r="AY327" s="18"/>
      <c r="AZ327" s="18">
        <v>9</v>
      </c>
    </row>
    <row r="328" spans="2:53" ht="16.5" customHeight="1" thickBot="1" x14ac:dyDescent="0.3">
      <c r="B328" s="1" t="s">
        <v>2</v>
      </c>
      <c r="C328" s="10">
        <v>35</v>
      </c>
      <c r="D328">
        <f>C328</f>
        <v>35</v>
      </c>
      <c r="F328" s="1" t="s">
        <v>2</v>
      </c>
      <c r="G328" s="78"/>
      <c r="H328" s="46"/>
      <c r="I328" s="46"/>
      <c r="J328" s="70"/>
      <c r="K328" s="69">
        <v>1</v>
      </c>
      <c r="L328" s="46"/>
      <c r="M328" s="46"/>
      <c r="N328" s="46"/>
      <c r="O328" s="69"/>
      <c r="P328" s="70">
        <v>3</v>
      </c>
      <c r="Q328" s="69"/>
      <c r="R328" s="46">
        <v>5</v>
      </c>
      <c r="S328" s="46">
        <v>2</v>
      </c>
      <c r="T328" s="46">
        <v>11</v>
      </c>
      <c r="U328" s="46">
        <v>8</v>
      </c>
      <c r="V328" s="46">
        <v>4</v>
      </c>
      <c r="W328" s="46"/>
      <c r="X328" s="70"/>
      <c r="Y328" s="78"/>
      <c r="Z328" s="46"/>
      <c r="AA328" s="46"/>
      <c r="AB328" s="46"/>
      <c r="AC328" s="69"/>
      <c r="AD328" s="46"/>
      <c r="AE328" s="46"/>
      <c r="AF328" s="70">
        <v>1</v>
      </c>
      <c r="AG328" s="46"/>
      <c r="AH328" s="70"/>
      <c r="AI328" s="46"/>
      <c r="AJ328" s="46"/>
      <c r="AK328" s="46"/>
      <c r="AL328" s="46"/>
      <c r="AM328" s="46"/>
      <c r="AN328" s="46"/>
      <c r="AO328" s="46">
        <v>4</v>
      </c>
      <c r="AP328" s="46">
        <v>27</v>
      </c>
      <c r="AQ328" s="69"/>
      <c r="AR328" s="69"/>
      <c r="AS328" s="69"/>
      <c r="AT328" s="69">
        <v>10</v>
      </c>
      <c r="AU328" s="69"/>
      <c r="AV328" s="69"/>
      <c r="AW328" s="69"/>
      <c r="AX328" s="71"/>
      <c r="AY328" s="18"/>
      <c r="AZ328" s="18">
        <v>2</v>
      </c>
    </row>
    <row r="329" spans="2:53" ht="16.5" customHeight="1" thickBot="1" x14ac:dyDescent="0.3">
      <c r="B329" s="1" t="s">
        <v>3</v>
      </c>
      <c r="C329" s="10"/>
      <c r="D329" s="7">
        <f t="shared" si="35"/>
        <v>0</v>
      </c>
      <c r="F329" s="1" t="s">
        <v>3</v>
      </c>
      <c r="G329" s="79"/>
      <c r="H329" s="73"/>
      <c r="I329" s="73"/>
      <c r="J329" s="74"/>
      <c r="K329" s="72"/>
      <c r="L329" s="73"/>
      <c r="M329" s="73"/>
      <c r="N329" s="73"/>
      <c r="O329" s="72"/>
      <c r="P329" s="74"/>
      <c r="Q329" s="72"/>
      <c r="R329" s="73"/>
      <c r="S329" s="73"/>
      <c r="T329" s="73"/>
      <c r="U329" s="73"/>
      <c r="V329" s="73"/>
      <c r="W329" s="73"/>
      <c r="X329" s="74"/>
      <c r="Y329" s="79"/>
      <c r="Z329" s="73"/>
      <c r="AA329" s="73"/>
      <c r="AB329" s="73"/>
      <c r="AC329" s="72"/>
      <c r="AD329" s="73"/>
      <c r="AE329" s="73"/>
      <c r="AF329" s="74"/>
      <c r="AG329" s="73"/>
      <c r="AH329" s="74"/>
      <c r="AI329" s="73"/>
      <c r="AJ329" s="73"/>
      <c r="AK329" s="73"/>
      <c r="AL329" s="73"/>
      <c r="AM329" s="73"/>
      <c r="AN329" s="73"/>
      <c r="AO329" s="73"/>
      <c r="AP329" s="73"/>
      <c r="AQ329" s="72"/>
      <c r="AR329" s="72"/>
      <c r="AS329" s="72"/>
      <c r="AT329" s="72"/>
      <c r="AU329" s="72"/>
      <c r="AV329" s="72"/>
      <c r="AW329" s="72"/>
      <c r="AX329" s="75"/>
      <c r="AY329" s="19"/>
      <c r="AZ329" s="19"/>
    </row>
    <row r="330" spans="2:53" ht="21" customHeight="1" x14ac:dyDescent="0.25">
      <c r="B330" s="2"/>
      <c r="C330" s="3" t="s">
        <v>25</v>
      </c>
      <c r="D330" s="9">
        <f>SUM(D326:D329)</f>
        <v>152</v>
      </c>
      <c r="G330" s="80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80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</row>
    <row r="331" spans="2:53" x14ac:dyDescent="0.25"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</row>
    <row r="332" spans="2:53" ht="15.75" x14ac:dyDescent="0.25">
      <c r="G332" s="100" t="s">
        <v>22</v>
      </c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1" t="s">
        <v>21</v>
      </c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46"/>
      <c r="AR332" s="46"/>
      <c r="AS332" s="46"/>
      <c r="AT332" s="46"/>
      <c r="AU332" s="46"/>
      <c r="AV332" s="46"/>
      <c r="AW332" s="46"/>
      <c r="AX332" s="46"/>
    </row>
    <row r="333" spans="2:53" ht="32.25" thickBot="1" x14ac:dyDescent="0.3">
      <c r="G333" s="102" t="s">
        <v>14</v>
      </c>
      <c r="H333" s="102"/>
      <c r="I333" s="102"/>
      <c r="J333" s="102"/>
      <c r="K333" s="102" t="s">
        <v>15</v>
      </c>
      <c r="L333" s="102"/>
      <c r="M333" s="102"/>
      <c r="N333" s="102"/>
      <c r="O333" s="102" t="s">
        <v>59</v>
      </c>
      <c r="P333" s="102"/>
      <c r="Q333" s="102" t="s">
        <v>16</v>
      </c>
      <c r="R333" s="102"/>
      <c r="S333" s="102"/>
      <c r="T333" s="102"/>
      <c r="U333" s="102"/>
      <c r="V333" s="102"/>
      <c r="W333" s="102"/>
      <c r="X333" s="102"/>
      <c r="Y333" s="102" t="s">
        <v>14</v>
      </c>
      <c r="Z333" s="102"/>
      <c r="AA333" s="102"/>
      <c r="AB333" s="102"/>
      <c r="AC333" s="102" t="s">
        <v>15</v>
      </c>
      <c r="AD333" s="102"/>
      <c r="AE333" s="102"/>
      <c r="AF333" s="102"/>
      <c r="AG333" s="102" t="s">
        <v>59</v>
      </c>
      <c r="AH333" s="102"/>
      <c r="AI333" s="102" t="s">
        <v>16</v>
      </c>
      <c r="AJ333" s="102"/>
      <c r="AK333" s="102"/>
      <c r="AL333" s="102"/>
      <c r="AM333" s="102"/>
      <c r="AN333" s="102"/>
      <c r="AO333" s="102"/>
      <c r="AP333" s="102"/>
      <c r="AQ333" s="76" t="s">
        <v>60</v>
      </c>
      <c r="AR333" s="76" t="s">
        <v>70</v>
      </c>
      <c r="AS333" s="76" t="s">
        <v>65</v>
      </c>
      <c r="AT333" s="76" t="s">
        <v>61</v>
      </c>
      <c r="AU333" s="76" t="s">
        <v>62</v>
      </c>
      <c r="AV333" s="76" t="s">
        <v>27</v>
      </c>
      <c r="AW333" s="76" t="s">
        <v>64</v>
      </c>
      <c r="AX333" s="76" t="s">
        <v>63</v>
      </c>
      <c r="AY333" s="76" t="s">
        <v>66</v>
      </c>
      <c r="AZ333" s="76" t="s">
        <v>67</v>
      </c>
    </row>
    <row r="334" spans="2:53" ht="48" thickBot="1" x14ac:dyDescent="0.3">
      <c r="B334" s="21">
        <v>0.375</v>
      </c>
      <c r="C334" s="14" t="s">
        <v>13</v>
      </c>
      <c r="D334" s="8" t="s">
        <v>6</v>
      </c>
      <c r="F334" s="13"/>
      <c r="G334" s="81" t="s">
        <v>20</v>
      </c>
      <c r="H334" s="64" t="s">
        <v>17</v>
      </c>
      <c r="I334" s="64" t="s">
        <v>19</v>
      </c>
      <c r="J334" s="64" t="s">
        <v>18</v>
      </c>
      <c r="K334" s="64" t="s">
        <v>52</v>
      </c>
      <c r="L334" s="64" t="s">
        <v>51</v>
      </c>
      <c r="M334" s="64" t="s">
        <v>53</v>
      </c>
      <c r="N334" s="64" t="s">
        <v>54</v>
      </c>
      <c r="O334" s="64" t="s">
        <v>20</v>
      </c>
      <c r="P334" s="64" t="s">
        <v>19</v>
      </c>
      <c r="Q334" s="64" t="s">
        <v>55</v>
      </c>
      <c r="R334" s="64" t="s">
        <v>56</v>
      </c>
      <c r="S334" s="64" t="s">
        <v>52</v>
      </c>
      <c r="T334" s="64" t="s">
        <v>51</v>
      </c>
      <c r="U334" s="64" t="s">
        <v>57</v>
      </c>
      <c r="V334" s="64" t="s">
        <v>58</v>
      </c>
      <c r="W334" s="64" t="s">
        <v>53</v>
      </c>
      <c r="X334" s="64" t="s">
        <v>54</v>
      </c>
      <c r="Y334" s="81" t="s">
        <v>20</v>
      </c>
      <c r="Z334" s="64" t="s">
        <v>17</v>
      </c>
      <c r="AA334" s="64" t="s">
        <v>19</v>
      </c>
      <c r="AB334" s="64" t="s">
        <v>18</v>
      </c>
      <c r="AC334" s="64" t="s">
        <v>52</v>
      </c>
      <c r="AD334" s="64" t="s">
        <v>51</v>
      </c>
      <c r="AE334" s="64" t="s">
        <v>53</v>
      </c>
      <c r="AF334" s="64" t="s">
        <v>54</v>
      </c>
      <c r="AG334" s="64" t="s">
        <v>20</v>
      </c>
      <c r="AH334" s="64" t="s">
        <v>19</v>
      </c>
      <c r="AI334" s="64" t="s">
        <v>55</v>
      </c>
      <c r="AJ334" s="64" t="s">
        <v>56</v>
      </c>
      <c r="AK334" s="64" t="s">
        <v>52</v>
      </c>
      <c r="AL334" s="64" t="s">
        <v>51</v>
      </c>
      <c r="AM334" s="64" t="s">
        <v>57</v>
      </c>
      <c r="AN334" s="64" t="s">
        <v>58</v>
      </c>
      <c r="AO334" s="64" t="s">
        <v>53</v>
      </c>
      <c r="AP334" s="64" t="s">
        <v>54</v>
      </c>
      <c r="AQ334" s="46"/>
      <c r="AR334" s="46"/>
      <c r="AS334" s="46"/>
      <c r="AT334" s="46"/>
      <c r="AU334" s="46"/>
      <c r="AV334" s="46"/>
      <c r="AW334" s="46"/>
      <c r="AX334" s="46"/>
    </row>
    <row r="335" spans="2:53" ht="16.5" customHeight="1" thickBot="1" x14ac:dyDescent="0.3">
      <c r="B335" s="1" t="s">
        <v>0</v>
      </c>
      <c r="C335" s="10">
        <v>41</v>
      </c>
      <c r="D335">
        <f>C335</f>
        <v>41</v>
      </c>
      <c r="F335" s="12" t="s">
        <v>0</v>
      </c>
      <c r="G335" s="77"/>
      <c r="H335" s="66"/>
      <c r="I335" s="66"/>
      <c r="J335" s="67"/>
      <c r="K335" s="65">
        <v>1</v>
      </c>
      <c r="L335" s="66"/>
      <c r="M335" s="66"/>
      <c r="N335" s="66"/>
      <c r="O335" s="65"/>
      <c r="P335" s="67">
        <v>1</v>
      </c>
      <c r="Q335" s="65">
        <v>7</v>
      </c>
      <c r="R335" s="66">
        <v>2</v>
      </c>
      <c r="S335" s="66">
        <v>5</v>
      </c>
      <c r="T335" s="66">
        <v>4</v>
      </c>
      <c r="U335" s="66">
        <v>14</v>
      </c>
      <c r="V335" s="66">
        <v>1</v>
      </c>
      <c r="W335" s="66">
        <v>1</v>
      </c>
      <c r="X335" s="67">
        <v>5</v>
      </c>
      <c r="Y335" s="77"/>
      <c r="Z335" s="66"/>
      <c r="AA335" s="66"/>
      <c r="AB335" s="66"/>
      <c r="AC335" s="65">
        <v>1</v>
      </c>
      <c r="AD335" s="66"/>
      <c r="AE335" s="66"/>
      <c r="AF335" s="67"/>
      <c r="AG335" s="66"/>
      <c r="AH335" s="67"/>
      <c r="AI335" s="66"/>
      <c r="AJ335" s="66"/>
      <c r="AK335" s="66"/>
      <c r="AL335" s="66">
        <v>3</v>
      </c>
      <c r="AM335" s="66">
        <v>3</v>
      </c>
      <c r="AN335" s="66">
        <v>1</v>
      </c>
      <c r="AO335" s="66">
        <v>1</v>
      </c>
      <c r="AP335" s="66">
        <v>34</v>
      </c>
      <c r="AQ335" s="65">
        <v>1</v>
      </c>
      <c r="AR335" s="65">
        <v>1</v>
      </c>
      <c r="AS335" s="65"/>
      <c r="AT335" s="65">
        <v>20</v>
      </c>
      <c r="AU335" s="65"/>
      <c r="AV335" s="65">
        <v>4</v>
      </c>
      <c r="AW335" s="65">
        <v>2</v>
      </c>
      <c r="AX335" s="68"/>
      <c r="AY335" s="17">
        <v>2</v>
      </c>
      <c r="AZ335" s="17"/>
    </row>
    <row r="336" spans="2:53" ht="16.5" customHeight="1" thickBot="1" x14ac:dyDescent="0.3">
      <c r="B336" s="1" t="s">
        <v>1</v>
      </c>
      <c r="C336" s="10">
        <v>23</v>
      </c>
      <c r="D336">
        <f t="shared" ref="D336:D338" si="36">C336</f>
        <v>23</v>
      </c>
      <c r="F336" s="1" t="s">
        <v>1</v>
      </c>
      <c r="G336" s="78"/>
      <c r="H336" s="46"/>
      <c r="I336" s="46"/>
      <c r="J336" s="70"/>
      <c r="K336" s="69">
        <v>3</v>
      </c>
      <c r="L336" s="46"/>
      <c r="M336" s="46"/>
      <c r="N336" s="46"/>
      <c r="O336" s="69"/>
      <c r="P336" s="70">
        <v>8</v>
      </c>
      <c r="Q336" s="69"/>
      <c r="R336" s="46"/>
      <c r="S336" s="46">
        <v>4</v>
      </c>
      <c r="T336" s="46">
        <v>5</v>
      </c>
      <c r="U336" s="46">
        <v>1</v>
      </c>
      <c r="V336" s="46">
        <v>1</v>
      </c>
      <c r="W336" s="46"/>
      <c r="X336" s="70">
        <v>1</v>
      </c>
      <c r="Y336" s="78"/>
      <c r="Z336" s="46"/>
      <c r="AA336" s="46"/>
      <c r="AB336" s="46"/>
      <c r="AC336" s="69"/>
      <c r="AD336" s="46"/>
      <c r="AE336" s="46"/>
      <c r="AF336" s="70"/>
      <c r="AG336" s="46"/>
      <c r="AH336" s="70"/>
      <c r="AI336" s="46"/>
      <c r="AJ336" s="46"/>
      <c r="AK336" s="46"/>
      <c r="AL336" s="46"/>
      <c r="AM336" s="46"/>
      <c r="AN336" s="46"/>
      <c r="AO336" s="46">
        <v>1</v>
      </c>
      <c r="AP336" s="46">
        <v>20</v>
      </c>
      <c r="AQ336" s="69"/>
      <c r="AR336" s="69"/>
      <c r="AS336" s="69"/>
      <c r="AT336" s="69">
        <v>15</v>
      </c>
      <c r="AU336" s="69"/>
      <c r="AV336" s="69"/>
      <c r="AW336" s="69"/>
      <c r="AX336" s="71"/>
      <c r="AY336" s="18"/>
      <c r="AZ336" s="18"/>
    </row>
    <row r="337" spans="2:54" ht="16.5" customHeight="1" thickBot="1" x14ac:dyDescent="0.3">
      <c r="B337" s="1" t="s">
        <v>2</v>
      </c>
      <c r="C337" s="10">
        <v>17</v>
      </c>
      <c r="D337">
        <f>C337</f>
        <v>17</v>
      </c>
      <c r="F337" s="1" t="s">
        <v>2</v>
      </c>
      <c r="G337" s="78"/>
      <c r="H337" s="46"/>
      <c r="I337" s="46"/>
      <c r="J337" s="70"/>
      <c r="K337" s="69">
        <v>1</v>
      </c>
      <c r="L337" s="46"/>
      <c r="M337" s="46">
        <v>1</v>
      </c>
      <c r="N337" s="46"/>
      <c r="O337" s="69"/>
      <c r="P337" s="70">
        <v>3</v>
      </c>
      <c r="Q337" s="69"/>
      <c r="R337" s="46">
        <v>3</v>
      </c>
      <c r="S337" s="46">
        <v>3</v>
      </c>
      <c r="T337" s="46">
        <v>1</v>
      </c>
      <c r="U337" s="46">
        <v>5</v>
      </c>
      <c r="V337" s="46"/>
      <c r="W337" s="46"/>
      <c r="X337" s="70"/>
      <c r="Y337" s="78"/>
      <c r="Z337" s="46"/>
      <c r="AA337" s="46"/>
      <c r="AB337" s="46"/>
      <c r="AC337" s="69"/>
      <c r="AD337" s="46"/>
      <c r="AE337" s="46"/>
      <c r="AF337" s="70"/>
      <c r="AG337" s="46"/>
      <c r="AH337" s="70"/>
      <c r="AI337" s="46"/>
      <c r="AJ337" s="46"/>
      <c r="AK337" s="46"/>
      <c r="AL337" s="46"/>
      <c r="AM337" s="46"/>
      <c r="AN337" s="46">
        <v>1</v>
      </c>
      <c r="AO337" s="46"/>
      <c r="AP337" s="46">
        <v>16</v>
      </c>
      <c r="AQ337" s="69"/>
      <c r="AR337" s="69"/>
      <c r="AS337" s="69"/>
      <c r="AT337" s="69">
        <v>15</v>
      </c>
      <c r="AU337" s="69"/>
      <c r="AV337" s="69"/>
      <c r="AW337" s="69"/>
      <c r="AX337" s="71"/>
      <c r="AY337" s="18"/>
      <c r="AZ337" s="18"/>
    </row>
    <row r="338" spans="2:54" ht="16.5" customHeight="1" thickBot="1" x14ac:dyDescent="0.3">
      <c r="B338" s="1" t="s">
        <v>73</v>
      </c>
      <c r="C338" s="10">
        <v>1</v>
      </c>
      <c r="D338" s="7">
        <f t="shared" si="36"/>
        <v>1</v>
      </c>
      <c r="F338" s="1" t="s">
        <v>3</v>
      </c>
      <c r="G338" s="79"/>
      <c r="H338" s="73"/>
      <c r="I338" s="73"/>
      <c r="J338" s="74"/>
      <c r="K338" s="72"/>
      <c r="L338" s="73"/>
      <c r="M338" s="73"/>
      <c r="N338" s="73"/>
      <c r="O338" s="72"/>
      <c r="P338" s="74">
        <v>1</v>
      </c>
      <c r="Q338" s="72"/>
      <c r="R338" s="73"/>
      <c r="S338" s="73"/>
      <c r="T338" s="73"/>
      <c r="U338" s="73"/>
      <c r="V338" s="73"/>
      <c r="W338" s="73"/>
      <c r="X338" s="74"/>
      <c r="Y338" s="79"/>
      <c r="Z338" s="73"/>
      <c r="AA338" s="73"/>
      <c r="AB338" s="73"/>
      <c r="AC338" s="72"/>
      <c r="AD338" s="73"/>
      <c r="AE338" s="73"/>
      <c r="AF338" s="74"/>
      <c r="AG338" s="73"/>
      <c r="AH338" s="74"/>
      <c r="AI338" s="73"/>
      <c r="AJ338" s="73"/>
      <c r="AK338" s="73"/>
      <c r="AL338" s="73"/>
      <c r="AM338" s="73"/>
      <c r="AN338" s="73"/>
      <c r="AO338" s="73"/>
      <c r="AP338" s="73">
        <v>1</v>
      </c>
      <c r="AQ338" s="72"/>
      <c r="AR338" s="72"/>
      <c r="AS338" s="72"/>
      <c r="AT338" s="72"/>
      <c r="AU338" s="72"/>
      <c r="AV338" s="72"/>
      <c r="AW338" s="72"/>
      <c r="AX338" s="75"/>
      <c r="AY338" s="19"/>
      <c r="AZ338" s="19"/>
    </row>
    <row r="339" spans="2:54" ht="21" customHeight="1" x14ac:dyDescent="0.25">
      <c r="B339" s="2"/>
      <c r="C339" s="3" t="s">
        <v>25</v>
      </c>
      <c r="D339" s="9">
        <f>SUM(D335:D338)</f>
        <v>82</v>
      </c>
      <c r="G339" s="80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80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</row>
    <row r="340" spans="2:54" x14ac:dyDescent="0.25"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</row>
    <row r="341" spans="2:54" ht="15.75" x14ac:dyDescent="0.25">
      <c r="G341" s="100" t="s">
        <v>22</v>
      </c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1" t="s">
        <v>21</v>
      </c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46"/>
      <c r="AR341" s="46"/>
      <c r="AS341" s="46"/>
      <c r="AT341" s="46"/>
      <c r="AU341" s="46"/>
      <c r="AV341" s="46"/>
      <c r="AW341" s="46"/>
      <c r="AX341" s="46"/>
    </row>
    <row r="342" spans="2:54" ht="32.25" thickBot="1" x14ac:dyDescent="0.3">
      <c r="G342" s="102" t="s">
        <v>14</v>
      </c>
      <c r="H342" s="102"/>
      <c r="I342" s="102"/>
      <c r="J342" s="102"/>
      <c r="K342" s="102" t="s">
        <v>15</v>
      </c>
      <c r="L342" s="102"/>
      <c r="M342" s="102"/>
      <c r="N342" s="102"/>
      <c r="O342" s="102" t="s">
        <v>59</v>
      </c>
      <c r="P342" s="102"/>
      <c r="Q342" s="102" t="s">
        <v>16</v>
      </c>
      <c r="R342" s="102"/>
      <c r="S342" s="102"/>
      <c r="T342" s="102"/>
      <c r="U342" s="102"/>
      <c r="V342" s="102"/>
      <c r="W342" s="102"/>
      <c r="X342" s="102"/>
      <c r="Y342" s="102" t="s">
        <v>14</v>
      </c>
      <c r="Z342" s="102"/>
      <c r="AA342" s="102"/>
      <c r="AB342" s="102"/>
      <c r="AC342" s="102" t="s">
        <v>15</v>
      </c>
      <c r="AD342" s="102"/>
      <c r="AE342" s="102"/>
      <c r="AF342" s="102"/>
      <c r="AG342" s="102" t="s">
        <v>59</v>
      </c>
      <c r="AH342" s="102"/>
      <c r="AI342" s="102" t="s">
        <v>16</v>
      </c>
      <c r="AJ342" s="102"/>
      <c r="AK342" s="102"/>
      <c r="AL342" s="102"/>
      <c r="AM342" s="102"/>
      <c r="AN342" s="102"/>
      <c r="AO342" s="102"/>
      <c r="AP342" s="102"/>
      <c r="AQ342" s="76" t="s">
        <v>60</v>
      </c>
      <c r="AR342" s="76" t="s">
        <v>70</v>
      </c>
      <c r="AS342" s="76" t="s">
        <v>65</v>
      </c>
      <c r="AT342" s="76" t="s">
        <v>61</v>
      </c>
      <c r="AU342" s="76" t="s">
        <v>62</v>
      </c>
      <c r="AV342" s="76" t="s">
        <v>27</v>
      </c>
      <c r="AW342" s="76" t="s">
        <v>64</v>
      </c>
      <c r="AX342" s="76" t="s">
        <v>63</v>
      </c>
      <c r="AY342" s="76" t="s">
        <v>66</v>
      </c>
      <c r="AZ342" s="76" t="s">
        <v>67</v>
      </c>
      <c r="BA342" s="76" t="s">
        <v>74</v>
      </c>
      <c r="BB342" s="82" t="s">
        <v>75</v>
      </c>
    </row>
    <row r="343" spans="2:54" ht="48" thickBot="1" x14ac:dyDescent="0.3">
      <c r="B343" s="21">
        <v>0.38541666666666669</v>
      </c>
      <c r="C343" s="14" t="s">
        <v>13</v>
      </c>
      <c r="D343" s="8" t="s">
        <v>6</v>
      </c>
      <c r="F343" s="13"/>
      <c r="G343" s="81" t="s">
        <v>20</v>
      </c>
      <c r="H343" s="64" t="s">
        <v>17</v>
      </c>
      <c r="I343" s="64" t="s">
        <v>19</v>
      </c>
      <c r="J343" s="64" t="s">
        <v>18</v>
      </c>
      <c r="K343" s="64" t="s">
        <v>52</v>
      </c>
      <c r="L343" s="64" t="s">
        <v>51</v>
      </c>
      <c r="M343" s="64" t="s">
        <v>53</v>
      </c>
      <c r="N343" s="64" t="s">
        <v>54</v>
      </c>
      <c r="O343" s="64" t="s">
        <v>20</v>
      </c>
      <c r="P343" s="64" t="s">
        <v>19</v>
      </c>
      <c r="Q343" s="64" t="s">
        <v>55</v>
      </c>
      <c r="R343" s="64" t="s">
        <v>56</v>
      </c>
      <c r="S343" s="64" t="s">
        <v>52</v>
      </c>
      <c r="T343" s="64" t="s">
        <v>51</v>
      </c>
      <c r="U343" s="64" t="s">
        <v>57</v>
      </c>
      <c r="V343" s="64" t="s">
        <v>58</v>
      </c>
      <c r="W343" s="64" t="s">
        <v>53</v>
      </c>
      <c r="X343" s="64" t="s">
        <v>54</v>
      </c>
      <c r="Y343" s="81" t="s">
        <v>20</v>
      </c>
      <c r="Z343" s="64" t="s">
        <v>17</v>
      </c>
      <c r="AA343" s="64" t="s">
        <v>19</v>
      </c>
      <c r="AB343" s="64" t="s">
        <v>18</v>
      </c>
      <c r="AC343" s="64" t="s">
        <v>52</v>
      </c>
      <c r="AD343" s="64" t="s">
        <v>51</v>
      </c>
      <c r="AE343" s="64" t="s">
        <v>53</v>
      </c>
      <c r="AF343" s="64" t="s">
        <v>54</v>
      </c>
      <c r="AG343" s="64" t="s">
        <v>20</v>
      </c>
      <c r="AH343" s="64" t="s">
        <v>19</v>
      </c>
      <c r="AI343" s="64" t="s">
        <v>55</v>
      </c>
      <c r="AJ343" s="64" t="s">
        <v>56</v>
      </c>
      <c r="AK343" s="64" t="s">
        <v>52</v>
      </c>
      <c r="AL343" s="64" t="s">
        <v>51</v>
      </c>
      <c r="AM343" s="64" t="s">
        <v>57</v>
      </c>
      <c r="AN343" s="64" t="s">
        <v>58</v>
      </c>
      <c r="AO343" s="64" t="s">
        <v>53</v>
      </c>
      <c r="AP343" s="64" t="s">
        <v>54</v>
      </c>
      <c r="AQ343" s="46"/>
      <c r="AR343" s="46"/>
      <c r="AS343" s="46"/>
      <c r="AT343" s="46"/>
      <c r="AU343" s="46"/>
      <c r="AV343" s="46"/>
      <c r="AW343" s="46"/>
      <c r="AX343" s="46"/>
    </row>
    <row r="344" spans="2:54" ht="16.5" customHeight="1" thickBot="1" x14ac:dyDescent="0.3">
      <c r="B344" s="1" t="s">
        <v>0</v>
      </c>
      <c r="C344" s="10">
        <v>34</v>
      </c>
      <c r="D344">
        <f>C344</f>
        <v>34</v>
      </c>
      <c r="F344" s="12" t="s">
        <v>0</v>
      </c>
      <c r="G344" s="77"/>
      <c r="H344" s="66"/>
      <c r="I344" s="66"/>
      <c r="J344" s="67"/>
      <c r="K344" s="65"/>
      <c r="L344" s="66"/>
      <c r="M344" s="66"/>
      <c r="N344" s="66"/>
      <c r="O344" s="65">
        <v>1</v>
      </c>
      <c r="P344" s="67"/>
      <c r="Q344" s="65"/>
      <c r="R344" s="66">
        <v>2</v>
      </c>
      <c r="S344" s="66"/>
      <c r="T344" s="66"/>
      <c r="U344" s="66">
        <v>1</v>
      </c>
      <c r="V344" s="66">
        <v>1</v>
      </c>
      <c r="W344" s="66"/>
      <c r="X344" s="67">
        <v>29</v>
      </c>
      <c r="Y344" s="77"/>
      <c r="Z344" s="66"/>
      <c r="AA344" s="66"/>
      <c r="AB344" s="66"/>
      <c r="AC344" s="65"/>
      <c r="AD344" s="66"/>
      <c r="AE344" s="66"/>
      <c r="AF344" s="67"/>
      <c r="AG344" s="66">
        <v>3</v>
      </c>
      <c r="AH344" s="67">
        <v>1</v>
      </c>
      <c r="AI344" s="66"/>
      <c r="AJ344" s="66">
        <v>4</v>
      </c>
      <c r="AK344" s="66">
        <v>19</v>
      </c>
      <c r="AL344" s="66">
        <v>4</v>
      </c>
      <c r="AM344" s="66">
        <v>2</v>
      </c>
      <c r="AN344" s="66"/>
      <c r="AO344" s="66">
        <v>1</v>
      </c>
      <c r="AP344" s="66"/>
      <c r="AQ344" s="65">
        <v>1</v>
      </c>
      <c r="AR344" s="65">
        <v>9</v>
      </c>
      <c r="AS344" s="65"/>
      <c r="AT344" s="65"/>
      <c r="AU344" s="65"/>
      <c r="AV344" s="65"/>
      <c r="AW344" s="65">
        <v>5</v>
      </c>
      <c r="AX344" s="68">
        <v>1</v>
      </c>
      <c r="AY344" s="17">
        <v>2</v>
      </c>
      <c r="AZ344" s="17"/>
      <c r="BA344" s="17"/>
    </row>
    <row r="345" spans="2:54" ht="16.5" customHeight="1" thickBot="1" x14ac:dyDescent="0.3">
      <c r="B345" s="1" t="s">
        <v>1</v>
      </c>
      <c r="C345" s="10">
        <v>12</v>
      </c>
      <c r="D345">
        <f t="shared" ref="D345:D347" si="37">C345</f>
        <v>12</v>
      </c>
      <c r="F345" s="1" t="s">
        <v>1</v>
      </c>
      <c r="G345" s="78"/>
      <c r="H345" s="46"/>
      <c r="I345" s="46"/>
      <c r="J345" s="70"/>
      <c r="K345" s="69"/>
      <c r="L345" s="46"/>
      <c r="M345" s="46"/>
      <c r="N345" s="46"/>
      <c r="O345" s="69">
        <v>1</v>
      </c>
      <c r="P345" s="70"/>
      <c r="Q345" s="69"/>
      <c r="R345" s="46"/>
      <c r="S345" s="46"/>
      <c r="T345" s="46"/>
      <c r="U345" s="46"/>
      <c r="V345" s="46"/>
      <c r="W345" s="46"/>
      <c r="X345" s="70">
        <v>11</v>
      </c>
      <c r="Y345" s="78"/>
      <c r="Z345" s="46"/>
      <c r="AA345" s="46"/>
      <c r="AB345" s="46"/>
      <c r="AC345" s="69"/>
      <c r="AD345" s="46"/>
      <c r="AE345" s="46"/>
      <c r="AF345" s="70"/>
      <c r="AG345" s="46">
        <v>1</v>
      </c>
      <c r="AH345" s="70">
        <v>1</v>
      </c>
      <c r="AI345" s="46"/>
      <c r="AJ345" s="46">
        <v>2</v>
      </c>
      <c r="AK345" s="46">
        <v>6</v>
      </c>
      <c r="AL345" s="46"/>
      <c r="AM345" s="46">
        <v>2</v>
      </c>
      <c r="AN345" s="46"/>
      <c r="AO345" s="46"/>
      <c r="AP345" s="46"/>
      <c r="AQ345" s="69"/>
      <c r="AR345" s="69"/>
      <c r="AS345" s="69"/>
      <c r="AT345" s="69"/>
      <c r="AU345" s="69"/>
      <c r="AV345" s="69"/>
      <c r="AW345" s="69"/>
      <c r="AX345" s="71"/>
      <c r="AY345" s="18"/>
      <c r="AZ345" s="18"/>
      <c r="BA345" s="18">
        <v>1</v>
      </c>
    </row>
    <row r="346" spans="2:54" ht="16.5" customHeight="1" thickBot="1" x14ac:dyDescent="0.3">
      <c r="B346" s="1" t="s">
        <v>2</v>
      </c>
      <c r="C346" s="10">
        <v>2</v>
      </c>
      <c r="D346">
        <f>C346</f>
        <v>2</v>
      </c>
      <c r="F346" s="1" t="s">
        <v>2</v>
      </c>
      <c r="G346" s="78"/>
      <c r="H346" s="46"/>
      <c r="I346" s="46"/>
      <c r="J346" s="70"/>
      <c r="K346" s="69"/>
      <c r="L346" s="46"/>
      <c r="M346" s="46"/>
      <c r="N346" s="46"/>
      <c r="O346" s="69"/>
      <c r="P346" s="70"/>
      <c r="Q346" s="69"/>
      <c r="R346" s="46"/>
      <c r="S346" s="46"/>
      <c r="T346" s="46">
        <v>1</v>
      </c>
      <c r="U346" s="46"/>
      <c r="V346" s="46"/>
      <c r="W346" s="46"/>
      <c r="X346" s="70">
        <v>1</v>
      </c>
      <c r="Y346" s="78"/>
      <c r="Z346" s="46"/>
      <c r="AA346" s="46"/>
      <c r="AB346" s="46"/>
      <c r="AC346" s="69"/>
      <c r="AD346" s="46"/>
      <c r="AE346" s="46"/>
      <c r="AF346" s="70"/>
      <c r="AG346" s="46"/>
      <c r="AH346" s="70"/>
      <c r="AI346" s="46"/>
      <c r="AJ346" s="46"/>
      <c r="AK346" s="46"/>
      <c r="AL346" s="46"/>
      <c r="AM346" s="46">
        <v>1</v>
      </c>
      <c r="AN346" s="46"/>
      <c r="AO346" s="46"/>
      <c r="AP346" s="46">
        <v>1</v>
      </c>
      <c r="AQ346" s="69"/>
      <c r="AR346" s="69"/>
      <c r="AS346" s="69"/>
      <c r="AT346" s="69">
        <v>1</v>
      </c>
      <c r="AU346" s="69"/>
      <c r="AV346" s="69"/>
      <c r="AW346" s="69"/>
      <c r="AX346" s="71"/>
      <c r="AY346" s="18"/>
      <c r="AZ346" s="18"/>
      <c r="BA346" s="18"/>
    </row>
    <row r="347" spans="2:54" ht="16.5" customHeight="1" thickBot="1" x14ac:dyDescent="0.3">
      <c r="B347" s="1" t="s">
        <v>3</v>
      </c>
      <c r="C347" s="10"/>
      <c r="D347" s="7">
        <f t="shared" si="37"/>
        <v>0</v>
      </c>
      <c r="F347" s="1" t="s">
        <v>3</v>
      </c>
      <c r="G347" s="79"/>
      <c r="H347" s="73"/>
      <c r="I347" s="73"/>
      <c r="J347" s="74"/>
      <c r="K347" s="72"/>
      <c r="L347" s="73"/>
      <c r="M347" s="73"/>
      <c r="N347" s="73"/>
      <c r="O347" s="72"/>
      <c r="P347" s="74"/>
      <c r="Q347" s="72"/>
      <c r="R347" s="73"/>
      <c r="S347" s="73"/>
      <c r="T347" s="73"/>
      <c r="U347" s="73"/>
      <c r="V347" s="73"/>
      <c r="W347" s="73"/>
      <c r="X347" s="74"/>
      <c r="Y347" s="79"/>
      <c r="Z347" s="73"/>
      <c r="AA347" s="73"/>
      <c r="AB347" s="73"/>
      <c r="AC347" s="72"/>
      <c r="AD347" s="73"/>
      <c r="AE347" s="73"/>
      <c r="AF347" s="74"/>
      <c r="AG347" s="73"/>
      <c r="AH347" s="74"/>
      <c r="AI347" s="73"/>
      <c r="AJ347" s="73"/>
      <c r="AK347" s="73"/>
      <c r="AL347" s="73"/>
      <c r="AM347" s="73"/>
      <c r="AN347" s="73"/>
      <c r="AO347" s="73"/>
      <c r="AP347" s="73"/>
      <c r="AQ347" s="72"/>
      <c r="AR347" s="72"/>
      <c r="AS347" s="72"/>
      <c r="AT347" s="72"/>
      <c r="AU347" s="72"/>
      <c r="AV347" s="72"/>
      <c r="AW347" s="72"/>
      <c r="AX347" s="75"/>
      <c r="AY347" s="19"/>
      <c r="AZ347" s="19"/>
      <c r="BA347" s="19"/>
    </row>
    <row r="348" spans="2:54" ht="21" customHeight="1" x14ac:dyDescent="0.25">
      <c r="B348" s="2"/>
      <c r="C348" s="3" t="s">
        <v>25</v>
      </c>
      <c r="D348" s="9">
        <f>SUM(D344:D347)</f>
        <v>48</v>
      </c>
      <c r="G348" s="80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80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</row>
    <row r="349" spans="2:54" x14ac:dyDescent="0.25"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</row>
    <row r="350" spans="2:54" ht="15.75" x14ac:dyDescent="0.25">
      <c r="G350" s="100" t="s">
        <v>22</v>
      </c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1" t="s">
        <v>21</v>
      </c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46"/>
      <c r="AR350" s="46"/>
      <c r="AS350" s="46"/>
      <c r="AT350" s="46"/>
      <c r="AU350" s="46"/>
      <c r="AV350" s="46"/>
      <c r="AW350" s="46"/>
      <c r="AX350" s="46"/>
    </row>
    <row r="351" spans="2:54" ht="32.25" thickBot="1" x14ac:dyDescent="0.3">
      <c r="G351" s="102" t="s">
        <v>14</v>
      </c>
      <c r="H351" s="102"/>
      <c r="I351" s="102"/>
      <c r="J351" s="102"/>
      <c r="K351" s="102" t="s">
        <v>15</v>
      </c>
      <c r="L351" s="102"/>
      <c r="M351" s="102"/>
      <c r="N351" s="102"/>
      <c r="O351" s="102" t="s">
        <v>59</v>
      </c>
      <c r="P351" s="102"/>
      <c r="Q351" s="102" t="s">
        <v>16</v>
      </c>
      <c r="R351" s="102"/>
      <c r="S351" s="102"/>
      <c r="T351" s="102"/>
      <c r="U351" s="102"/>
      <c r="V351" s="102"/>
      <c r="W351" s="102"/>
      <c r="X351" s="102"/>
      <c r="Y351" s="102" t="s">
        <v>14</v>
      </c>
      <c r="Z351" s="102"/>
      <c r="AA351" s="102"/>
      <c r="AB351" s="102"/>
      <c r="AC351" s="102" t="s">
        <v>15</v>
      </c>
      <c r="AD351" s="102"/>
      <c r="AE351" s="102"/>
      <c r="AF351" s="102"/>
      <c r="AG351" s="102" t="s">
        <v>59</v>
      </c>
      <c r="AH351" s="102"/>
      <c r="AI351" s="102" t="s">
        <v>16</v>
      </c>
      <c r="AJ351" s="102"/>
      <c r="AK351" s="102"/>
      <c r="AL351" s="102"/>
      <c r="AM351" s="102"/>
      <c r="AN351" s="102"/>
      <c r="AO351" s="102"/>
      <c r="AP351" s="102"/>
      <c r="AQ351" s="76" t="s">
        <v>60</v>
      </c>
      <c r="AR351" s="76" t="s">
        <v>70</v>
      </c>
      <c r="AS351" s="76" t="s">
        <v>65</v>
      </c>
      <c r="AT351" s="76" t="s">
        <v>61</v>
      </c>
      <c r="AU351" s="76" t="s">
        <v>62</v>
      </c>
      <c r="AV351" s="76" t="s">
        <v>27</v>
      </c>
      <c r="AW351" s="76" t="s">
        <v>64</v>
      </c>
      <c r="AX351" s="76" t="s">
        <v>63</v>
      </c>
      <c r="AY351" s="76" t="s">
        <v>66</v>
      </c>
      <c r="AZ351" s="76" t="s">
        <v>67</v>
      </c>
    </row>
    <row r="352" spans="2:54" ht="48" thickBot="1" x14ac:dyDescent="0.3">
      <c r="B352" s="21">
        <v>0.39583333333333331</v>
      </c>
      <c r="C352" s="14" t="s">
        <v>13</v>
      </c>
      <c r="D352" s="8" t="s">
        <v>6</v>
      </c>
      <c r="F352" s="13"/>
      <c r="G352" s="63" t="s">
        <v>20</v>
      </c>
      <c r="H352" s="64" t="s">
        <v>17</v>
      </c>
      <c r="I352" s="64" t="s">
        <v>19</v>
      </c>
      <c r="J352" s="64" t="s">
        <v>18</v>
      </c>
      <c r="K352" s="64" t="s">
        <v>52</v>
      </c>
      <c r="L352" s="64" t="s">
        <v>51</v>
      </c>
      <c r="M352" s="64" t="s">
        <v>53</v>
      </c>
      <c r="N352" s="64" t="s">
        <v>54</v>
      </c>
      <c r="O352" s="64" t="s">
        <v>20</v>
      </c>
      <c r="P352" s="64" t="s">
        <v>19</v>
      </c>
      <c r="Q352" s="64" t="s">
        <v>55</v>
      </c>
      <c r="R352" s="64" t="s">
        <v>56</v>
      </c>
      <c r="S352" s="64" t="s">
        <v>52</v>
      </c>
      <c r="T352" s="64" t="s">
        <v>51</v>
      </c>
      <c r="U352" s="64" t="s">
        <v>57</v>
      </c>
      <c r="V352" s="64" t="s">
        <v>58</v>
      </c>
      <c r="W352" s="64" t="s">
        <v>53</v>
      </c>
      <c r="X352" s="64" t="s">
        <v>54</v>
      </c>
      <c r="Y352" s="63" t="s">
        <v>20</v>
      </c>
      <c r="Z352" s="64" t="s">
        <v>17</v>
      </c>
      <c r="AA352" s="64" t="s">
        <v>19</v>
      </c>
      <c r="AB352" s="64" t="s">
        <v>18</v>
      </c>
      <c r="AC352" s="64" t="s">
        <v>52</v>
      </c>
      <c r="AD352" s="64" t="s">
        <v>51</v>
      </c>
      <c r="AE352" s="64" t="s">
        <v>53</v>
      </c>
      <c r="AF352" s="64" t="s">
        <v>54</v>
      </c>
      <c r="AG352" s="64" t="s">
        <v>20</v>
      </c>
      <c r="AH352" s="64" t="s">
        <v>19</v>
      </c>
      <c r="AI352" s="64" t="s">
        <v>55</v>
      </c>
      <c r="AJ352" s="64" t="s">
        <v>56</v>
      </c>
      <c r="AK352" s="64" t="s">
        <v>52</v>
      </c>
      <c r="AL352" s="64" t="s">
        <v>51</v>
      </c>
      <c r="AM352" s="64" t="s">
        <v>57</v>
      </c>
      <c r="AN352" s="64" t="s">
        <v>58</v>
      </c>
      <c r="AO352" s="64" t="s">
        <v>53</v>
      </c>
      <c r="AP352" s="64" t="s">
        <v>54</v>
      </c>
      <c r="AQ352" s="46"/>
      <c r="AR352" s="46"/>
      <c r="AS352" s="46"/>
      <c r="AT352" s="46"/>
      <c r="AU352" s="46"/>
      <c r="AV352" s="46"/>
      <c r="AW352" s="46"/>
      <c r="AX352" s="46"/>
    </row>
    <row r="353" spans="2:53" ht="16.5" customHeight="1" thickBot="1" x14ac:dyDescent="0.3">
      <c r="B353" s="1" t="s">
        <v>0</v>
      </c>
      <c r="C353" s="10">
        <v>6</v>
      </c>
      <c r="D353">
        <f>C353</f>
        <v>6</v>
      </c>
      <c r="F353" s="12" t="s">
        <v>0</v>
      </c>
      <c r="G353" s="77"/>
      <c r="H353" s="66"/>
      <c r="I353" s="66"/>
      <c r="J353" s="67"/>
      <c r="K353" s="65"/>
      <c r="L353" s="66"/>
      <c r="M353" s="66"/>
      <c r="N353" s="66"/>
      <c r="O353" s="65"/>
      <c r="P353" s="67">
        <v>3</v>
      </c>
      <c r="Q353" s="65"/>
      <c r="R353" s="66"/>
      <c r="S353" s="66">
        <v>1</v>
      </c>
      <c r="T353" s="66"/>
      <c r="U353" s="66"/>
      <c r="V353" s="66">
        <v>2</v>
      </c>
      <c r="W353" s="66"/>
      <c r="X353" s="67"/>
      <c r="Y353" s="77"/>
      <c r="Z353" s="66"/>
      <c r="AA353" s="66"/>
      <c r="AB353" s="66"/>
      <c r="AC353" s="65"/>
      <c r="AD353" s="66"/>
      <c r="AE353" s="66"/>
      <c r="AF353" s="67"/>
      <c r="AG353" s="66">
        <v>5</v>
      </c>
      <c r="AH353" s="67"/>
      <c r="AI353" s="66"/>
      <c r="AJ353" s="66"/>
      <c r="AK353" s="66"/>
      <c r="AL353" s="66"/>
      <c r="AM353" s="66">
        <v>1</v>
      </c>
      <c r="AN353" s="66"/>
      <c r="AO353" s="66"/>
      <c r="AP353" s="66"/>
      <c r="AQ353" s="65"/>
      <c r="AR353" s="65">
        <v>1</v>
      </c>
      <c r="AS353" s="65"/>
      <c r="AT353" s="65"/>
      <c r="AU353" s="65"/>
      <c r="AV353" s="65"/>
      <c r="AW353" s="65"/>
      <c r="AX353" s="68">
        <v>3</v>
      </c>
      <c r="AY353" s="17">
        <v>2</v>
      </c>
      <c r="AZ353" s="17"/>
    </row>
    <row r="354" spans="2:53" ht="16.5" customHeight="1" thickBot="1" x14ac:dyDescent="0.3">
      <c r="B354" s="1" t="s">
        <v>1</v>
      </c>
      <c r="C354" s="10"/>
      <c r="D354">
        <f t="shared" ref="D354:D356" si="38">C354</f>
        <v>0</v>
      </c>
      <c r="F354" s="1" t="s">
        <v>1</v>
      </c>
      <c r="G354" s="78"/>
      <c r="H354" s="46"/>
      <c r="I354" s="46"/>
      <c r="J354" s="70"/>
      <c r="K354" s="69"/>
      <c r="L354" s="46"/>
      <c r="M354" s="46"/>
      <c r="N354" s="46"/>
      <c r="O354" s="69"/>
      <c r="P354" s="70"/>
      <c r="Q354" s="69"/>
      <c r="R354" s="46"/>
      <c r="S354" s="46"/>
      <c r="T354" s="46"/>
      <c r="U354" s="46"/>
      <c r="V354" s="46"/>
      <c r="W354" s="46"/>
      <c r="X354" s="70"/>
      <c r="Y354" s="78"/>
      <c r="Z354" s="46"/>
      <c r="AA354" s="46"/>
      <c r="AB354" s="46"/>
      <c r="AC354" s="69"/>
      <c r="AD354" s="46"/>
      <c r="AE354" s="46"/>
      <c r="AF354" s="70"/>
      <c r="AG354" s="46"/>
      <c r="AH354" s="70"/>
      <c r="AI354" s="46"/>
      <c r="AJ354" s="46"/>
      <c r="AK354" s="46"/>
      <c r="AL354" s="46"/>
      <c r="AM354" s="46"/>
      <c r="AN354" s="46"/>
      <c r="AO354" s="46"/>
      <c r="AP354" s="46"/>
      <c r="AQ354" s="69"/>
      <c r="AR354" s="69"/>
      <c r="AS354" s="69"/>
      <c r="AT354" s="69"/>
      <c r="AU354" s="69"/>
      <c r="AV354" s="69"/>
      <c r="AW354" s="69"/>
      <c r="AX354" s="71"/>
      <c r="AY354" s="18"/>
      <c r="AZ354" s="18"/>
    </row>
    <row r="355" spans="2:53" ht="16.5" customHeight="1" thickBot="1" x14ac:dyDescent="0.3">
      <c r="B355" s="1" t="s">
        <v>2</v>
      </c>
      <c r="C355" s="10"/>
      <c r="D355">
        <f>C355</f>
        <v>0</v>
      </c>
      <c r="F355" s="1" t="s">
        <v>2</v>
      </c>
      <c r="G355" s="78"/>
      <c r="H355" s="46"/>
      <c r="I355" s="46"/>
      <c r="J355" s="70"/>
      <c r="K355" s="69"/>
      <c r="L355" s="46"/>
      <c r="M355" s="46"/>
      <c r="N355" s="46"/>
      <c r="O355" s="69"/>
      <c r="P355" s="70"/>
      <c r="Q355" s="69"/>
      <c r="R355" s="46"/>
      <c r="S355" s="46"/>
      <c r="T355" s="46"/>
      <c r="U355" s="46"/>
      <c r="V355" s="46"/>
      <c r="W355" s="46"/>
      <c r="X355" s="70"/>
      <c r="Y355" s="78"/>
      <c r="Z355" s="46"/>
      <c r="AA355" s="46"/>
      <c r="AB355" s="46"/>
      <c r="AC355" s="69"/>
      <c r="AD355" s="46"/>
      <c r="AE355" s="46"/>
      <c r="AF355" s="70"/>
      <c r="AG355" s="46"/>
      <c r="AH355" s="70"/>
      <c r="AI355" s="46"/>
      <c r="AJ355" s="46"/>
      <c r="AK355" s="46"/>
      <c r="AL355" s="46"/>
      <c r="AM355" s="46"/>
      <c r="AN355" s="46"/>
      <c r="AO355" s="46"/>
      <c r="AP355" s="46"/>
      <c r="AQ355" s="69"/>
      <c r="AR355" s="69"/>
      <c r="AS355" s="69"/>
      <c r="AT355" s="69"/>
      <c r="AU355" s="69"/>
      <c r="AV355" s="69"/>
      <c r="AW355" s="69"/>
      <c r="AX355" s="71"/>
      <c r="AY355" s="18"/>
      <c r="AZ355" s="18"/>
    </row>
    <row r="356" spans="2:53" ht="16.5" customHeight="1" thickBot="1" x14ac:dyDescent="0.3">
      <c r="B356" s="1" t="s">
        <v>3</v>
      </c>
      <c r="C356" s="10"/>
      <c r="D356" s="7">
        <f t="shared" si="38"/>
        <v>0</v>
      </c>
      <c r="F356" s="1" t="s">
        <v>3</v>
      </c>
      <c r="G356" s="79"/>
      <c r="H356" s="73"/>
      <c r="I356" s="73"/>
      <c r="J356" s="74"/>
      <c r="K356" s="72"/>
      <c r="L356" s="73"/>
      <c r="M356" s="73"/>
      <c r="N356" s="73"/>
      <c r="O356" s="72"/>
      <c r="P356" s="74"/>
      <c r="Q356" s="72"/>
      <c r="R356" s="73"/>
      <c r="S356" s="73"/>
      <c r="T356" s="73"/>
      <c r="U356" s="73"/>
      <c r="V356" s="73"/>
      <c r="W356" s="73"/>
      <c r="X356" s="74"/>
      <c r="Y356" s="79"/>
      <c r="Z356" s="73"/>
      <c r="AA356" s="73"/>
      <c r="AB356" s="73"/>
      <c r="AC356" s="72"/>
      <c r="AD356" s="73"/>
      <c r="AE356" s="73"/>
      <c r="AF356" s="74"/>
      <c r="AG356" s="73"/>
      <c r="AH356" s="74"/>
      <c r="AI356" s="73"/>
      <c r="AJ356" s="73"/>
      <c r="AK356" s="73"/>
      <c r="AL356" s="73"/>
      <c r="AM356" s="73"/>
      <c r="AN356" s="73"/>
      <c r="AO356" s="73"/>
      <c r="AP356" s="73"/>
      <c r="AQ356" s="72"/>
      <c r="AR356" s="72"/>
      <c r="AS356" s="72"/>
      <c r="AT356" s="72"/>
      <c r="AU356" s="72"/>
      <c r="AV356" s="72"/>
      <c r="AW356" s="72"/>
      <c r="AX356" s="75"/>
      <c r="AY356" s="19"/>
      <c r="AZ356" s="19"/>
    </row>
    <row r="357" spans="2:53" ht="21" customHeight="1" x14ac:dyDescent="0.25">
      <c r="B357" s="2"/>
      <c r="C357" s="3" t="s">
        <v>25</v>
      </c>
      <c r="D357" s="9">
        <f>SUM(D353:D356)</f>
        <v>6</v>
      </c>
      <c r="G357" s="80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80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</row>
    <row r="358" spans="2:53" x14ac:dyDescent="0.25"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</row>
    <row r="359" spans="2:53" ht="15.75" x14ac:dyDescent="0.25">
      <c r="G359" s="100" t="s">
        <v>22</v>
      </c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1" t="s">
        <v>21</v>
      </c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46"/>
      <c r="AR359" s="46"/>
      <c r="AS359" s="46"/>
      <c r="AT359" s="46"/>
      <c r="AU359" s="46"/>
      <c r="AV359" s="46"/>
      <c r="AW359" s="46"/>
      <c r="AX359" s="46"/>
    </row>
    <row r="360" spans="2:53" ht="32.25" thickBot="1" x14ac:dyDescent="0.3">
      <c r="G360" s="102" t="s">
        <v>14</v>
      </c>
      <c r="H360" s="102"/>
      <c r="I360" s="102"/>
      <c r="J360" s="102"/>
      <c r="K360" s="102" t="s">
        <v>15</v>
      </c>
      <c r="L360" s="102"/>
      <c r="M360" s="102"/>
      <c r="N360" s="102"/>
      <c r="O360" s="102" t="s">
        <v>59</v>
      </c>
      <c r="P360" s="102"/>
      <c r="Q360" s="102" t="s">
        <v>16</v>
      </c>
      <c r="R360" s="102"/>
      <c r="S360" s="102"/>
      <c r="T360" s="102"/>
      <c r="U360" s="102"/>
      <c r="V360" s="102"/>
      <c r="W360" s="102"/>
      <c r="X360" s="102"/>
      <c r="Y360" s="102" t="s">
        <v>14</v>
      </c>
      <c r="Z360" s="102"/>
      <c r="AA360" s="102"/>
      <c r="AB360" s="102"/>
      <c r="AC360" s="102" t="s">
        <v>15</v>
      </c>
      <c r="AD360" s="102"/>
      <c r="AE360" s="102"/>
      <c r="AF360" s="102"/>
      <c r="AG360" s="102" t="s">
        <v>59</v>
      </c>
      <c r="AH360" s="102"/>
      <c r="AI360" s="102" t="s">
        <v>16</v>
      </c>
      <c r="AJ360" s="102"/>
      <c r="AK360" s="102"/>
      <c r="AL360" s="102"/>
      <c r="AM360" s="102"/>
      <c r="AN360" s="102"/>
      <c r="AO360" s="102"/>
      <c r="AP360" s="102"/>
      <c r="AQ360" s="76" t="s">
        <v>60</v>
      </c>
      <c r="AR360" s="76" t="s">
        <v>70</v>
      </c>
      <c r="AS360" s="76" t="s">
        <v>65</v>
      </c>
      <c r="AT360" s="76" t="s">
        <v>61</v>
      </c>
      <c r="AU360" s="76" t="s">
        <v>62</v>
      </c>
      <c r="AV360" s="76" t="s">
        <v>27</v>
      </c>
      <c r="AW360" s="76" t="s">
        <v>64</v>
      </c>
      <c r="AX360" s="76" t="s">
        <v>63</v>
      </c>
      <c r="AY360" s="76" t="s">
        <v>66</v>
      </c>
      <c r="AZ360" s="76" t="s">
        <v>67</v>
      </c>
    </row>
    <row r="361" spans="2:53" ht="48" thickBot="1" x14ac:dyDescent="0.3">
      <c r="B361" s="21">
        <v>0.40625</v>
      </c>
      <c r="C361" s="14" t="s">
        <v>13</v>
      </c>
      <c r="D361" s="8" t="s">
        <v>6</v>
      </c>
      <c r="F361" s="13"/>
      <c r="G361" s="63" t="s">
        <v>20</v>
      </c>
      <c r="H361" s="64" t="s">
        <v>17</v>
      </c>
      <c r="I361" s="64" t="s">
        <v>19</v>
      </c>
      <c r="J361" s="64" t="s">
        <v>18</v>
      </c>
      <c r="K361" s="64" t="s">
        <v>52</v>
      </c>
      <c r="L361" s="64" t="s">
        <v>51</v>
      </c>
      <c r="M361" s="64" t="s">
        <v>53</v>
      </c>
      <c r="N361" s="64" t="s">
        <v>54</v>
      </c>
      <c r="O361" s="64" t="s">
        <v>20</v>
      </c>
      <c r="P361" s="64" t="s">
        <v>19</v>
      </c>
      <c r="Q361" s="64" t="s">
        <v>55</v>
      </c>
      <c r="R361" s="64" t="s">
        <v>56</v>
      </c>
      <c r="S361" s="64" t="s">
        <v>52</v>
      </c>
      <c r="T361" s="64" t="s">
        <v>51</v>
      </c>
      <c r="U361" s="64" t="s">
        <v>57</v>
      </c>
      <c r="V361" s="64" t="s">
        <v>58</v>
      </c>
      <c r="W361" s="64" t="s">
        <v>53</v>
      </c>
      <c r="X361" s="64" t="s">
        <v>54</v>
      </c>
      <c r="Y361" s="63" t="s">
        <v>20</v>
      </c>
      <c r="Z361" s="64" t="s">
        <v>17</v>
      </c>
      <c r="AA361" s="64" t="s">
        <v>19</v>
      </c>
      <c r="AB361" s="64" t="s">
        <v>18</v>
      </c>
      <c r="AC361" s="64" t="s">
        <v>52</v>
      </c>
      <c r="AD361" s="64" t="s">
        <v>51</v>
      </c>
      <c r="AE361" s="64" t="s">
        <v>53</v>
      </c>
      <c r="AF361" s="64" t="s">
        <v>54</v>
      </c>
      <c r="AG361" s="64" t="s">
        <v>20</v>
      </c>
      <c r="AH361" s="64" t="s">
        <v>19</v>
      </c>
      <c r="AI361" s="64" t="s">
        <v>55</v>
      </c>
      <c r="AJ361" s="64" t="s">
        <v>56</v>
      </c>
      <c r="AK361" s="64" t="s">
        <v>52</v>
      </c>
      <c r="AL361" s="64" t="s">
        <v>51</v>
      </c>
      <c r="AM361" s="64" t="s">
        <v>57</v>
      </c>
      <c r="AN361" s="64" t="s">
        <v>58</v>
      </c>
      <c r="AO361" s="64" t="s">
        <v>53</v>
      </c>
      <c r="AP361" s="64" t="s">
        <v>54</v>
      </c>
      <c r="AQ361" s="46"/>
      <c r="AR361" s="46"/>
      <c r="AS361" s="46"/>
      <c r="AT361" s="46"/>
      <c r="AU361" s="46"/>
      <c r="AV361" s="46"/>
      <c r="AW361" s="46"/>
      <c r="AX361" s="46"/>
    </row>
    <row r="362" spans="2:53" ht="16.5" customHeight="1" thickBot="1" x14ac:dyDescent="0.3">
      <c r="B362" s="1" t="s">
        <v>0</v>
      </c>
      <c r="C362" s="10">
        <v>1</v>
      </c>
      <c r="D362">
        <f>C362</f>
        <v>1</v>
      </c>
      <c r="F362" s="12" t="s">
        <v>0</v>
      </c>
      <c r="G362" s="77"/>
      <c r="H362" s="66"/>
      <c r="I362" s="66"/>
      <c r="J362" s="67"/>
      <c r="K362" s="65"/>
      <c r="L362" s="66"/>
      <c r="M362" s="66"/>
      <c r="N362" s="66"/>
      <c r="O362" s="65"/>
      <c r="P362" s="67"/>
      <c r="Q362" s="65"/>
      <c r="R362" s="66"/>
      <c r="S362" s="66"/>
      <c r="T362" s="66">
        <v>1</v>
      </c>
      <c r="U362" s="66"/>
      <c r="V362" s="66"/>
      <c r="W362" s="66"/>
      <c r="X362" s="67"/>
      <c r="Y362" s="77"/>
      <c r="Z362" s="66"/>
      <c r="AA362" s="66"/>
      <c r="AB362" s="66"/>
      <c r="AC362" s="65"/>
      <c r="AD362" s="66"/>
      <c r="AE362" s="66"/>
      <c r="AF362" s="67"/>
      <c r="AG362" s="66"/>
      <c r="AH362" s="67"/>
      <c r="AI362" s="66"/>
      <c r="AJ362" s="66"/>
      <c r="AK362" s="66"/>
      <c r="AL362" s="66"/>
      <c r="AM362" s="66">
        <v>1</v>
      </c>
      <c r="AN362" s="66"/>
      <c r="AO362" s="66"/>
      <c r="AP362" s="66"/>
      <c r="AQ362" s="65"/>
      <c r="AR362" s="65"/>
      <c r="AS362" s="65"/>
      <c r="AT362" s="65"/>
      <c r="AU362" s="65"/>
      <c r="AV362" s="65"/>
      <c r="AW362" s="65"/>
      <c r="AX362" s="68"/>
      <c r="AY362" s="17"/>
      <c r="AZ362" s="17"/>
      <c r="BA362" t="s">
        <v>77</v>
      </c>
    </row>
    <row r="363" spans="2:53" ht="16.5" customHeight="1" thickBot="1" x14ac:dyDescent="0.3">
      <c r="B363" s="1" t="s">
        <v>1</v>
      </c>
      <c r="C363" s="10"/>
      <c r="D363">
        <f t="shared" ref="D363:D365" si="39">C363</f>
        <v>0</v>
      </c>
      <c r="F363" s="1" t="s">
        <v>1</v>
      </c>
      <c r="G363" s="78"/>
      <c r="H363" s="46"/>
      <c r="I363" s="46"/>
      <c r="J363" s="70"/>
      <c r="K363" s="69"/>
      <c r="L363" s="46"/>
      <c r="M363" s="46"/>
      <c r="N363" s="46"/>
      <c r="O363" s="69"/>
      <c r="P363" s="70"/>
      <c r="Q363" s="69"/>
      <c r="R363" s="46"/>
      <c r="S363" s="46"/>
      <c r="T363" s="46"/>
      <c r="U363" s="46"/>
      <c r="V363" s="46"/>
      <c r="W363" s="46"/>
      <c r="X363" s="70"/>
      <c r="Y363" s="78"/>
      <c r="Z363" s="46"/>
      <c r="AA363" s="46"/>
      <c r="AB363" s="46"/>
      <c r="AC363" s="69"/>
      <c r="AD363" s="46"/>
      <c r="AE363" s="46"/>
      <c r="AF363" s="70"/>
      <c r="AG363" s="46"/>
      <c r="AH363" s="70"/>
      <c r="AI363" s="46"/>
      <c r="AJ363" s="46"/>
      <c r="AK363" s="46"/>
      <c r="AL363" s="46"/>
      <c r="AM363" s="46"/>
      <c r="AN363" s="46"/>
      <c r="AO363" s="46"/>
      <c r="AP363" s="46"/>
      <c r="AQ363" s="69"/>
      <c r="AR363" s="69"/>
      <c r="AS363" s="69"/>
      <c r="AT363" s="69"/>
      <c r="AU363" s="69"/>
      <c r="AV363" s="69"/>
      <c r="AW363" s="69"/>
      <c r="AX363" s="71"/>
      <c r="AY363" s="18"/>
      <c r="AZ363" s="18"/>
    </row>
    <row r="364" spans="2:53" ht="16.5" customHeight="1" thickBot="1" x14ac:dyDescent="0.3">
      <c r="B364" s="1" t="s">
        <v>2</v>
      </c>
      <c r="C364" s="10"/>
      <c r="D364">
        <f>C364</f>
        <v>0</v>
      </c>
      <c r="F364" s="1" t="s">
        <v>2</v>
      </c>
      <c r="G364" s="78"/>
      <c r="H364" s="46"/>
      <c r="I364" s="46"/>
      <c r="J364" s="70"/>
      <c r="K364" s="69"/>
      <c r="L364" s="46"/>
      <c r="M364" s="46"/>
      <c r="N364" s="46"/>
      <c r="O364" s="69"/>
      <c r="P364" s="70"/>
      <c r="Q364" s="69"/>
      <c r="R364" s="46"/>
      <c r="S364" s="46"/>
      <c r="T364" s="46"/>
      <c r="U364" s="46"/>
      <c r="V364" s="46"/>
      <c r="W364" s="46"/>
      <c r="X364" s="70"/>
      <c r="Y364" s="78"/>
      <c r="Z364" s="46"/>
      <c r="AA364" s="46"/>
      <c r="AB364" s="46"/>
      <c r="AC364" s="69"/>
      <c r="AD364" s="46"/>
      <c r="AE364" s="46"/>
      <c r="AF364" s="70"/>
      <c r="AG364" s="46"/>
      <c r="AH364" s="70"/>
      <c r="AI364" s="46"/>
      <c r="AJ364" s="46"/>
      <c r="AK364" s="46"/>
      <c r="AL364" s="46"/>
      <c r="AM364" s="46"/>
      <c r="AN364" s="46"/>
      <c r="AO364" s="46"/>
      <c r="AP364" s="46"/>
      <c r="AQ364" s="69"/>
      <c r="AR364" s="69"/>
      <c r="AS364" s="69"/>
      <c r="AT364" s="69"/>
      <c r="AU364" s="69"/>
      <c r="AV364" s="69"/>
      <c r="AW364" s="69"/>
      <c r="AX364" s="71"/>
      <c r="AY364" s="18"/>
      <c r="AZ364" s="18"/>
    </row>
    <row r="365" spans="2:53" ht="16.5" customHeight="1" thickBot="1" x14ac:dyDescent="0.3">
      <c r="B365" s="1" t="s">
        <v>3</v>
      </c>
      <c r="C365" s="10"/>
      <c r="D365" s="7">
        <f t="shared" si="39"/>
        <v>0</v>
      </c>
      <c r="F365" s="1" t="s">
        <v>3</v>
      </c>
      <c r="G365" s="79"/>
      <c r="H365" s="73"/>
      <c r="I365" s="73"/>
      <c r="J365" s="74"/>
      <c r="K365" s="72"/>
      <c r="L365" s="73"/>
      <c r="M365" s="73"/>
      <c r="N365" s="73"/>
      <c r="O365" s="72"/>
      <c r="P365" s="74"/>
      <c r="Q365" s="72"/>
      <c r="R365" s="73"/>
      <c r="S365" s="73"/>
      <c r="T365" s="73"/>
      <c r="U365" s="73"/>
      <c r="V365" s="73"/>
      <c r="W365" s="73"/>
      <c r="X365" s="74"/>
      <c r="Y365" s="79"/>
      <c r="Z365" s="73"/>
      <c r="AA365" s="73"/>
      <c r="AB365" s="73"/>
      <c r="AC365" s="72"/>
      <c r="AD365" s="73"/>
      <c r="AE365" s="73"/>
      <c r="AF365" s="74"/>
      <c r="AG365" s="73"/>
      <c r="AH365" s="74"/>
      <c r="AI365" s="73"/>
      <c r="AJ365" s="73"/>
      <c r="AK365" s="73"/>
      <c r="AL365" s="73"/>
      <c r="AM365" s="73"/>
      <c r="AN365" s="73"/>
      <c r="AO365" s="73"/>
      <c r="AP365" s="73"/>
      <c r="AQ365" s="72"/>
      <c r="AR365" s="72"/>
      <c r="AS365" s="72"/>
      <c r="AT365" s="72"/>
      <c r="AU365" s="72"/>
      <c r="AV365" s="72"/>
      <c r="AW365" s="72"/>
      <c r="AX365" s="75"/>
      <c r="AY365" s="19"/>
      <c r="AZ365" s="19"/>
    </row>
    <row r="366" spans="2:53" ht="21" customHeight="1" x14ac:dyDescent="0.25">
      <c r="B366" s="2"/>
      <c r="C366" s="3" t="s">
        <v>25</v>
      </c>
      <c r="D366" s="9">
        <f>SUM(D362:D365)</f>
        <v>1</v>
      </c>
      <c r="G366" s="80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80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</row>
    <row r="367" spans="2:53" x14ac:dyDescent="0.25"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</row>
    <row r="368" spans="2:53" ht="15.75" x14ac:dyDescent="0.25">
      <c r="G368" s="100" t="s">
        <v>22</v>
      </c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1" t="s">
        <v>21</v>
      </c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46"/>
      <c r="AR368" s="46"/>
      <c r="AS368" s="46"/>
      <c r="AT368" s="46"/>
      <c r="AU368" s="46"/>
      <c r="AV368" s="46"/>
      <c r="AW368" s="46"/>
      <c r="AX368" s="46"/>
    </row>
    <row r="369" spans="2:53" ht="32.25" thickBot="1" x14ac:dyDescent="0.3">
      <c r="G369" s="102" t="s">
        <v>14</v>
      </c>
      <c r="H369" s="102"/>
      <c r="I369" s="102"/>
      <c r="J369" s="102"/>
      <c r="K369" s="102" t="s">
        <v>15</v>
      </c>
      <c r="L369" s="102"/>
      <c r="M369" s="102"/>
      <c r="N369" s="102"/>
      <c r="O369" s="102" t="s">
        <v>59</v>
      </c>
      <c r="P369" s="102"/>
      <c r="Q369" s="102" t="s">
        <v>16</v>
      </c>
      <c r="R369" s="102"/>
      <c r="S369" s="102"/>
      <c r="T369" s="102"/>
      <c r="U369" s="102"/>
      <c r="V369" s="102"/>
      <c r="W369" s="102"/>
      <c r="X369" s="102"/>
      <c r="Y369" s="102" t="s">
        <v>14</v>
      </c>
      <c r="Z369" s="102"/>
      <c r="AA369" s="102"/>
      <c r="AB369" s="102"/>
      <c r="AC369" s="102" t="s">
        <v>15</v>
      </c>
      <c r="AD369" s="102"/>
      <c r="AE369" s="102"/>
      <c r="AF369" s="102"/>
      <c r="AG369" s="102" t="s">
        <v>59</v>
      </c>
      <c r="AH369" s="102"/>
      <c r="AI369" s="102" t="s">
        <v>16</v>
      </c>
      <c r="AJ369" s="102"/>
      <c r="AK369" s="102"/>
      <c r="AL369" s="102"/>
      <c r="AM369" s="102"/>
      <c r="AN369" s="102"/>
      <c r="AO369" s="102"/>
      <c r="AP369" s="102"/>
      <c r="AQ369" s="76" t="s">
        <v>60</v>
      </c>
      <c r="AR369" s="76" t="s">
        <v>70</v>
      </c>
      <c r="AS369" s="76" t="s">
        <v>65</v>
      </c>
      <c r="AT369" s="76" t="s">
        <v>61</v>
      </c>
      <c r="AU369" s="76" t="s">
        <v>62</v>
      </c>
      <c r="AV369" s="76" t="s">
        <v>27</v>
      </c>
      <c r="AW369" s="76" t="s">
        <v>64</v>
      </c>
      <c r="AX369" s="76" t="s">
        <v>63</v>
      </c>
      <c r="AY369" s="76" t="s">
        <v>66</v>
      </c>
      <c r="AZ369" s="76" t="s">
        <v>67</v>
      </c>
    </row>
    <row r="370" spans="2:53" ht="48" thickBot="1" x14ac:dyDescent="0.3">
      <c r="B370" s="20">
        <v>0.41666666666666669</v>
      </c>
      <c r="C370" s="14" t="s">
        <v>13</v>
      </c>
      <c r="D370" s="8" t="s">
        <v>6</v>
      </c>
      <c r="F370" s="13"/>
      <c r="G370" s="63" t="s">
        <v>20</v>
      </c>
      <c r="H370" s="64" t="s">
        <v>17</v>
      </c>
      <c r="I370" s="64" t="s">
        <v>19</v>
      </c>
      <c r="J370" s="64" t="s">
        <v>18</v>
      </c>
      <c r="K370" s="64" t="s">
        <v>52</v>
      </c>
      <c r="L370" s="64" t="s">
        <v>51</v>
      </c>
      <c r="M370" s="64" t="s">
        <v>53</v>
      </c>
      <c r="N370" s="64" t="s">
        <v>54</v>
      </c>
      <c r="O370" s="64" t="s">
        <v>20</v>
      </c>
      <c r="P370" s="64" t="s">
        <v>19</v>
      </c>
      <c r="Q370" s="64" t="s">
        <v>55</v>
      </c>
      <c r="R370" s="64" t="s">
        <v>56</v>
      </c>
      <c r="S370" s="64" t="s">
        <v>52</v>
      </c>
      <c r="T370" s="64" t="s">
        <v>51</v>
      </c>
      <c r="U370" s="64" t="s">
        <v>57</v>
      </c>
      <c r="V370" s="64" t="s">
        <v>58</v>
      </c>
      <c r="W370" s="64" t="s">
        <v>53</v>
      </c>
      <c r="X370" s="64" t="s">
        <v>54</v>
      </c>
      <c r="Y370" s="63" t="s">
        <v>20</v>
      </c>
      <c r="Z370" s="64" t="s">
        <v>17</v>
      </c>
      <c r="AA370" s="64" t="s">
        <v>19</v>
      </c>
      <c r="AB370" s="64" t="s">
        <v>18</v>
      </c>
      <c r="AC370" s="64" t="s">
        <v>52</v>
      </c>
      <c r="AD370" s="64" t="s">
        <v>51</v>
      </c>
      <c r="AE370" s="64" t="s">
        <v>53</v>
      </c>
      <c r="AF370" s="64" t="s">
        <v>54</v>
      </c>
      <c r="AG370" s="64" t="s">
        <v>20</v>
      </c>
      <c r="AH370" s="64" t="s">
        <v>19</v>
      </c>
      <c r="AI370" s="64" t="s">
        <v>55</v>
      </c>
      <c r="AJ370" s="64" t="s">
        <v>56</v>
      </c>
      <c r="AK370" s="64" t="s">
        <v>52</v>
      </c>
      <c r="AL370" s="64" t="s">
        <v>51</v>
      </c>
      <c r="AM370" s="64" t="s">
        <v>57</v>
      </c>
      <c r="AN370" s="64" t="s">
        <v>58</v>
      </c>
      <c r="AO370" s="64" t="s">
        <v>53</v>
      </c>
      <c r="AP370" s="64" t="s">
        <v>54</v>
      </c>
      <c r="AQ370" s="46"/>
      <c r="AR370" s="46"/>
      <c r="AS370" s="46"/>
      <c r="AT370" s="46"/>
      <c r="AU370" s="46"/>
      <c r="AV370" s="46"/>
      <c r="AW370" s="46"/>
      <c r="AX370" s="46"/>
    </row>
    <row r="371" spans="2:53" ht="16.5" customHeight="1" thickBot="1" x14ac:dyDescent="0.3">
      <c r="B371" s="1" t="s">
        <v>0</v>
      </c>
      <c r="C371" s="10"/>
      <c r="D371">
        <f>C371</f>
        <v>0</v>
      </c>
      <c r="F371" s="12" t="s">
        <v>0</v>
      </c>
      <c r="G371" s="77"/>
      <c r="H371" s="66"/>
      <c r="I371" s="66"/>
      <c r="J371" s="67"/>
      <c r="K371" s="65"/>
      <c r="L371" s="66"/>
      <c r="M371" s="66"/>
      <c r="N371" s="66"/>
      <c r="O371" s="65"/>
      <c r="P371" s="67"/>
      <c r="Q371" s="65"/>
      <c r="R371" s="66">
        <v>1</v>
      </c>
      <c r="S371" s="66"/>
      <c r="T371" s="66"/>
      <c r="U371" s="66"/>
      <c r="V371" s="66"/>
      <c r="W371" s="66"/>
      <c r="X371" s="67"/>
      <c r="Y371" s="77"/>
      <c r="Z371" s="66"/>
      <c r="AA371" s="66"/>
      <c r="AB371" s="66"/>
      <c r="AC371" s="65"/>
      <c r="AD371" s="66"/>
      <c r="AE371" s="66"/>
      <c r="AF371" s="67"/>
      <c r="AG371" s="66"/>
      <c r="AH371" s="67"/>
      <c r="AI371" s="66"/>
      <c r="AJ371" s="66"/>
      <c r="AK371" s="66">
        <v>1</v>
      </c>
      <c r="AL371" s="66"/>
      <c r="AM371" s="66"/>
      <c r="AN371" s="66"/>
      <c r="AO371" s="66"/>
      <c r="AP371" s="66"/>
      <c r="AQ371" s="65"/>
      <c r="AR371" s="65"/>
      <c r="AS371" s="65"/>
      <c r="AT371" s="65"/>
      <c r="AU371" s="65"/>
      <c r="AV371" s="65"/>
      <c r="AW371" s="65"/>
      <c r="AX371" s="68"/>
      <c r="AY371" s="17"/>
      <c r="AZ371" s="17"/>
    </row>
    <row r="372" spans="2:53" ht="16.5" customHeight="1" thickBot="1" x14ac:dyDescent="0.3">
      <c r="B372" s="1" t="s">
        <v>1</v>
      </c>
      <c r="C372" s="10"/>
      <c r="D372">
        <f t="shared" ref="D372:D374" si="40">C372</f>
        <v>0</v>
      </c>
      <c r="F372" s="1" t="s">
        <v>1</v>
      </c>
      <c r="G372" s="78"/>
      <c r="H372" s="46"/>
      <c r="I372" s="46"/>
      <c r="J372" s="70"/>
      <c r="K372" s="69"/>
      <c r="L372" s="46"/>
      <c r="M372" s="46"/>
      <c r="N372" s="46"/>
      <c r="O372" s="69"/>
      <c r="P372" s="70"/>
      <c r="Q372" s="69"/>
      <c r="R372" s="46"/>
      <c r="S372" s="46"/>
      <c r="T372" s="46"/>
      <c r="U372" s="46"/>
      <c r="V372" s="46"/>
      <c r="W372" s="46"/>
      <c r="X372" s="70"/>
      <c r="Y372" s="78"/>
      <c r="Z372" s="46"/>
      <c r="AA372" s="46"/>
      <c r="AB372" s="46"/>
      <c r="AC372" s="69"/>
      <c r="AD372" s="46"/>
      <c r="AE372" s="46"/>
      <c r="AF372" s="70"/>
      <c r="AG372" s="46"/>
      <c r="AH372" s="70"/>
      <c r="AI372" s="46"/>
      <c r="AJ372" s="46"/>
      <c r="AK372" s="46"/>
      <c r="AL372" s="46"/>
      <c r="AM372" s="46"/>
      <c r="AN372" s="46"/>
      <c r="AO372" s="46"/>
      <c r="AP372" s="46"/>
      <c r="AQ372" s="69"/>
      <c r="AR372" s="69"/>
      <c r="AS372" s="69"/>
      <c r="AT372" s="69"/>
      <c r="AU372" s="69"/>
      <c r="AV372" s="69"/>
      <c r="AW372" s="69"/>
      <c r="AX372" s="71"/>
      <c r="AY372" s="18"/>
      <c r="AZ372" s="18"/>
    </row>
    <row r="373" spans="2:53" ht="16.5" customHeight="1" thickBot="1" x14ac:dyDescent="0.3">
      <c r="B373" s="1" t="s">
        <v>2</v>
      </c>
      <c r="C373" s="10"/>
      <c r="D373">
        <f>C373</f>
        <v>0</v>
      </c>
      <c r="F373" s="1" t="s">
        <v>2</v>
      </c>
      <c r="G373" s="78"/>
      <c r="H373" s="46"/>
      <c r="I373" s="46"/>
      <c r="J373" s="70"/>
      <c r="K373" s="69"/>
      <c r="L373" s="46"/>
      <c r="M373" s="46"/>
      <c r="N373" s="46"/>
      <c r="O373" s="69"/>
      <c r="P373" s="70"/>
      <c r="Q373" s="69"/>
      <c r="R373" s="46"/>
      <c r="S373" s="46"/>
      <c r="T373" s="46"/>
      <c r="U373" s="46"/>
      <c r="V373" s="46"/>
      <c r="W373" s="46"/>
      <c r="X373" s="70"/>
      <c r="Y373" s="78"/>
      <c r="Z373" s="46"/>
      <c r="AA373" s="46"/>
      <c r="AB373" s="46"/>
      <c r="AC373" s="69"/>
      <c r="AD373" s="46"/>
      <c r="AE373" s="46"/>
      <c r="AF373" s="70"/>
      <c r="AG373" s="46"/>
      <c r="AH373" s="70"/>
      <c r="AI373" s="46"/>
      <c r="AJ373" s="46"/>
      <c r="AK373" s="46"/>
      <c r="AL373" s="46"/>
      <c r="AM373" s="46"/>
      <c r="AN373" s="46"/>
      <c r="AO373" s="46"/>
      <c r="AP373" s="46"/>
      <c r="AQ373" s="69"/>
      <c r="AR373" s="69"/>
      <c r="AS373" s="69"/>
      <c r="AT373" s="69"/>
      <c r="AU373" s="69"/>
      <c r="AV373" s="69"/>
      <c r="AW373" s="69"/>
      <c r="AX373" s="71"/>
      <c r="AY373" s="18"/>
      <c r="AZ373" s="18"/>
    </row>
    <row r="374" spans="2:53" ht="16.5" customHeight="1" thickBot="1" x14ac:dyDescent="0.3">
      <c r="B374" s="1" t="s">
        <v>3</v>
      </c>
      <c r="C374" s="10"/>
      <c r="D374" s="7">
        <f t="shared" si="40"/>
        <v>0</v>
      </c>
      <c r="F374" s="1" t="s">
        <v>3</v>
      </c>
      <c r="G374" s="79"/>
      <c r="H374" s="73"/>
      <c r="I374" s="73"/>
      <c r="J374" s="74"/>
      <c r="K374" s="72"/>
      <c r="L374" s="73"/>
      <c r="M374" s="73"/>
      <c r="N374" s="73"/>
      <c r="O374" s="72"/>
      <c r="P374" s="74"/>
      <c r="Q374" s="72"/>
      <c r="R374" s="73"/>
      <c r="S374" s="73"/>
      <c r="T374" s="73"/>
      <c r="U374" s="73"/>
      <c r="V374" s="73"/>
      <c r="W374" s="73"/>
      <c r="X374" s="74"/>
      <c r="Y374" s="79"/>
      <c r="Z374" s="73"/>
      <c r="AA374" s="73"/>
      <c r="AB374" s="73"/>
      <c r="AC374" s="72"/>
      <c r="AD374" s="73"/>
      <c r="AE374" s="73"/>
      <c r="AF374" s="74"/>
      <c r="AG374" s="73"/>
      <c r="AH374" s="74"/>
      <c r="AI374" s="73"/>
      <c r="AJ374" s="73"/>
      <c r="AK374" s="73"/>
      <c r="AL374" s="73"/>
      <c r="AM374" s="73"/>
      <c r="AN374" s="73"/>
      <c r="AO374" s="73"/>
      <c r="AP374" s="73"/>
      <c r="AQ374" s="72"/>
      <c r="AR374" s="72"/>
      <c r="AS374" s="72"/>
      <c r="AT374" s="72"/>
      <c r="AU374" s="72"/>
      <c r="AV374" s="72"/>
      <c r="AW374" s="72"/>
      <c r="AX374" s="75"/>
      <c r="AY374" s="19"/>
      <c r="AZ374" s="19"/>
    </row>
    <row r="375" spans="2:53" ht="21" customHeight="1" x14ac:dyDescent="0.25">
      <c r="B375" s="2"/>
      <c r="C375" s="3" t="s">
        <v>25</v>
      </c>
      <c r="D375" s="9">
        <f>SUM(D371:D374)</f>
        <v>0</v>
      </c>
      <c r="G375" s="80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80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</row>
    <row r="376" spans="2:53" x14ac:dyDescent="0.25"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</row>
    <row r="377" spans="2:53" ht="15.75" x14ac:dyDescent="0.25">
      <c r="G377" s="100" t="s">
        <v>22</v>
      </c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1" t="s">
        <v>21</v>
      </c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46"/>
      <c r="AR377" s="46"/>
      <c r="AS377" s="46"/>
      <c r="AT377" s="46"/>
      <c r="AU377" s="46"/>
      <c r="AV377" s="46"/>
      <c r="AW377" s="46"/>
      <c r="AX377" s="46"/>
    </row>
    <row r="378" spans="2:53" ht="32.25" thickBot="1" x14ac:dyDescent="0.3">
      <c r="G378" s="102" t="s">
        <v>14</v>
      </c>
      <c r="H378" s="102"/>
      <c r="I378" s="102"/>
      <c r="J378" s="102"/>
      <c r="K378" s="102" t="s">
        <v>15</v>
      </c>
      <c r="L378" s="102"/>
      <c r="M378" s="102"/>
      <c r="N378" s="102"/>
      <c r="O378" s="102" t="s">
        <v>59</v>
      </c>
      <c r="P378" s="102"/>
      <c r="Q378" s="102" t="s">
        <v>16</v>
      </c>
      <c r="R378" s="102"/>
      <c r="S378" s="102"/>
      <c r="T378" s="102"/>
      <c r="U378" s="102"/>
      <c r="V378" s="102"/>
      <c r="W378" s="102"/>
      <c r="X378" s="102"/>
      <c r="Y378" s="102" t="s">
        <v>14</v>
      </c>
      <c r="Z378" s="102"/>
      <c r="AA378" s="102"/>
      <c r="AB378" s="102"/>
      <c r="AC378" s="102" t="s">
        <v>15</v>
      </c>
      <c r="AD378" s="102"/>
      <c r="AE378" s="102"/>
      <c r="AF378" s="102"/>
      <c r="AG378" s="102" t="s">
        <v>59</v>
      </c>
      <c r="AH378" s="102"/>
      <c r="AI378" s="102" t="s">
        <v>16</v>
      </c>
      <c r="AJ378" s="102"/>
      <c r="AK378" s="102"/>
      <c r="AL378" s="102"/>
      <c r="AM378" s="102"/>
      <c r="AN378" s="102"/>
      <c r="AO378" s="102"/>
      <c r="AP378" s="102"/>
      <c r="AQ378" s="76" t="s">
        <v>60</v>
      </c>
      <c r="AR378" s="76" t="s">
        <v>70</v>
      </c>
      <c r="AS378" s="76" t="s">
        <v>65</v>
      </c>
      <c r="AT378" s="76" t="s">
        <v>61</v>
      </c>
      <c r="AU378" s="76" t="s">
        <v>62</v>
      </c>
      <c r="AV378" s="76" t="s">
        <v>27</v>
      </c>
      <c r="AW378" s="76" t="s">
        <v>64</v>
      </c>
      <c r="AX378" s="76" t="s">
        <v>63</v>
      </c>
      <c r="AY378" s="76" t="s">
        <v>66</v>
      </c>
      <c r="AZ378" s="76" t="s">
        <v>67</v>
      </c>
    </row>
    <row r="379" spans="2:53" ht="48" thickBot="1" x14ac:dyDescent="0.3">
      <c r="B379" s="20">
        <v>0.42708333333333331</v>
      </c>
      <c r="C379" s="14" t="s">
        <v>13</v>
      </c>
      <c r="D379" s="8" t="s">
        <v>6</v>
      </c>
      <c r="F379" s="13"/>
      <c r="G379" s="63" t="s">
        <v>20</v>
      </c>
      <c r="H379" s="64" t="s">
        <v>17</v>
      </c>
      <c r="I379" s="64" t="s">
        <v>19</v>
      </c>
      <c r="J379" s="64" t="s">
        <v>18</v>
      </c>
      <c r="K379" s="64" t="s">
        <v>52</v>
      </c>
      <c r="L379" s="64" t="s">
        <v>51</v>
      </c>
      <c r="M379" s="64" t="s">
        <v>53</v>
      </c>
      <c r="N379" s="64" t="s">
        <v>54</v>
      </c>
      <c r="O379" s="64" t="s">
        <v>20</v>
      </c>
      <c r="P379" s="64" t="s">
        <v>19</v>
      </c>
      <c r="Q379" s="64" t="s">
        <v>55</v>
      </c>
      <c r="R379" s="64" t="s">
        <v>56</v>
      </c>
      <c r="S379" s="64" t="s">
        <v>52</v>
      </c>
      <c r="T379" s="64" t="s">
        <v>51</v>
      </c>
      <c r="U379" s="64" t="s">
        <v>57</v>
      </c>
      <c r="V379" s="64" t="s">
        <v>58</v>
      </c>
      <c r="W379" s="64" t="s">
        <v>53</v>
      </c>
      <c r="X379" s="64" t="s">
        <v>54</v>
      </c>
      <c r="Y379" s="63" t="s">
        <v>20</v>
      </c>
      <c r="Z379" s="64" t="s">
        <v>17</v>
      </c>
      <c r="AA379" s="64" t="s">
        <v>19</v>
      </c>
      <c r="AB379" s="64" t="s">
        <v>18</v>
      </c>
      <c r="AC379" s="64" t="s">
        <v>52</v>
      </c>
      <c r="AD379" s="64" t="s">
        <v>51</v>
      </c>
      <c r="AE379" s="64" t="s">
        <v>53</v>
      </c>
      <c r="AF379" s="64" t="s">
        <v>54</v>
      </c>
      <c r="AG379" s="64" t="s">
        <v>20</v>
      </c>
      <c r="AH379" s="64" t="s">
        <v>19</v>
      </c>
      <c r="AI379" s="64" t="s">
        <v>55</v>
      </c>
      <c r="AJ379" s="64" t="s">
        <v>56</v>
      </c>
      <c r="AK379" s="64" t="s">
        <v>52</v>
      </c>
      <c r="AL379" s="64" t="s">
        <v>51</v>
      </c>
      <c r="AM379" s="64" t="s">
        <v>57</v>
      </c>
      <c r="AN379" s="64" t="s">
        <v>58</v>
      </c>
      <c r="AO379" s="64" t="s">
        <v>53</v>
      </c>
      <c r="AP379" s="64" t="s">
        <v>54</v>
      </c>
      <c r="AQ379" s="46"/>
      <c r="AR379" s="46"/>
      <c r="AS379" s="46"/>
      <c r="AT379" s="46"/>
      <c r="AU379" s="46"/>
      <c r="AV379" s="46"/>
      <c r="AW379" s="46"/>
      <c r="AX379" s="46"/>
    </row>
    <row r="380" spans="2:53" ht="16.5" customHeight="1" thickBot="1" x14ac:dyDescent="0.3">
      <c r="B380" s="1" t="s">
        <v>0</v>
      </c>
      <c r="C380" s="10">
        <v>3</v>
      </c>
      <c r="D380">
        <f>C380</f>
        <v>3</v>
      </c>
      <c r="F380" s="12" t="s">
        <v>0</v>
      </c>
      <c r="G380" s="77"/>
      <c r="H380" s="66"/>
      <c r="I380" s="66"/>
      <c r="J380" s="67"/>
      <c r="K380" s="65"/>
      <c r="L380" s="66"/>
      <c r="M380" s="66"/>
      <c r="N380" s="66"/>
      <c r="O380" s="65">
        <v>3</v>
      </c>
      <c r="P380" s="67"/>
      <c r="Q380" s="65"/>
      <c r="R380" s="66"/>
      <c r="S380" s="66"/>
      <c r="T380" s="66"/>
      <c r="U380" s="66"/>
      <c r="V380" s="66"/>
      <c r="W380" s="66"/>
      <c r="X380" s="67"/>
      <c r="Y380" s="77"/>
      <c r="Z380" s="66"/>
      <c r="AA380" s="66"/>
      <c r="AB380" s="66"/>
      <c r="AC380" s="65"/>
      <c r="AD380" s="66"/>
      <c r="AE380" s="66"/>
      <c r="AF380" s="67"/>
      <c r="AG380" s="66"/>
      <c r="AH380" s="67">
        <v>3</v>
      </c>
      <c r="AI380" s="66"/>
      <c r="AJ380" s="66"/>
      <c r="AK380" s="66"/>
      <c r="AL380" s="66"/>
      <c r="AM380" s="66"/>
      <c r="AN380" s="66"/>
      <c r="AO380" s="66"/>
      <c r="AP380" s="66"/>
      <c r="AQ380" s="65"/>
      <c r="AR380" s="65"/>
      <c r="AS380" s="65"/>
      <c r="AT380" s="65"/>
      <c r="AU380" s="65"/>
      <c r="AV380" s="65"/>
      <c r="AW380" s="65"/>
      <c r="AX380" s="68"/>
      <c r="AY380" s="17">
        <v>1</v>
      </c>
      <c r="AZ380" s="17"/>
      <c r="BA380" t="s">
        <v>78</v>
      </c>
    </row>
    <row r="381" spans="2:53" ht="16.5" customHeight="1" thickBot="1" x14ac:dyDescent="0.3">
      <c r="B381" s="1" t="s">
        <v>1</v>
      </c>
      <c r="C381" s="10">
        <v>2</v>
      </c>
      <c r="D381">
        <f t="shared" ref="D381:D383" si="41">C381</f>
        <v>2</v>
      </c>
      <c r="F381" s="1" t="s">
        <v>1</v>
      </c>
      <c r="G381" s="78"/>
      <c r="H381" s="46"/>
      <c r="I381" s="46"/>
      <c r="J381" s="70"/>
      <c r="K381" s="69">
        <v>1</v>
      </c>
      <c r="L381" s="46"/>
      <c r="M381" s="46">
        <v>1</v>
      </c>
      <c r="N381" s="46"/>
      <c r="O381" s="69"/>
      <c r="P381" s="70"/>
      <c r="Q381" s="69"/>
      <c r="R381" s="46"/>
      <c r="S381" s="46"/>
      <c r="T381" s="46"/>
      <c r="U381" s="46"/>
      <c r="V381" s="46"/>
      <c r="W381" s="46"/>
      <c r="X381" s="70"/>
      <c r="Y381" s="78"/>
      <c r="Z381" s="46"/>
      <c r="AA381" s="46"/>
      <c r="AB381" s="46"/>
      <c r="AC381" s="69"/>
      <c r="AD381" s="46">
        <v>1</v>
      </c>
      <c r="AE381" s="46"/>
      <c r="AF381" s="70"/>
      <c r="AG381" s="46">
        <v>1</v>
      </c>
      <c r="AH381" s="70"/>
      <c r="AI381" s="46"/>
      <c r="AJ381" s="46"/>
      <c r="AK381" s="46"/>
      <c r="AL381" s="46"/>
      <c r="AM381" s="46"/>
      <c r="AN381" s="46"/>
      <c r="AO381" s="46"/>
      <c r="AP381" s="46"/>
      <c r="AQ381" s="69"/>
      <c r="AR381" s="69"/>
      <c r="AS381" s="69"/>
      <c r="AT381" s="69"/>
      <c r="AU381" s="69"/>
      <c r="AV381" s="69"/>
      <c r="AW381" s="69"/>
      <c r="AX381" s="71"/>
      <c r="AY381" s="18"/>
      <c r="AZ381" s="18"/>
    </row>
    <row r="382" spans="2:53" ht="16.5" customHeight="1" thickBot="1" x14ac:dyDescent="0.3">
      <c r="B382" s="1" t="s">
        <v>2</v>
      </c>
      <c r="C382" s="10"/>
      <c r="D382">
        <f>C382</f>
        <v>0</v>
      </c>
      <c r="F382" s="1" t="s">
        <v>2</v>
      </c>
      <c r="G382" s="78"/>
      <c r="H382" s="46"/>
      <c r="I382" s="46"/>
      <c r="J382" s="70"/>
      <c r="K382" s="69"/>
      <c r="L382" s="46"/>
      <c r="M382" s="46"/>
      <c r="N382" s="46"/>
      <c r="O382" s="69"/>
      <c r="P382" s="70"/>
      <c r="Q382" s="69"/>
      <c r="R382" s="46"/>
      <c r="S382" s="46"/>
      <c r="T382" s="46"/>
      <c r="U382" s="46"/>
      <c r="V382" s="46"/>
      <c r="W382" s="46"/>
      <c r="X382" s="70"/>
      <c r="Y382" s="78"/>
      <c r="Z382" s="46"/>
      <c r="AA382" s="46"/>
      <c r="AB382" s="46"/>
      <c r="AC382" s="69"/>
      <c r="AD382" s="46"/>
      <c r="AE382" s="46"/>
      <c r="AF382" s="70"/>
      <c r="AG382" s="46"/>
      <c r="AH382" s="70"/>
      <c r="AI382" s="46"/>
      <c r="AJ382" s="46"/>
      <c r="AK382" s="46"/>
      <c r="AL382" s="46"/>
      <c r="AM382" s="46"/>
      <c r="AN382" s="46"/>
      <c r="AO382" s="46"/>
      <c r="AP382" s="46"/>
      <c r="AQ382" s="69"/>
      <c r="AR382" s="69"/>
      <c r="AS382" s="69"/>
      <c r="AT382" s="69"/>
      <c r="AU382" s="69"/>
      <c r="AV382" s="69"/>
      <c r="AW382" s="69"/>
      <c r="AX382" s="71"/>
      <c r="AY382" s="18"/>
      <c r="AZ382" s="18"/>
    </row>
    <row r="383" spans="2:53" ht="16.5" customHeight="1" thickBot="1" x14ac:dyDescent="0.3">
      <c r="B383" s="1" t="s">
        <v>3</v>
      </c>
      <c r="C383" s="10"/>
      <c r="D383" s="7">
        <f t="shared" si="41"/>
        <v>0</v>
      </c>
      <c r="F383" s="1" t="s">
        <v>3</v>
      </c>
      <c r="G383" s="79"/>
      <c r="H383" s="73"/>
      <c r="I383" s="73"/>
      <c r="J383" s="74"/>
      <c r="K383" s="72"/>
      <c r="L383" s="73"/>
      <c r="M383" s="73"/>
      <c r="N383" s="73"/>
      <c r="O383" s="72"/>
      <c r="P383" s="74"/>
      <c r="Q383" s="72"/>
      <c r="R383" s="73"/>
      <c r="S383" s="73"/>
      <c r="T383" s="73"/>
      <c r="U383" s="73"/>
      <c r="V383" s="73"/>
      <c r="W383" s="73"/>
      <c r="X383" s="74"/>
      <c r="Y383" s="79"/>
      <c r="Z383" s="73"/>
      <c r="AA383" s="73"/>
      <c r="AB383" s="73"/>
      <c r="AC383" s="72"/>
      <c r="AD383" s="73"/>
      <c r="AE383" s="73"/>
      <c r="AF383" s="74"/>
      <c r="AG383" s="73"/>
      <c r="AH383" s="74"/>
      <c r="AI383" s="73"/>
      <c r="AJ383" s="73"/>
      <c r="AK383" s="73"/>
      <c r="AL383" s="73"/>
      <c r="AM383" s="73"/>
      <c r="AN383" s="73"/>
      <c r="AO383" s="73"/>
      <c r="AP383" s="73"/>
      <c r="AQ383" s="72"/>
      <c r="AR383" s="72"/>
      <c r="AS383" s="72"/>
      <c r="AT383" s="72"/>
      <c r="AU383" s="72"/>
      <c r="AV383" s="72"/>
      <c r="AW383" s="72"/>
      <c r="AX383" s="75"/>
      <c r="AY383" s="19"/>
      <c r="AZ383" s="19"/>
    </row>
    <row r="384" spans="2:53" ht="21" customHeight="1" x14ac:dyDescent="0.25">
      <c r="B384" s="2"/>
      <c r="C384" s="3" t="s">
        <v>25</v>
      </c>
      <c r="D384" s="9">
        <f>SUM(D380:D383)</f>
        <v>5</v>
      </c>
      <c r="G384" s="80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80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</row>
    <row r="385" spans="2:53" x14ac:dyDescent="0.25"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</row>
    <row r="386" spans="2:53" ht="15.75" x14ac:dyDescent="0.25">
      <c r="G386" s="100" t="s">
        <v>22</v>
      </c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1" t="s">
        <v>21</v>
      </c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46"/>
      <c r="AR386" s="46"/>
      <c r="AS386" s="46"/>
      <c r="AT386" s="46"/>
      <c r="AU386" s="46"/>
      <c r="AV386" s="46"/>
      <c r="AW386" s="46"/>
      <c r="AX386" s="46"/>
    </row>
    <row r="387" spans="2:53" ht="32.25" thickBot="1" x14ac:dyDescent="0.3">
      <c r="G387" s="102" t="s">
        <v>14</v>
      </c>
      <c r="H387" s="102"/>
      <c r="I387" s="102"/>
      <c r="J387" s="102"/>
      <c r="K387" s="102" t="s">
        <v>15</v>
      </c>
      <c r="L387" s="102"/>
      <c r="M387" s="102"/>
      <c r="N387" s="102"/>
      <c r="O387" s="102" t="s">
        <v>59</v>
      </c>
      <c r="P387" s="102"/>
      <c r="Q387" s="102" t="s">
        <v>16</v>
      </c>
      <c r="R387" s="102"/>
      <c r="S387" s="102"/>
      <c r="T387" s="102"/>
      <c r="U387" s="102"/>
      <c r="V387" s="102"/>
      <c r="W387" s="102"/>
      <c r="X387" s="102"/>
      <c r="Y387" s="102" t="s">
        <v>14</v>
      </c>
      <c r="Z387" s="102"/>
      <c r="AA387" s="102"/>
      <c r="AB387" s="102"/>
      <c r="AC387" s="102" t="s">
        <v>15</v>
      </c>
      <c r="AD387" s="102"/>
      <c r="AE387" s="102"/>
      <c r="AF387" s="102"/>
      <c r="AG387" s="102" t="s">
        <v>59</v>
      </c>
      <c r="AH387" s="102"/>
      <c r="AI387" s="102" t="s">
        <v>16</v>
      </c>
      <c r="AJ387" s="102"/>
      <c r="AK387" s="102"/>
      <c r="AL387" s="102"/>
      <c r="AM387" s="102"/>
      <c r="AN387" s="102"/>
      <c r="AO387" s="102"/>
      <c r="AP387" s="102"/>
      <c r="AQ387" s="76" t="s">
        <v>60</v>
      </c>
      <c r="AR387" s="76" t="s">
        <v>70</v>
      </c>
      <c r="AS387" s="76" t="s">
        <v>65</v>
      </c>
      <c r="AT387" s="76" t="s">
        <v>61</v>
      </c>
      <c r="AU387" s="76" t="s">
        <v>62</v>
      </c>
      <c r="AV387" s="76" t="s">
        <v>27</v>
      </c>
      <c r="AW387" s="76" t="s">
        <v>64</v>
      </c>
      <c r="AX387" s="76" t="s">
        <v>63</v>
      </c>
      <c r="AY387" s="76" t="s">
        <v>66</v>
      </c>
      <c r="AZ387" s="76" t="s">
        <v>67</v>
      </c>
    </row>
    <row r="388" spans="2:53" ht="48" thickBot="1" x14ac:dyDescent="0.3">
      <c r="B388" s="20">
        <v>0.4375</v>
      </c>
      <c r="C388" s="14" t="s">
        <v>13</v>
      </c>
      <c r="D388" s="8" t="s">
        <v>6</v>
      </c>
      <c r="F388" s="13"/>
      <c r="G388" s="81" t="s">
        <v>20</v>
      </c>
      <c r="H388" s="64" t="s">
        <v>17</v>
      </c>
      <c r="I388" s="64" t="s">
        <v>19</v>
      </c>
      <c r="J388" s="64" t="s">
        <v>18</v>
      </c>
      <c r="K388" s="64" t="s">
        <v>52</v>
      </c>
      <c r="L388" s="64" t="s">
        <v>51</v>
      </c>
      <c r="M388" s="64" t="s">
        <v>53</v>
      </c>
      <c r="N388" s="64" t="s">
        <v>54</v>
      </c>
      <c r="O388" s="64" t="s">
        <v>20</v>
      </c>
      <c r="P388" s="64" t="s">
        <v>19</v>
      </c>
      <c r="Q388" s="64" t="s">
        <v>55</v>
      </c>
      <c r="R388" s="64" t="s">
        <v>56</v>
      </c>
      <c r="S388" s="64" t="s">
        <v>52</v>
      </c>
      <c r="T388" s="64" t="s">
        <v>51</v>
      </c>
      <c r="U388" s="64" t="s">
        <v>57</v>
      </c>
      <c r="V388" s="64" t="s">
        <v>58</v>
      </c>
      <c r="W388" s="64" t="s">
        <v>53</v>
      </c>
      <c r="X388" s="64" t="s">
        <v>54</v>
      </c>
      <c r="Y388" s="81" t="s">
        <v>20</v>
      </c>
      <c r="Z388" s="64" t="s">
        <v>17</v>
      </c>
      <c r="AA388" s="64" t="s">
        <v>19</v>
      </c>
      <c r="AB388" s="64" t="s">
        <v>18</v>
      </c>
      <c r="AC388" s="64" t="s">
        <v>52</v>
      </c>
      <c r="AD388" s="64" t="s">
        <v>51</v>
      </c>
      <c r="AE388" s="64" t="s">
        <v>53</v>
      </c>
      <c r="AF388" s="64" t="s">
        <v>54</v>
      </c>
      <c r="AG388" s="64" t="s">
        <v>20</v>
      </c>
      <c r="AH388" s="64" t="s">
        <v>19</v>
      </c>
      <c r="AI388" s="64" t="s">
        <v>55</v>
      </c>
      <c r="AJ388" s="64" t="s">
        <v>56</v>
      </c>
      <c r="AK388" s="64" t="s">
        <v>52</v>
      </c>
      <c r="AL388" s="64" t="s">
        <v>51</v>
      </c>
      <c r="AM388" s="64" t="s">
        <v>57</v>
      </c>
      <c r="AN388" s="64" t="s">
        <v>58</v>
      </c>
      <c r="AO388" s="64" t="s">
        <v>53</v>
      </c>
      <c r="AP388" s="64" t="s">
        <v>54</v>
      </c>
      <c r="AQ388" s="46"/>
      <c r="AR388" s="46"/>
      <c r="AS388" s="46"/>
      <c r="AT388" s="46"/>
      <c r="AU388" s="46"/>
      <c r="AV388" s="46"/>
      <c r="AW388" s="46"/>
      <c r="AX388" s="46"/>
    </row>
    <row r="389" spans="2:53" ht="16.5" customHeight="1" thickBot="1" x14ac:dyDescent="0.3">
      <c r="B389" s="1" t="s">
        <v>0</v>
      </c>
      <c r="C389" s="10">
        <v>1</v>
      </c>
      <c r="D389">
        <f>C389</f>
        <v>1</v>
      </c>
      <c r="F389" s="12" t="s">
        <v>0</v>
      </c>
      <c r="G389" s="77"/>
      <c r="H389" s="66"/>
      <c r="I389" s="66"/>
      <c r="J389" s="67"/>
      <c r="K389" s="65"/>
      <c r="L389" s="66"/>
      <c r="M389" s="66"/>
      <c r="N389" s="66"/>
      <c r="O389" s="65"/>
      <c r="P389" s="67"/>
      <c r="Q389" s="65"/>
      <c r="R389" s="66"/>
      <c r="S389" s="66"/>
      <c r="T389" s="66"/>
      <c r="U389" s="66">
        <v>1</v>
      </c>
      <c r="V389" s="66"/>
      <c r="W389" s="66"/>
      <c r="X389" s="67"/>
      <c r="Y389" s="77"/>
      <c r="Z389" s="66"/>
      <c r="AA389" s="66"/>
      <c r="AB389" s="66"/>
      <c r="AC389" s="65"/>
      <c r="AD389" s="66"/>
      <c r="AE389" s="66"/>
      <c r="AF389" s="67"/>
      <c r="AG389" s="66"/>
      <c r="AH389" s="67"/>
      <c r="AI389" s="66"/>
      <c r="AJ389" s="66">
        <v>1</v>
      </c>
      <c r="AK389" s="66"/>
      <c r="AL389" s="66"/>
      <c r="AM389" s="66"/>
      <c r="AN389" s="66"/>
      <c r="AO389" s="66"/>
      <c r="AP389" s="66"/>
      <c r="AQ389" s="65"/>
      <c r="AR389" s="65">
        <v>1</v>
      </c>
      <c r="AS389" s="65"/>
      <c r="AT389" s="65"/>
      <c r="AU389" s="65"/>
      <c r="AV389" s="65"/>
      <c r="AW389" s="65"/>
      <c r="AX389" s="68">
        <v>1</v>
      </c>
      <c r="AY389" s="17">
        <v>1</v>
      </c>
      <c r="AZ389" s="17"/>
    </row>
    <row r="390" spans="2:53" ht="16.5" customHeight="1" thickBot="1" x14ac:dyDescent="0.3">
      <c r="B390" s="1" t="s">
        <v>1</v>
      </c>
      <c r="C390" s="10">
        <v>2</v>
      </c>
      <c r="D390">
        <f t="shared" ref="D390:D392" si="42">C390</f>
        <v>2</v>
      </c>
      <c r="F390" s="1" t="s">
        <v>1</v>
      </c>
      <c r="G390" s="78"/>
      <c r="H390" s="46"/>
      <c r="I390" s="46"/>
      <c r="J390" s="70"/>
      <c r="K390" s="69">
        <v>1</v>
      </c>
      <c r="L390" s="46"/>
      <c r="M390" s="46"/>
      <c r="N390" s="46"/>
      <c r="O390" s="69">
        <v>1</v>
      </c>
      <c r="P390" s="70"/>
      <c r="Q390" s="69"/>
      <c r="R390" s="46"/>
      <c r="S390" s="46"/>
      <c r="T390" s="46"/>
      <c r="U390" s="46"/>
      <c r="V390" s="46"/>
      <c r="W390" s="46"/>
      <c r="X390" s="70"/>
      <c r="Y390" s="78"/>
      <c r="Z390" s="46"/>
      <c r="AA390" s="46"/>
      <c r="AB390" s="46"/>
      <c r="AC390" s="69"/>
      <c r="AD390" s="46"/>
      <c r="AE390" s="46"/>
      <c r="AF390" s="70"/>
      <c r="AG390" s="46"/>
      <c r="AH390" s="70">
        <v>2</v>
      </c>
      <c r="AI390" s="46"/>
      <c r="AJ390" s="46"/>
      <c r="AK390" s="46"/>
      <c r="AL390" s="46"/>
      <c r="AM390" s="46"/>
      <c r="AN390" s="46"/>
      <c r="AO390" s="46"/>
      <c r="AP390" s="46"/>
      <c r="AQ390" s="69"/>
      <c r="AR390" s="69"/>
      <c r="AS390" s="69"/>
      <c r="AT390" s="69"/>
      <c r="AU390" s="69"/>
      <c r="AV390" s="69"/>
      <c r="AW390" s="69"/>
      <c r="AX390" s="71"/>
      <c r="AY390" s="18"/>
      <c r="AZ390" s="18">
        <v>1</v>
      </c>
    </row>
    <row r="391" spans="2:53" ht="16.5" customHeight="1" thickBot="1" x14ac:dyDescent="0.3">
      <c r="B391" s="1" t="s">
        <v>2</v>
      </c>
      <c r="C391" s="10"/>
      <c r="D391">
        <f>C391</f>
        <v>0</v>
      </c>
      <c r="F391" s="1" t="s">
        <v>2</v>
      </c>
      <c r="G391" s="78"/>
      <c r="H391" s="46"/>
      <c r="I391" s="46"/>
      <c r="J391" s="70"/>
      <c r="K391" s="69"/>
      <c r="L391" s="46"/>
      <c r="M391" s="46"/>
      <c r="N391" s="46"/>
      <c r="O391" s="69"/>
      <c r="P391" s="70"/>
      <c r="Q391" s="69"/>
      <c r="R391" s="46"/>
      <c r="S391" s="46"/>
      <c r="T391" s="46"/>
      <c r="U391" s="46"/>
      <c r="V391" s="46"/>
      <c r="W391" s="46"/>
      <c r="X391" s="70"/>
      <c r="Y391" s="78"/>
      <c r="Z391" s="46"/>
      <c r="AA391" s="46"/>
      <c r="AB391" s="46"/>
      <c r="AC391" s="69"/>
      <c r="AD391" s="46"/>
      <c r="AE391" s="46"/>
      <c r="AF391" s="70"/>
      <c r="AG391" s="46"/>
      <c r="AH391" s="70"/>
      <c r="AI391" s="46"/>
      <c r="AJ391" s="46"/>
      <c r="AK391" s="46"/>
      <c r="AL391" s="46"/>
      <c r="AM391" s="46"/>
      <c r="AN391" s="46"/>
      <c r="AO391" s="46"/>
      <c r="AP391" s="46"/>
      <c r="AQ391" s="69"/>
      <c r="AR391" s="69"/>
      <c r="AS391" s="69"/>
      <c r="AT391" s="69"/>
      <c r="AU391" s="69"/>
      <c r="AV391" s="69"/>
      <c r="AW391" s="69"/>
      <c r="AX391" s="71"/>
      <c r="AY391" s="18"/>
      <c r="AZ391" s="18"/>
    </row>
    <row r="392" spans="2:53" ht="16.5" customHeight="1" thickBot="1" x14ac:dyDescent="0.3">
      <c r="B392" s="1" t="s">
        <v>3</v>
      </c>
      <c r="C392" s="10"/>
      <c r="D392" s="7">
        <f t="shared" si="42"/>
        <v>0</v>
      </c>
      <c r="F392" s="1" t="s">
        <v>3</v>
      </c>
      <c r="G392" s="79"/>
      <c r="H392" s="73"/>
      <c r="I392" s="73"/>
      <c r="J392" s="74"/>
      <c r="K392" s="72"/>
      <c r="L392" s="73"/>
      <c r="M392" s="73"/>
      <c r="N392" s="73"/>
      <c r="O392" s="72"/>
      <c r="P392" s="74"/>
      <c r="Q392" s="72"/>
      <c r="R392" s="73"/>
      <c r="S392" s="73"/>
      <c r="T392" s="73"/>
      <c r="U392" s="73"/>
      <c r="V392" s="73"/>
      <c r="W392" s="73"/>
      <c r="X392" s="74"/>
      <c r="Y392" s="79"/>
      <c r="Z392" s="73"/>
      <c r="AA392" s="73"/>
      <c r="AB392" s="73"/>
      <c r="AC392" s="72"/>
      <c r="AD392" s="73"/>
      <c r="AE392" s="73"/>
      <c r="AF392" s="74"/>
      <c r="AG392" s="73"/>
      <c r="AH392" s="74"/>
      <c r="AI392" s="73"/>
      <c r="AJ392" s="73"/>
      <c r="AK392" s="73"/>
      <c r="AL392" s="73"/>
      <c r="AM392" s="73"/>
      <c r="AN392" s="73"/>
      <c r="AO392" s="73"/>
      <c r="AP392" s="73"/>
      <c r="AQ392" s="72"/>
      <c r="AR392" s="72"/>
      <c r="AS392" s="72"/>
      <c r="AT392" s="72"/>
      <c r="AU392" s="72"/>
      <c r="AV392" s="72"/>
      <c r="AW392" s="72"/>
      <c r="AX392" s="75"/>
      <c r="AY392" s="19"/>
      <c r="AZ392" s="19"/>
    </row>
    <row r="393" spans="2:53" ht="21" customHeight="1" x14ac:dyDescent="0.25">
      <c r="B393" s="2"/>
      <c r="C393" s="3" t="s">
        <v>25</v>
      </c>
      <c r="D393" s="9">
        <f>SUM(D389:D392)</f>
        <v>3</v>
      </c>
      <c r="G393" s="80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80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</row>
    <row r="394" spans="2:53" x14ac:dyDescent="0.25"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</row>
    <row r="395" spans="2:53" ht="15.75" x14ac:dyDescent="0.25">
      <c r="G395" s="100" t="s">
        <v>22</v>
      </c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1" t="s">
        <v>21</v>
      </c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46"/>
      <c r="AR395" s="46"/>
      <c r="AS395" s="46"/>
      <c r="AT395" s="46"/>
      <c r="AU395" s="46"/>
      <c r="AV395" s="46"/>
      <c r="AW395" s="46"/>
      <c r="AX395" s="46"/>
    </row>
    <row r="396" spans="2:53" ht="32.25" thickBot="1" x14ac:dyDescent="0.3">
      <c r="G396" s="102" t="s">
        <v>14</v>
      </c>
      <c r="H396" s="102"/>
      <c r="I396" s="102"/>
      <c r="J396" s="102"/>
      <c r="K396" s="102" t="s">
        <v>15</v>
      </c>
      <c r="L396" s="102"/>
      <c r="M396" s="102"/>
      <c r="N396" s="102"/>
      <c r="O396" s="102" t="s">
        <v>59</v>
      </c>
      <c r="P396" s="102"/>
      <c r="Q396" s="102" t="s">
        <v>16</v>
      </c>
      <c r="R396" s="102"/>
      <c r="S396" s="102"/>
      <c r="T396" s="102"/>
      <c r="U396" s="102"/>
      <c r="V396" s="102"/>
      <c r="W396" s="102"/>
      <c r="X396" s="102"/>
      <c r="Y396" s="102" t="s">
        <v>14</v>
      </c>
      <c r="Z396" s="102"/>
      <c r="AA396" s="102"/>
      <c r="AB396" s="102"/>
      <c r="AC396" s="102" t="s">
        <v>15</v>
      </c>
      <c r="AD396" s="102"/>
      <c r="AE396" s="102"/>
      <c r="AF396" s="102"/>
      <c r="AG396" s="102" t="s">
        <v>59</v>
      </c>
      <c r="AH396" s="102"/>
      <c r="AI396" s="102" t="s">
        <v>16</v>
      </c>
      <c r="AJ396" s="102"/>
      <c r="AK396" s="102"/>
      <c r="AL396" s="102"/>
      <c r="AM396" s="102"/>
      <c r="AN396" s="102"/>
      <c r="AO396" s="102"/>
      <c r="AP396" s="102"/>
      <c r="AQ396" s="76" t="s">
        <v>60</v>
      </c>
      <c r="AR396" s="76" t="s">
        <v>70</v>
      </c>
      <c r="AS396" s="76" t="s">
        <v>65</v>
      </c>
      <c r="AT396" s="76" t="s">
        <v>61</v>
      </c>
      <c r="AU396" s="76" t="s">
        <v>62</v>
      </c>
      <c r="AV396" s="76" t="s">
        <v>27</v>
      </c>
      <c r="AW396" s="76" t="s">
        <v>64</v>
      </c>
      <c r="AX396" s="76" t="s">
        <v>63</v>
      </c>
      <c r="AY396" s="76" t="s">
        <v>66</v>
      </c>
      <c r="AZ396" s="76" t="s">
        <v>67</v>
      </c>
    </row>
    <row r="397" spans="2:53" ht="48" thickBot="1" x14ac:dyDescent="0.3">
      <c r="B397" s="20">
        <v>0.44791666666666669</v>
      </c>
      <c r="C397" s="14" t="s">
        <v>13</v>
      </c>
      <c r="D397" s="8" t="s">
        <v>6</v>
      </c>
      <c r="F397" s="13"/>
      <c r="G397" s="81" t="s">
        <v>20</v>
      </c>
      <c r="H397" s="64" t="s">
        <v>17</v>
      </c>
      <c r="I397" s="64" t="s">
        <v>19</v>
      </c>
      <c r="J397" s="64" t="s">
        <v>18</v>
      </c>
      <c r="K397" s="64" t="s">
        <v>52</v>
      </c>
      <c r="L397" s="64" t="s">
        <v>51</v>
      </c>
      <c r="M397" s="64" t="s">
        <v>53</v>
      </c>
      <c r="N397" s="64" t="s">
        <v>54</v>
      </c>
      <c r="O397" s="64" t="s">
        <v>20</v>
      </c>
      <c r="P397" s="64" t="s">
        <v>19</v>
      </c>
      <c r="Q397" s="64" t="s">
        <v>55</v>
      </c>
      <c r="R397" s="64" t="s">
        <v>56</v>
      </c>
      <c r="S397" s="64" t="s">
        <v>52</v>
      </c>
      <c r="T397" s="64" t="s">
        <v>51</v>
      </c>
      <c r="U397" s="64" t="s">
        <v>57</v>
      </c>
      <c r="V397" s="64" t="s">
        <v>58</v>
      </c>
      <c r="W397" s="64" t="s">
        <v>53</v>
      </c>
      <c r="X397" s="64" t="s">
        <v>54</v>
      </c>
      <c r="Y397" s="81" t="s">
        <v>20</v>
      </c>
      <c r="Z397" s="64" t="s">
        <v>17</v>
      </c>
      <c r="AA397" s="64" t="s">
        <v>19</v>
      </c>
      <c r="AB397" s="64" t="s">
        <v>18</v>
      </c>
      <c r="AC397" s="64" t="s">
        <v>52</v>
      </c>
      <c r="AD397" s="64" t="s">
        <v>51</v>
      </c>
      <c r="AE397" s="64" t="s">
        <v>53</v>
      </c>
      <c r="AF397" s="64" t="s">
        <v>54</v>
      </c>
      <c r="AG397" s="64" t="s">
        <v>20</v>
      </c>
      <c r="AH397" s="64" t="s">
        <v>19</v>
      </c>
      <c r="AI397" s="64" t="s">
        <v>55</v>
      </c>
      <c r="AJ397" s="64" t="s">
        <v>56</v>
      </c>
      <c r="AK397" s="64" t="s">
        <v>52</v>
      </c>
      <c r="AL397" s="64" t="s">
        <v>51</v>
      </c>
      <c r="AM397" s="64" t="s">
        <v>57</v>
      </c>
      <c r="AN397" s="64" t="s">
        <v>58</v>
      </c>
      <c r="AO397" s="64" t="s">
        <v>53</v>
      </c>
      <c r="AP397" s="64" t="s">
        <v>54</v>
      </c>
      <c r="AQ397" s="46"/>
      <c r="AR397" s="46"/>
      <c r="AS397" s="46"/>
      <c r="AT397" s="46"/>
      <c r="AU397" s="46"/>
      <c r="AV397" s="46"/>
      <c r="AW397" s="46"/>
      <c r="AX397" s="46"/>
    </row>
    <row r="398" spans="2:53" ht="16.5" customHeight="1" thickBot="1" x14ac:dyDescent="0.3">
      <c r="B398" s="1" t="s">
        <v>0</v>
      </c>
      <c r="C398" s="10"/>
      <c r="D398">
        <f>C398</f>
        <v>0</v>
      </c>
      <c r="F398" s="12" t="s">
        <v>0</v>
      </c>
      <c r="G398" s="77"/>
      <c r="H398" s="66"/>
      <c r="I398" s="66"/>
      <c r="J398" s="67"/>
      <c r="K398" s="65"/>
      <c r="L398" s="66"/>
      <c r="M398" s="66"/>
      <c r="N398" s="66"/>
      <c r="O398" s="65"/>
      <c r="P398" s="67"/>
      <c r="Q398" s="65"/>
      <c r="R398" s="66"/>
      <c r="S398" s="66"/>
      <c r="T398" s="66"/>
      <c r="U398" s="66"/>
      <c r="V398" s="66"/>
      <c r="W398" s="66"/>
      <c r="X398" s="67"/>
      <c r="Y398" s="77"/>
      <c r="Z398" s="66"/>
      <c r="AA398" s="66"/>
      <c r="AB398" s="66"/>
      <c r="AC398" s="65"/>
      <c r="AD398" s="66"/>
      <c r="AE398" s="66"/>
      <c r="AF398" s="67"/>
      <c r="AG398" s="66"/>
      <c r="AH398" s="67"/>
      <c r="AI398" s="66"/>
      <c r="AJ398" s="66"/>
      <c r="AK398" s="66"/>
      <c r="AL398" s="66"/>
      <c r="AM398" s="66"/>
      <c r="AN398" s="66"/>
      <c r="AO398" s="66"/>
      <c r="AP398" s="66"/>
      <c r="AQ398" s="65"/>
      <c r="AR398" s="65"/>
      <c r="AS398" s="65"/>
      <c r="AT398" s="65"/>
      <c r="AU398" s="65"/>
      <c r="AV398" s="65"/>
      <c r="AW398" s="65"/>
      <c r="AX398" s="68"/>
      <c r="AY398" s="17"/>
      <c r="AZ398" s="17"/>
    </row>
    <row r="399" spans="2:53" ht="16.5" customHeight="1" thickBot="1" x14ac:dyDescent="0.3">
      <c r="B399" s="1" t="s">
        <v>1</v>
      </c>
      <c r="C399" s="10">
        <v>2</v>
      </c>
      <c r="D399">
        <f t="shared" ref="D399:D401" si="43">C399</f>
        <v>2</v>
      </c>
      <c r="F399" s="1" t="s">
        <v>1</v>
      </c>
      <c r="G399" s="78"/>
      <c r="H399" s="46"/>
      <c r="I399" s="46"/>
      <c r="J399" s="70"/>
      <c r="K399" s="69"/>
      <c r="L399" s="46"/>
      <c r="M399" s="46"/>
      <c r="N399" s="46"/>
      <c r="O399" s="69"/>
      <c r="P399" s="70">
        <v>2</v>
      </c>
      <c r="Q399" s="69"/>
      <c r="R399" s="46"/>
      <c r="S399" s="46"/>
      <c r="T399" s="46"/>
      <c r="U399" s="46"/>
      <c r="V399" s="46"/>
      <c r="W399" s="46"/>
      <c r="X399" s="70"/>
      <c r="Y399" s="78"/>
      <c r="Z399" s="46"/>
      <c r="AA399" s="46"/>
      <c r="AB399" s="46"/>
      <c r="AC399" s="69"/>
      <c r="AD399" s="46"/>
      <c r="AE399" s="46"/>
      <c r="AF399" s="70"/>
      <c r="AG399" s="46">
        <v>2</v>
      </c>
      <c r="AH399" s="70"/>
      <c r="AI399" s="46"/>
      <c r="AJ399" s="46"/>
      <c r="AK399" s="46"/>
      <c r="AL399" s="46"/>
      <c r="AM399" s="46"/>
      <c r="AN399" s="46"/>
      <c r="AO399" s="46"/>
      <c r="AP399" s="46"/>
      <c r="AQ399" s="69"/>
      <c r="AR399" s="69">
        <v>1</v>
      </c>
      <c r="AS399" s="69">
        <v>1</v>
      </c>
      <c r="AT399" s="69"/>
      <c r="AU399" s="69"/>
      <c r="AV399" s="69"/>
      <c r="AW399" s="69"/>
      <c r="AX399" s="71"/>
      <c r="AY399" s="18">
        <v>1</v>
      </c>
      <c r="AZ399" s="18"/>
      <c r="BA399" t="s">
        <v>79</v>
      </c>
    </row>
    <row r="400" spans="2:53" ht="16.5" customHeight="1" thickBot="1" x14ac:dyDescent="0.3">
      <c r="B400" s="1" t="s">
        <v>2</v>
      </c>
      <c r="C400" s="10"/>
      <c r="D400">
        <f>C400</f>
        <v>0</v>
      </c>
      <c r="F400" s="1" t="s">
        <v>2</v>
      </c>
      <c r="G400" s="78"/>
      <c r="H400" s="46"/>
      <c r="I400" s="46"/>
      <c r="J400" s="70"/>
      <c r="K400" s="69"/>
      <c r="L400" s="46"/>
      <c r="M400" s="46"/>
      <c r="N400" s="46"/>
      <c r="O400" s="69"/>
      <c r="P400" s="70"/>
      <c r="Q400" s="69"/>
      <c r="R400" s="46"/>
      <c r="S400" s="46"/>
      <c r="T400" s="46"/>
      <c r="U400" s="46"/>
      <c r="V400" s="46"/>
      <c r="W400" s="46"/>
      <c r="X400" s="70"/>
      <c r="Y400" s="78"/>
      <c r="Z400" s="46"/>
      <c r="AA400" s="46"/>
      <c r="AB400" s="46"/>
      <c r="AC400" s="69"/>
      <c r="AD400" s="46"/>
      <c r="AE400" s="46"/>
      <c r="AF400" s="70"/>
      <c r="AG400" s="46"/>
      <c r="AH400" s="70"/>
      <c r="AI400" s="46"/>
      <c r="AJ400" s="46"/>
      <c r="AK400" s="46"/>
      <c r="AL400" s="46"/>
      <c r="AM400" s="46"/>
      <c r="AN400" s="46"/>
      <c r="AO400" s="46"/>
      <c r="AP400" s="46"/>
      <c r="AQ400" s="69"/>
      <c r="AR400" s="69"/>
      <c r="AS400" s="69"/>
      <c r="AT400" s="69"/>
      <c r="AU400" s="69"/>
      <c r="AV400" s="69"/>
      <c r="AW400" s="69"/>
      <c r="AX400" s="71"/>
      <c r="AY400" s="18"/>
      <c r="AZ400" s="18"/>
    </row>
    <row r="401" spans="2:53" ht="16.5" customHeight="1" thickBot="1" x14ac:dyDescent="0.3">
      <c r="B401" s="1" t="s">
        <v>3</v>
      </c>
      <c r="C401" s="10"/>
      <c r="D401" s="7">
        <f t="shared" si="43"/>
        <v>0</v>
      </c>
      <c r="F401" s="1" t="s">
        <v>3</v>
      </c>
      <c r="G401" s="79"/>
      <c r="H401" s="73"/>
      <c r="I401" s="73"/>
      <c r="J401" s="74"/>
      <c r="K401" s="72"/>
      <c r="L401" s="73"/>
      <c r="M401" s="73"/>
      <c r="N401" s="73"/>
      <c r="O401" s="72"/>
      <c r="P401" s="74"/>
      <c r="Q401" s="72"/>
      <c r="R401" s="73"/>
      <c r="S401" s="73"/>
      <c r="T401" s="73"/>
      <c r="U401" s="73"/>
      <c r="V401" s="73"/>
      <c r="W401" s="73"/>
      <c r="X401" s="74"/>
      <c r="Y401" s="79"/>
      <c r="Z401" s="73"/>
      <c r="AA401" s="73"/>
      <c r="AB401" s="73"/>
      <c r="AC401" s="72"/>
      <c r="AD401" s="73"/>
      <c r="AE401" s="73"/>
      <c r="AF401" s="74"/>
      <c r="AG401" s="73"/>
      <c r="AH401" s="74"/>
      <c r="AI401" s="73"/>
      <c r="AJ401" s="73"/>
      <c r="AK401" s="73"/>
      <c r="AL401" s="73"/>
      <c r="AM401" s="73"/>
      <c r="AN401" s="73"/>
      <c r="AO401" s="73"/>
      <c r="AP401" s="73"/>
      <c r="AQ401" s="72"/>
      <c r="AR401" s="72"/>
      <c r="AS401" s="72"/>
      <c r="AT401" s="72"/>
      <c r="AU401" s="72"/>
      <c r="AV401" s="72"/>
      <c r="AW401" s="72"/>
      <c r="AX401" s="75"/>
      <c r="AY401" s="19"/>
      <c r="AZ401" s="19"/>
    </row>
    <row r="402" spans="2:53" ht="21" customHeight="1" x14ac:dyDescent="0.25">
      <c r="B402" s="2"/>
      <c r="C402" s="3" t="s">
        <v>25</v>
      </c>
      <c r="D402" s="9">
        <f>SUM(D398:D401)</f>
        <v>2</v>
      </c>
      <c r="G402" s="80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80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</row>
    <row r="403" spans="2:53" x14ac:dyDescent="0.25"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</row>
    <row r="404" spans="2:53" ht="15.75" x14ac:dyDescent="0.25">
      <c r="G404" s="100" t="s">
        <v>22</v>
      </c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1" t="s">
        <v>21</v>
      </c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46"/>
      <c r="AR404" s="46"/>
      <c r="AS404" s="46"/>
      <c r="AT404" s="46"/>
      <c r="AU404" s="46"/>
      <c r="AV404" s="46"/>
      <c r="AW404" s="46"/>
      <c r="AX404" s="46"/>
    </row>
    <row r="405" spans="2:53" ht="32.25" thickBot="1" x14ac:dyDescent="0.3">
      <c r="G405" s="102" t="s">
        <v>14</v>
      </c>
      <c r="H405" s="102"/>
      <c r="I405" s="102"/>
      <c r="J405" s="102"/>
      <c r="K405" s="102" t="s">
        <v>15</v>
      </c>
      <c r="L405" s="102"/>
      <c r="M405" s="102"/>
      <c r="N405" s="102"/>
      <c r="O405" s="102" t="s">
        <v>59</v>
      </c>
      <c r="P405" s="102"/>
      <c r="Q405" s="102" t="s">
        <v>16</v>
      </c>
      <c r="R405" s="102"/>
      <c r="S405" s="102"/>
      <c r="T405" s="102"/>
      <c r="U405" s="102"/>
      <c r="V405" s="102"/>
      <c r="W405" s="102"/>
      <c r="X405" s="102"/>
      <c r="Y405" s="102" t="s">
        <v>14</v>
      </c>
      <c r="Z405" s="102"/>
      <c r="AA405" s="102"/>
      <c r="AB405" s="102"/>
      <c r="AC405" s="102" t="s">
        <v>15</v>
      </c>
      <c r="AD405" s="102"/>
      <c r="AE405" s="102"/>
      <c r="AF405" s="102"/>
      <c r="AG405" s="102" t="s">
        <v>59</v>
      </c>
      <c r="AH405" s="102"/>
      <c r="AI405" s="102" t="s">
        <v>16</v>
      </c>
      <c r="AJ405" s="102"/>
      <c r="AK405" s="102"/>
      <c r="AL405" s="102"/>
      <c r="AM405" s="102"/>
      <c r="AN405" s="102"/>
      <c r="AO405" s="102"/>
      <c r="AP405" s="102"/>
      <c r="AQ405" s="76" t="s">
        <v>60</v>
      </c>
      <c r="AR405" s="76" t="s">
        <v>70</v>
      </c>
      <c r="AS405" s="76" t="s">
        <v>65</v>
      </c>
      <c r="AT405" s="76" t="s">
        <v>61</v>
      </c>
      <c r="AU405" s="76" t="s">
        <v>62</v>
      </c>
      <c r="AV405" s="76" t="s">
        <v>27</v>
      </c>
      <c r="AW405" s="76" t="s">
        <v>64</v>
      </c>
      <c r="AX405" s="76" t="s">
        <v>63</v>
      </c>
      <c r="AY405" s="76" t="s">
        <v>66</v>
      </c>
      <c r="AZ405" s="76" t="s">
        <v>67</v>
      </c>
    </row>
    <row r="406" spans="2:53" ht="48" thickBot="1" x14ac:dyDescent="0.3">
      <c r="B406" s="21">
        <v>0.45833333333333331</v>
      </c>
      <c r="C406" s="14" t="s">
        <v>13</v>
      </c>
      <c r="D406" s="8" t="s">
        <v>6</v>
      </c>
      <c r="F406" s="13"/>
      <c r="G406" s="81" t="s">
        <v>20</v>
      </c>
      <c r="H406" s="64" t="s">
        <v>17</v>
      </c>
      <c r="I406" s="64" t="s">
        <v>19</v>
      </c>
      <c r="J406" s="64" t="s">
        <v>18</v>
      </c>
      <c r="K406" s="64" t="s">
        <v>52</v>
      </c>
      <c r="L406" s="64" t="s">
        <v>51</v>
      </c>
      <c r="M406" s="64" t="s">
        <v>53</v>
      </c>
      <c r="N406" s="64" t="s">
        <v>54</v>
      </c>
      <c r="O406" s="64" t="s">
        <v>20</v>
      </c>
      <c r="P406" s="64" t="s">
        <v>19</v>
      </c>
      <c r="Q406" s="64" t="s">
        <v>55</v>
      </c>
      <c r="R406" s="64" t="s">
        <v>56</v>
      </c>
      <c r="S406" s="64" t="s">
        <v>52</v>
      </c>
      <c r="T406" s="64" t="s">
        <v>51</v>
      </c>
      <c r="U406" s="64" t="s">
        <v>57</v>
      </c>
      <c r="V406" s="64" t="s">
        <v>58</v>
      </c>
      <c r="W406" s="64" t="s">
        <v>53</v>
      </c>
      <c r="X406" s="64" t="s">
        <v>54</v>
      </c>
      <c r="Y406" s="81" t="s">
        <v>20</v>
      </c>
      <c r="Z406" s="64" t="s">
        <v>17</v>
      </c>
      <c r="AA406" s="64" t="s">
        <v>19</v>
      </c>
      <c r="AB406" s="64" t="s">
        <v>18</v>
      </c>
      <c r="AC406" s="64" t="s">
        <v>52</v>
      </c>
      <c r="AD406" s="64" t="s">
        <v>51</v>
      </c>
      <c r="AE406" s="64" t="s">
        <v>53</v>
      </c>
      <c r="AF406" s="64" t="s">
        <v>54</v>
      </c>
      <c r="AG406" s="64" t="s">
        <v>20</v>
      </c>
      <c r="AH406" s="64" t="s">
        <v>19</v>
      </c>
      <c r="AI406" s="64" t="s">
        <v>55</v>
      </c>
      <c r="AJ406" s="64" t="s">
        <v>56</v>
      </c>
      <c r="AK406" s="64" t="s">
        <v>52</v>
      </c>
      <c r="AL406" s="64" t="s">
        <v>51</v>
      </c>
      <c r="AM406" s="64" t="s">
        <v>57</v>
      </c>
      <c r="AN406" s="64" t="s">
        <v>58</v>
      </c>
      <c r="AO406" s="64" t="s">
        <v>53</v>
      </c>
      <c r="AP406" s="64" t="s">
        <v>54</v>
      </c>
      <c r="AQ406" s="46"/>
      <c r="AR406" s="46"/>
      <c r="AS406" s="46"/>
      <c r="AT406" s="46"/>
      <c r="AU406" s="46"/>
      <c r="AV406" s="46"/>
      <c r="AW406" s="46"/>
      <c r="AX406" s="46"/>
    </row>
    <row r="407" spans="2:53" ht="16.5" customHeight="1" thickBot="1" x14ac:dyDescent="0.3">
      <c r="B407" s="1" t="s">
        <v>0</v>
      </c>
      <c r="C407" s="10">
        <v>1</v>
      </c>
      <c r="D407">
        <f>C407</f>
        <v>1</v>
      </c>
      <c r="F407" s="12" t="s">
        <v>0</v>
      </c>
      <c r="G407" s="77"/>
      <c r="H407" s="66"/>
      <c r="I407" s="66"/>
      <c r="J407" s="67"/>
      <c r="K407" s="65"/>
      <c r="L407" s="66"/>
      <c r="M407" s="66"/>
      <c r="N407" s="66"/>
      <c r="O407" s="65"/>
      <c r="P407" s="67"/>
      <c r="Q407" s="65"/>
      <c r="R407" s="66"/>
      <c r="S407" s="66"/>
      <c r="T407" s="66"/>
      <c r="U407" s="66"/>
      <c r="V407" s="66">
        <v>1</v>
      </c>
      <c r="W407" s="66"/>
      <c r="X407" s="67"/>
      <c r="Y407" s="77"/>
      <c r="Z407" s="66"/>
      <c r="AA407" s="66"/>
      <c r="AB407" s="66"/>
      <c r="AC407" s="65"/>
      <c r="AD407" s="66"/>
      <c r="AE407" s="66"/>
      <c r="AF407" s="67"/>
      <c r="AG407" s="66"/>
      <c r="AH407" s="67"/>
      <c r="AI407" s="66"/>
      <c r="AJ407" s="66"/>
      <c r="AK407" s="66"/>
      <c r="AL407" s="66"/>
      <c r="AM407" s="66"/>
      <c r="AN407" s="66"/>
      <c r="AO407" s="66">
        <v>1</v>
      </c>
      <c r="AP407" s="66"/>
      <c r="AQ407" s="65"/>
      <c r="AR407" s="65"/>
      <c r="AS407" s="65"/>
      <c r="AT407" s="65"/>
      <c r="AU407" s="65"/>
      <c r="AV407" s="65"/>
      <c r="AW407" s="65"/>
      <c r="AX407" s="68"/>
      <c r="AY407" s="17"/>
      <c r="AZ407" s="17"/>
    </row>
    <row r="408" spans="2:53" ht="16.5" customHeight="1" thickBot="1" x14ac:dyDescent="0.3">
      <c r="B408" s="1" t="s">
        <v>1</v>
      </c>
      <c r="C408" s="10"/>
      <c r="D408">
        <f t="shared" ref="D408:D410" si="44">C408</f>
        <v>0</v>
      </c>
      <c r="F408" s="1" t="s">
        <v>1</v>
      </c>
      <c r="G408" s="78"/>
      <c r="H408" s="46"/>
      <c r="I408" s="46"/>
      <c r="J408" s="70"/>
      <c r="K408" s="69"/>
      <c r="L408" s="46"/>
      <c r="M408" s="46"/>
      <c r="N408" s="46"/>
      <c r="O408" s="69"/>
      <c r="P408" s="70"/>
      <c r="Q408" s="69"/>
      <c r="R408" s="46"/>
      <c r="S408" s="46"/>
      <c r="T408" s="46"/>
      <c r="U408" s="46"/>
      <c r="V408" s="46"/>
      <c r="W408" s="46"/>
      <c r="X408" s="70"/>
      <c r="Y408" s="78"/>
      <c r="Z408" s="46"/>
      <c r="AA408" s="46"/>
      <c r="AB408" s="46"/>
      <c r="AC408" s="69"/>
      <c r="AD408" s="46"/>
      <c r="AE408" s="46"/>
      <c r="AF408" s="70"/>
      <c r="AG408" s="46"/>
      <c r="AH408" s="70"/>
      <c r="AI408" s="46"/>
      <c r="AJ408" s="46"/>
      <c r="AK408" s="46"/>
      <c r="AL408" s="46"/>
      <c r="AM408" s="46"/>
      <c r="AN408" s="46"/>
      <c r="AO408" s="46"/>
      <c r="AP408" s="46"/>
      <c r="AQ408" s="69"/>
      <c r="AR408" s="69"/>
      <c r="AS408" s="69"/>
      <c r="AT408" s="69"/>
      <c r="AU408" s="69"/>
      <c r="AV408" s="69"/>
      <c r="AW408" s="69"/>
      <c r="AX408" s="71"/>
      <c r="AY408" s="18"/>
      <c r="AZ408" s="18"/>
    </row>
    <row r="409" spans="2:53" ht="16.5" customHeight="1" thickBot="1" x14ac:dyDescent="0.3">
      <c r="B409" s="1" t="s">
        <v>2</v>
      </c>
      <c r="C409" s="10"/>
      <c r="D409">
        <f>C409</f>
        <v>0</v>
      </c>
      <c r="F409" s="1" t="s">
        <v>2</v>
      </c>
      <c r="G409" s="78"/>
      <c r="H409" s="46"/>
      <c r="I409" s="46"/>
      <c r="J409" s="70"/>
      <c r="K409" s="69"/>
      <c r="L409" s="46"/>
      <c r="M409" s="46"/>
      <c r="N409" s="46"/>
      <c r="O409" s="69"/>
      <c r="P409" s="70"/>
      <c r="Q409" s="69"/>
      <c r="R409" s="46"/>
      <c r="S409" s="46"/>
      <c r="T409" s="46"/>
      <c r="U409" s="46"/>
      <c r="V409" s="46"/>
      <c r="W409" s="46"/>
      <c r="X409" s="70"/>
      <c r="Y409" s="78"/>
      <c r="Z409" s="46"/>
      <c r="AA409" s="46"/>
      <c r="AB409" s="46"/>
      <c r="AC409" s="69"/>
      <c r="AD409" s="46"/>
      <c r="AE409" s="46"/>
      <c r="AF409" s="70"/>
      <c r="AG409" s="46"/>
      <c r="AH409" s="70"/>
      <c r="AI409" s="46"/>
      <c r="AJ409" s="46"/>
      <c r="AK409" s="46"/>
      <c r="AL409" s="46"/>
      <c r="AM409" s="46"/>
      <c r="AN409" s="46"/>
      <c r="AO409" s="46"/>
      <c r="AP409" s="46"/>
      <c r="AQ409" s="69"/>
      <c r="AR409" s="69"/>
      <c r="AS409" s="69"/>
      <c r="AT409" s="69"/>
      <c r="AU409" s="69"/>
      <c r="AV409" s="69"/>
      <c r="AW409" s="69"/>
      <c r="AX409" s="71"/>
      <c r="AY409" s="18"/>
      <c r="AZ409" s="18"/>
    </row>
    <row r="410" spans="2:53" ht="16.5" customHeight="1" thickBot="1" x14ac:dyDescent="0.3">
      <c r="B410" s="1" t="s">
        <v>3</v>
      </c>
      <c r="C410" s="10"/>
      <c r="D410" s="7">
        <f t="shared" si="44"/>
        <v>0</v>
      </c>
      <c r="F410" s="1" t="s">
        <v>3</v>
      </c>
      <c r="G410" s="79"/>
      <c r="H410" s="73"/>
      <c r="I410" s="73"/>
      <c r="J410" s="74"/>
      <c r="K410" s="72"/>
      <c r="L410" s="73"/>
      <c r="M410" s="73"/>
      <c r="N410" s="73"/>
      <c r="O410" s="72"/>
      <c r="P410" s="74"/>
      <c r="Q410" s="72"/>
      <c r="R410" s="73"/>
      <c r="S410" s="73"/>
      <c r="T410" s="73"/>
      <c r="U410" s="73"/>
      <c r="V410" s="73"/>
      <c r="W410" s="73"/>
      <c r="X410" s="74"/>
      <c r="Y410" s="79"/>
      <c r="Z410" s="73"/>
      <c r="AA410" s="73"/>
      <c r="AB410" s="73"/>
      <c r="AC410" s="72"/>
      <c r="AD410" s="73"/>
      <c r="AE410" s="73"/>
      <c r="AF410" s="74"/>
      <c r="AG410" s="73"/>
      <c r="AH410" s="74"/>
      <c r="AI410" s="73"/>
      <c r="AJ410" s="73"/>
      <c r="AK410" s="73"/>
      <c r="AL410" s="73"/>
      <c r="AM410" s="73"/>
      <c r="AN410" s="73"/>
      <c r="AO410" s="73"/>
      <c r="AP410" s="73"/>
      <c r="AQ410" s="72"/>
      <c r="AR410" s="72"/>
      <c r="AS410" s="72"/>
      <c r="AT410" s="72"/>
      <c r="AU410" s="72"/>
      <c r="AV410" s="72"/>
      <c r="AW410" s="72"/>
      <c r="AX410" s="75"/>
      <c r="AY410" s="19"/>
      <c r="AZ410" s="19"/>
    </row>
    <row r="411" spans="2:53" ht="21" customHeight="1" x14ac:dyDescent="0.25">
      <c r="B411" s="2"/>
      <c r="C411" s="3" t="s">
        <v>25</v>
      </c>
      <c r="D411" s="9">
        <f>SUM(D407:D410)</f>
        <v>1</v>
      </c>
      <c r="G411" s="80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80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</row>
    <row r="412" spans="2:53" x14ac:dyDescent="0.25"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</row>
    <row r="413" spans="2:53" ht="15.75" x14ac:dyDescent="0.25">
      <c r="G413" s="100" t="s">
        <v>22</v>
      </c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1" t="s">
        <v>21</v>
      </c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46"/>
      <c r="AR413" s="46"/>
      <c r="AS413" s="46"/>
      <c r="AT413" s="46"/>
      <c r="AU413" s="46"/>
      <c r="AV413" s="46"/>
      <c r="AW413" s="46"/>
      <c r="AX413" s="46"/>
    </row>
    <row r="414" spans="2:53" ht="32.25" thickBot="1" x14ac:dyDescent="0.3">
      <c r="G414" s="102" t="s">
        <v>14</v>
      </c>
      <c r="H414" s="102"/>
      <c r="I414" s="102"/>
      <c r="J414" s="102"/>
      <c r="K414" s="102" t="s">
        <v>15</v>
      </c>
      <c r="L414" s="102"/>
      <c r="M414" s="102"/>
      <c r="N414" s="102"/>
      <c r="O414" s="102" t="s">
        <v>59</v>
      </c>
      <c r="P414" s="102"/>
      <c r="Q414" s="102" t="s">
        <v>16</v>
      </c>
      <c r="R414" s="102"/>
      <c r="S414" s="102"/>
      <c r="T414" s="102"/>
      <c r="U414" s="102"/>
      <c r="V414" s="102"/>
      <c r="W414" s="102"/>
      <c r="X414" s="102"/>
      <c r="Y414" s="102" t="s">
        <v>14</v>
      </c>
      <c r="Z414" s="102"/>
      <c r="AA414" s="102"/>
      <c r="AB414" s="102"/>
      <c r="AC414" s="102" t="s">
        <v>15</v>
      </c>
      <c r="AD414" s="102"/>
      <c r="AE414" s="102"/>
      <c r="AF414" s="102"/>
      <c r="AG414" s="102" t="s">
        <v>59</v>
      </c>
      <c r="AH414" s="102"/>
      <c r="AI414" s="102" t="s">
        <v>16</v>
      </c>
      <c r="AJ414" s="102"/>
      <c r="AK414" s="102"/>
      <c r="AL414" s="102"/>
      <c r="AM414" s="102"/>
      <c r="AN414" s="102"/>
      <c r="AO414" s="102"/>
      <c r="AP414" s="102"/>
      <c r="AQ414" s="76" t="s">
        <v>60</v>
      </c>
      <c r="AR414" s="76" t="s">
        <v>70</v>
      </c>
      <c r="AS414" s="76" t="s">
        <v>65</v>
      </c>
      <c r="AT414" s="76" t="s">
        <v>61</v>
      </c>
      <c r="AU414" s="76" t="s">
        <v>62</v>
      </c>
      <c r="AV414" s="76" t="s">
        <v>27</v>
      </c>
      <c r="AW414" s="76" t="s">
        <v>64</v>
      </c>
      <c r="AX414" s="76" t="s">
        <v>63</v>
      </c>
      <c r="AY414" s="76" t="s">
        <v>66</v>
      </c>
      <c r="AZ414" s="76" t="s">
        <v>67</v>
      </c>
    </row>
    <row r="415" spans="2:53" ht="48" thickBot="1" x14ac:dyDescent="0.3">
      <c r="B415" s="21">
        <v>0.46875</v>
      </c>
      <c r="C415" s="14" t="s">
        <v>13</v>
      </c>
      <c r="D415" s="8" t="s">
        <v>6</v>
      </c>
      <c r="F415" s="13"/>
      <c r="G415" s="81" t="s">
        <v>20</v>
      </c>
      <c r="H415" s="64" t="s">
        <v>17</v>
      </c>
      <c r="I415" s="64" t="s">
        <v>19</v>
      </c>
      <c r="J415" s="64" t="s">
        <v>18</v>
      </c>
      <c r="K415" s="64" t="s">
        <v>52</v>
      </c>
      <c r="L415" s="64" t="s">
        <v>51</v>
      </c>
      <c r="M415" s="64" t="s">
        <v>53</v>
      </c>
      <c r="N415" s="64" t="s">
        <v>54</v>
      </c>
      <c r="O415" s="64" t="s">
        <v>20</v>
      </c>
      <c r="P415" s="64" t="s">
        <v>19</v>
      </c>
      <c r="Q415" s="64" t="s">
        <v>55</v>
      </c>
      <c r="R415" s="64" t="s">
        <v>56</v>
      </c>
      <c r="S415" s="64" t="s">
        <v>52</v>
      </c>
      <c r="T415" s="64" t="s">
        <v>51</v>
      </c>
      <c r="U415" s="64" t="s">
        <v>57</v>
      </c>
      <c r="V415" s="64" t="s">
        <v>58</v>
      </c>
      <c r="W415" s="64" t="s">
        <v>53</v>
      </c>
      <c r="X415" s="64" t="s">
        <v>54</v>
      </c>
      <c r="Y415" s="81" t="s">
        <v>20</v>
      </c>
      <c r="Z415" s="64" t="s">
        <v>17</v>
      </c>
      <c r="AA415" s="64" t="s">
        <v>19</v>
      </c>
      <c r="AB415" s="64" t="s">
        <v>18</v>
      </c>
      <c r="AC415" s="64" t="s">
        <v>52</v>
      </c>
      <c r="AD415" s="64" t="s">
        <v>51</v>
      </c>
      <c r="AE415" s="64" t="s">
        <v>53</v>
      </c>
      <c r="AF415" s="64" t="s">
        <v>54</v>
      </c>
      <c r="AG415" s="64" t="s">
        <v>20</v>
      </c>
      <c r="AH415" s="64" t="s">
        <v>19</v>
      </c>
      <c r="AI415" s="64" t="s">
        <v>55</v>
      </c>
      <c r="AJ415" s="64" t="s">
        <v>56</v>
      </c>
      <c r="AK415" s="64" t="s">
        <v>52</v>
      </c>
      <c r="AL415" s="64" t="s">
        <v>51</v>
      </c>
      <c r="AM415" s="64" t="s">
        <v>57</v>
      </c>
      <c r="AN415" s="64" t="s">
        <v>58</v>
      </c>
      <c r="AO415" s="64" t="s">
        <v>53</v>
      </c>
      <c r="AP415" s="64" t="s">
        <v>54</v>
      </c>
      <c r="AQ415" s="46"/>
      <c r="AR415" s="46"/>
      <c r="AS415" s="46"/>
      <c r="AT415" s="46"/>
      <c r="AU415" s="46"/>
      <c r="AV415" s="46"/>
      <c r="AW415" s="46"/>
      <c r="AX415" s="46"/>
    </row>
    <row r="416" spans="2:53" ht="16.5" customHeight="1" thickBot="1" x14ac:dyDescent="0.3">
      <c r="B416" s="1" t="s">
        <v>0</v>
      </c>
      <c r="C416" s="10">
        <v>2</v>
      </c>
      <c r="D416">
        <f>C416</f>
        <v>2</v>
      </c>
      <c r="F416" s="12" t="s">
        <v>0</v>
      </c>
      <c r="G416" s="77"/>
      <c r="H416" s="66"/>
      <c r="I416" s="66"/>
      <c r="J416" s="67"/>
      <c r="K416" s="65"/>
      <c r="L416" s="66"/>
      <c r="M416" s="66"/>
      <c r="N416" s="66"/>
      <c r="O416" s="65"/>
      <c r="P416" s="67"/>
      <c r="Q416" s="65"/>
      <c r="R416" s="66"/>
      <c r="S416" s="66"/>
      <c r="T416" s="66"/>
      <c r="U416" s="66"/>
      <c r="V416" s="66">
        <v>2</v>
      </c>
      <c r="W416" s="66"/>
      <c r="X416" s="67"/>
      <c r="Y416" s="77"/>
      <c r="Z416" s="66"/>
      <c r="AA416" s="66"/>
      <c r="AB416" s="66"/>
      <c r="AC416" s="65"/>
      <c r="AD416" s="66"/>
      <c r="AE416" s="66"/>
      <c r="AF416" s="67"/>
      <c r="AG416" s="66"/>
      <c r="AH416" s="67"/>
      <c r="AI416" s="66">
        <v>2</v>
      </c>
      <c r="AJ416" s="66"/>
      <c r="AK416" s="66"/>
      <c r="AL416" s="66"/>
      <c r="AM416" s="66"/>
      <c r="AN416" s="66"/>
      <c r="AO416" s="66"/>
      <c r="AP416" s="66"/>
      <c r="AQ416" s="65"/>
      <c r="AR416" s="65">
        <v>2</v>
      </c>
      <c r="AS416" s="65"/>
      <c r="AT416" s="65"/>
      <c r="AU416" s="65"/>
      <c r="AV416" s="65"/>
      <c r="AW416" s="65"/>
      <c r="AX416" s="68"/>
      <c r="AY416" s="17"/>
      <c r="AZ416" s="17"/>
      <c r="BA416" t="s">
        <v>80</v>
      </c>
    </row>
    <row r="417" spans="2:53" ht="16.5" customHeight="1" thickBot="1" x14ac:dyDescent="0.3">
      <c r="B417" s="1" t="s">
        <v>1</v>
      </c>
      <c r="C417" s="10">
        <v>4</v>
      </c>
      <c r="D417">
        <f t="shared" ref="D417:D419" si="45">C417</f>
        <v>4</v>
      </c>
      <c r="F417" s="1" t="s">
        <v>1</v>
      </c>
      <c r="G417" s="78"/>
      <c r="H417" s="46">
        <v>1</v>
      </c>
      <c r="I417" s="46"/>
      <c r="J417" s="70"/>
      <c r="K417" s="69"/>
      <c r="L417" s="46"/>
      <c r="M417" s="46"/>
      <c r="N417" s="46"/>
      <c r="O417" s="69"/>
      <c r="P417" s="70">
        <v>3</v>
      </c>
      <c r="Q417" s="69"/>
      <c r="R417" s="46"/>
      <c r="S417" s="46"/>
      <c r="T417" s="46"/>
      <c r="U417" s="46"/>
      <c r="V417" s="46"/>
      <c r="W417" s="46"/>
      <c r="X417" s="70"/>
      <c r="Y417" s="78"/>
      <c r="Z417" s="46"/>
      <c r="AA417" s="46"/>
      <c r="AB417" s="46"/>
      <c r="AC417" s="69"/>
      <c r="AD417" s="46"/>
      <c r="AE417" s="46"/>
      <c r="AF417" s="70"/>
      <c r="AG417" s="46">
        <v>3</v>
      </c>
      <c r="AH417" s="70">
        <v>1</v>
      </c>
      <c r="AI417" s="46"/>
      <c r="AJ417" s="46"/>
      <c r="AK417" s="46"/>
      <c r="AL417" s="46"/>
      <c r="AM417" s="46"/>
      <c r="AN417" s="46"/>
      <c r="AO417" s="46"/>
      <c r="AP417" s="46"/>
      <c r="AQ417" s="69"/>
      <c r="AR417" s="69"/>
      <c r="AS417" s="69"/>
      <c r="AT417" s="69"/>
      <c r="AU417" s="69">
        <v>2</v>
      </c>
      <c r="AV417" s="69"/>
      <c r="AW417" s="69"/>
      <c r="AX417" s="71"/>
      <c r="AY417" s="18"/>
      <c r="AZ417" s="18"/>
      <c r="BA417" t="s">
        <v>81</v>
      </c>
    </row>
    <row r="418" spans="2:53" ht="16.5" customHeight="1" thickBot="1" x14ac:dyDescent="0.3">
      <c r="B418" s="1" t="s">
        <v>2</v>
      </c>
      <c r="C418" s="10"/>
      <c r="D418">
        <f>C418</f>
        <v>0</v>
      </c>
      <c r="F418" s="1" t="s">
        <v>2</v>
      </c>
      <c r="G418" s="78"/>
      <c r="H418" s="46"/>
      <c r="I418" s="46"/>
      <c r="J418" s="70"/>
      <c r="K418" s="69"/>
      <c r="L418" s="46"/>
      <c r="M418" s="46"/>
      <c r="N418" s="46"/>
      <c r="O418" s="69"/>
      <c r="P418" s="70"/>
      <c r="Q418" s="69"/>
      <c r="R418" s="46"/>
      <c r="S418" s="46"/>
      <c r="T418" s="46"/>
      <c r="U418" s="46"/>
      <c r="V418" s="46"/>
      <c r="W418" s="46"/>
      <c r="X418" s="70"/>
      <c r="Y418" s="78"/>
      <c r="Z418" s="46"/>
      <c r="AA418" s="46"/>
      <c r="AB418" s="46"/>
      <c r="AC418" s="69"/>
      <c r="AD418" s="46"/>
      <c r="AE418" s="46"/>
      <c r="AF418" s="70"/>
      <c r="AG418" s="46"/>
      <c r="AH418" s="70"/>
      <c r="AI418" s="46"/>
      <c r="AJ418" s="46"/>
      <c r="AK418" s="46"/>
      <c r="AL418" s="46"/>
      <c r="AM418" s="46"/>
      <c r="AN418" s="46"/>
      <c r="AO418" s="46"/>
      <c r="AP418" s="46"/>
      <c r="AQ418" s="69"/>
      <c r="AR418" s="69"/>
      <c r="AS418" s="69"/>
      <c r="AT418" s="69"/>
      <c r="AU418" s="69"/>
      <c r="AV418" s="69"/>
      <c r="AW418" s="69"/>
      <c r="AX418" s="71"/>
      <c r="AY418" s="18"/>
      <c r="AZ418" s="18"/>
    </row>
    <row r="419" spans="2:53" ht="16.5" customHeight="1" thickBot="1" x14ac:dyDescent="0.3">
      <c r="B419" s="1" t="s">
        <v>3</v>
      </c>
      <c r="C419" s="10"/>
      <c r="D419" s="7">
        <f t="shared" si="45"/>
        <v>0</v>
      </c>
      <c r="F419" s="1" t="s">
        <v>3</v>
      </c>
      <c r="G419" s="79"/>
      <c r="H419" s="73"/>
      <c r="I419" s="73"/>
      <c r="J419" s="74"/>
      <c r="K419" s="72"/>
      <c r="L419" s="73"/>
      <c r="M419" s="73"/>
      <c r="N419" s="73"/>
      <c r="O419" s="72"/>
      <c r="P419" s="74"/>
      <c r="Q419" s="72"/>
      <c r="R419" s="73"/>
      <c r="S419" s="73"/>
      <c r="T419" s="73"/>
      <c r="U419" s="73"/>
      <c r="V419" s="73"/>
      <c r="W419" s="73"/>
      <c r="X419" s="74"/>
      <c r="Y419" s="79"/>
      <c r="Z419" s="73"/>
      <c r="AA419" s="73"/>
      <c r="AB419" s="73"/>
      <c r="AC419" s="72"/>
      <c r="AD419" s="73"/>
      <c r="AE419" s="73"/>
      <c r="AF419" s="74"/>
      <c r="AG419" s="73"/>
      <c r="AH419" s="74"/>
      <c r="AI419" s="73"/>
      <c r="AJ419" s="73"/>
      <c r="AK419" s="73"/>
      <c r="AL419" s="73"/>
      <c r="AM419" s="73"/>
      <c r="AN419" s="73"/>
      <c r="AO419" s="73"/>
      <c r="AP419" s="73"/>
      <c r="AQ419" s="72"/>
      <c r="AR419" s="72"/>
      <c r="AS419" s="72"/>
      <c r="AT419" s="72"/>
      <c r="AU419" s="72"/>
      <c r="AV419" s="72"/>
      <c r="AW419" s="72"/>
      <c r="AX419" s="75"/>
      <c r="AY419" s="19"/>
      <c r="AZ419" s="19"/>
    </row>
    <row r="420" spans="2:53" ht="21" customHeight="1" x14ac:dyDescent="0.25">
      <c r="B420" s="2"/>
      <c r="C420" s="3" t="s">
        <v>25</v>
      </c>
      <c r="D420" s="9">
        <f>SUM(D416:D419)</f>
        <v>6</v>
      </c>
      <c r="G420" s="80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80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</row>
    <row r="421" spans="2:53" x14ac:dyDescent="0.25"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</row>
    <row r="422" spans="2:53" ht="15.75" x14ac:dyDescent="0.25">
      <c r="G422" s="100" t="s">
        <v>22</v>
      </c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1" t="s">
        <v>21</v>
      </c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46"/>
      <c r="AR422" s="46"/>
      <c r="AS422" s="46"/>
      <c r="AT422" s="46"/>
      <c r="AU422" s="46"/>
      <c r="AV422" s="46"/>
      <c r="AW422" s="46"/>
      <c r="AX422" s="46"/>
    </row>
    <row r="423" spans="2:53" ht="32.25" thickBot="1" x14ac:dyDescent="0.3">
      <c r="G423" s="102" t="s">
        <v>14</v>
      </c>
      <c r="H423" s="102"/>
      <c r="I423" s="102"/>
      <c r="J423" s="102"/>
      <c r="K423" s="102" t="s">
        <v>15</v>
      </c>
      <c r="L423" s="102"/>
      <c r="M423" s="102"/>
      <c r="N423" s="102"/>
      <c r="O423" s="102" t="s">
        <v>59</v>
      </c>
      <c r="P423" s="102"/>
      <c r="Q423" s="102" t="s">
        <v>16</v>
      </c>
      <c r="R423" s="102"/>
      <c r="S423" s="102"/>
      <c r="T423" s="102"/>
      <c r="U423" s="102"/>
      <c r="V423" s="102"/>
      <c r="W423" s="102"/>
      <c r="X423" s="102"/>
      <c r="Y423" s="102" t="s">
        <v>14</v>
      </c>
      <c r="Z423" s="102"/>
      <c r="AA423" s="102"/>
      <c r="AB423" s="102"/>
      <c r="AC423" s="102" t="s">
        <v>15</v>
      </c>
      <c r="AD423" s="102"/>
      <c r="AE423" s="102"/>
      <c r="AF423" s="102"/>
      <c r="AG423" s="102" t="s">
        <v>59</v>
      </c>
      <c r="AH423" s="102"/>
      <c r="AI423" s="102" t="s">
        <v>16</v>
      </c>
      <c r="AJ423" s="102"/>
      <c r="AK423" s="102"/>
      <c r="AL423" s="102"/>
      <c r="AM423" s="102"/>
      <c r="AN423" s="102"/>
      <c r="AO423" s="102"/>
      <c r="AP423" s="102"/>
      <c r="AQ423" s="76" t="s">
        <v>60</v>
      </c>
      <c r="AR423" s="76" t="s">
        <v>70</v>
      </c>
      <c r="AS423" s="76" t="s">
        <v>65</v>
      </c>
      <c r="AT423" s="76" t="s">
        <v>61</v>
      </c>
      <c r="AU423" s="76" t="s">
        <v>62</v>
      </c>
      <c r="AV423" s="76" t="s">
        <v>27</v>
      </c>
      <c r="AW423" s="76" t="s">
        <v>64</v>
      </c>
      <c r="AX423" s="76" t="s">
        <v>63</v>
      </c>
      <c r="AY423" s="76" t="s">
        <v>66</v>
      </c>
      <c r="AZ423" s="76" t="s">
        <v>67</v>
      </c>
    </row>
    <row r="424" spans="2:53" ht="48" thickBot="1" x14ac:dyDescent="0.3">
      <c r="B424" s="21">
        <v>0.47916666666666669</v>
      </c>
      <c r="C424" s="14" t="s">
        <v>13</v>
      </c>
      <c r="D424" s="8" t="s">
        <v>6</v>
      </c>
      <c r="F424" s="13"/>
      <c r="G424" s="81" t="s">
        <v>20</v>
      </c>
      <c r="H424" s="64" t="s">
        <v>17</v>
      </c>
      <c r="I424" s="64" t="s">
        <v>19</v>
      </c>
      <c r="J424" s="64" t="s">
        <v>18</v>
      </c>
      <c r="K424" s="64" t="s">
        <v>52</v>
      </c>
      <c r="L424" s="64" t="s">
        <v>51</v>
      </c>
      <c r="M424" s="64" t="s">
        <v>53</v>
      </c>
      <c r="N424" s="64" t="s">
        <v>54</v>
      </c>
      <c r="O424" s="64" t="s">
        <v>20</v>
      </c>
      <c r="P424" s="64" t="s">
        <v>19</v>
      </c>
      <c r="Q424" s="64" t="s">
        <v>55</v>
      </c>
      <c r="R424" s="64" t="s">
        <v>56</v>
      </c>
      <c r="S424" s="64" t="s">
        <v>52</v>
      </c>
      <c r="T424" s="64" t="s">
        <v>51</v>
      </c>
      <c r="U424" s="64" t="s">
        <v>57</v>
      </c>
      <c r="V424" s="64" t="s">
        <v>58</v>
      </c>
      <c r="W424" s="64" t="s">
        <v>53</v>
      </c>
      <c r="X424" s="64" t="s">
        <v>54</v>
      </c>
      <c r="Y424" s="81" t="s">
        <v>20</v>
      </c>
      <c r="Z424" s="64" t="s">
        <v>17</v>
      </c>
      <c r="AA424" s="64" t="s">
        <v>19</v>
      </c>
      <c r="AB424" s="64" t="s">
        <v>18</v>
      </c>
      <c r="AC424" s="64" t="s">
        <v>52</v>
      </c>
      <c r="AD424" s="64" t="s">
        <v>51</v>
      </c>
      <c r="AE424" s="64" t="s">
        <v>53</v>
      </c>
      <c r="AF424" s="64" t="s">
        <v>54</v>
      </c>
      <c r="AG424" s="64" t="s">
        <v>20</v>
      </c>
      <c r="AH424" s="64" t="s">
        <v>19</v>
      </c>
      <c r="AI424" s="64" t="s">
        <v>55</v>
      </c>
      <c r="AJ424" s="64" t="s">
        <v>56</v>
      </c>
      <c r="AK424" s="64" t="s">
        <v>52</v>
      </c>
      <c r="AL424" s="64" t="s">
        <v>51</v>
      </c>
      <c r="AM424" s="64" t="s">
        <v>57</v>
      </c>
      <c r="AN424" s="64" t="s">
        <v>58</v>
      </c>
      <c r="AO424" s="64" t="s">
        <v>53</v>
      </c>
      <c r="AP424" s="64" t="s">
        <v>54</v>
      </c>
      <c r="AQ424" s="46"/>
      <c r="AR424" s="46"/>
      <c r="AS424" s="46"/>
      <c r="AT424" s="46"/>
      <c r="AU424" s="46"/>
      <c r="AV424" s="46"/>
      <c r="AW424" s="46"/>
      <c r="AX424" s="46"/>
    </row>
    <row r="425" spans="2:53" ht="16.5" customHeight="1" thickBot="1" x14ac:dyDescent="0.3">
      <c r="B425" s="1" t="s">
        <v>0</v>
      </c>
      <c r="C425" s="10">
        <v>3</v>
      </c>
      <c r="D425">
        <f>C425</f>
        <v>3</v>
      </c>
      <c r="F425" s="12" t="s">
        <v>0</v>
      </c>
      <c r="G425" s="77"/>
      <c r="H425" s="66"/>
      <c r="I425" s="66"/>
      <c r="J425" s="67"/>
      <c r="K425" s="65"/>
      <c r="L425" s="66"/>
      <c r="M425" s="66"/>
      <c r="N425" s="66"/>
      <c r="O425" s="65"/>
      <c r="P425" s="67"/>
      <c r="Q425" s="65">
        <v>2</v>
      </c>
      <c r="R425" s="66">
        <v>1</v>
      </c>
      <c r="S425" s="66"/>
      <c r="T425" s="66"/>
      <c r="U425" s="66"/>
      <c r="V425" s="66"/>
      <c r="W425" s="66"/>
      <c r="X425" s="67"/>
      <c r="Y425" s="77"/>
      <c r="Z425" s="66"/>
      <c r="AA425" s="66"/>
      <c r="AB425" s="66"/>
      <c r="AC425" s="65"/>
      <c r="AD425" s="66"/>
      <c r="AE425" s="66"/>
      <c r="AF425" s="67"/>
      <c r="AG425" s="66"/>
      <c r="AH425" s="67"/>
      <c r="AI425" s="66"/>
      <c r="AJ425" s="66"/>
      <c r="AK425" s="66">
        <v>1</v>
      </c>
      <c r="AL425" s="66"/>
      <c r="AM425" s="66"/>
      <c r="AN425" s="66">
        <v>2</v>
      </c>
      <c r="AO425" s="66"/>
      <c r="AP425" s="66"/>
      <c r="AQ425" s="65">
        <v>1</v>
      </c>
      <c r="AR425" s="65">
        <v>1</v>
      </c>
      <c r="AS425" s="65"/>
      <c r="AT425" s="65"/>
      <c r="AU425" s="65"/>
      <c r="AV425" s="65"/>
      <c r="AW425" s="65"/>
      <c r="AX425" s="68"/>
      <c r="AY425" s="17"/>
      <c r="AZ425" s="17"/>
    </row>
    <row r="426" spans="2:53" ht="16.5" customHeight="1" thickBot="1" x14ac:dyDescent="0.3">
      <c r="B426" s="1" t="s">
        <v>1</v>
      </c>
      <c r="C426" s="10"/>
      <c r="D426">
        <f t="shared" ref="D426:D428" si="46">C426</f>
        <v>0</v>
      </c>
      <c r="F426" s="1" t="s">
        <v>1</v>
      </c>
      <c r="G426" s="78"/>
      <c r="H426" s="46"/>
      <c r="I426" s="46"/>
      <c r="J426" s="70"/>
      <c r="K426" s="69"/>
      <c r="L426" s="46"/>
      <c r="M426" s="46"/>
      <c r="N426" s="46"/>
      <c r="O426" s="69"/>
      <c r="P426" s="70"/>
      <c r="Q426" s="69"/>
      <c r="R426" s="46"/>
      <c r="S426" s="46"/>
      <c r="T426" s="46"/>
      <c r="U426" s="46"/>
      <c r="V426" s="46"/>
      <c r="W426" s="46"/>
      <c r="X426" s="70"/>
      <c r="Y426" s="78"/>
      <c r="Z426" s="46"/>
      <c r="AA426" s="46"/>
      <c r="AB426" s="46"/>
      <c r="AC426" s="69"/>
      <c r="AD426" s="46"/>
      <c r="AE426" s="46"/>
      <c r="AF426" s="70"/>
      <c r="AG426" s="46"/>
      <c r="AH426" s="70"/>
      <c r="AI426" s="46"/>
      <c r="AJ426" s="46"/>
      <c r="AK426" s="46"/>
      <c r="AL426" s="46"/>
      <c r="AM426" s="46"/>
      <c r="AN426" s="46"/>
      <c r="AO426" s="46"/>
      <c r="AP426" s="46"/>
      <c r="AQ426" s="69"/>
      <c r="AR426" s="69"/>
      <c r="AS426" s="69"/>
      <c r="AT426" s="69"/>
      <c r="AU426" s="69"/>
      <c r="AV426" s="69"/>
      <c r="AW426" s="69"/>
      <c r="AX426" s="71"/>
      <c r="AY426" s="18"/>
      <c r="AZ426" s="18"/>
    </row>
    <row r="427" spans="2:53" ht="16.5" customHeight="1" thickBot="1" x14ac:dyDescent="0.3">
      <c r="B427" s="1" t="s">
        <v>2</v>
      </c>
      <c r="C427" s="10"/>
      <c r="D427">
        <f>C427</f>
        <v>0</v>
      </c>
      <c r="F427" s="1" t="s">
        <v>2</v>
      </c>
      <c r="G427" s="78"/>
      <c r="H427" s="46"/>
      <c r="I427" s="46"/>
      <c r="J427" s="70"/>
      <c r="K427" s="69"/>
      <c r="L427" s="46"/>
      <c r="M427" s="46"/>
      <c r="N427" s="46"/>
      <c r="O427" s="69"/>
      <c r="P427" s="70"/>
      <c r="Q427" s="69"/>
      <c r="R427" s="46"/>
      <c r="S427" s="46"/>
      <c r="T427" s="46"/>
      <c r="U427" s="46"/>
      <c r="V427" s="46"/>
      <c r="W427" s="46"/>
      <c r="X427" s="70"/>
      <c r="Y427" s="78"/>
      <c r="Z427" s="46"/>
      <c r="AA427" s="46"/>
      <c r="AB427" s="46"/>
      <c r="AC427" s="69"/>
      <c r="AD427" s="46"/>
      <c r="AE427" s="46"/>
      <c r="AF427" s="70"/>
      <c r="AG427" s="46"/>
      <c r="AH427" s="70"/>
      <c r="AI427" s="46"/>
      <c r="AJ427" s="46"/>
      <c r="AK427" s="46"/>
      <c r="AL427" s="46"/>
      <c r="AM427" s="46"/>
      <c r="AN427" s="46"/>
      <c r="AO427" s="46"/>
      <c r="AP427" s="46"/>
      <c r="AQ427" s="69"/>
      <c r="AR427" s="69"/>
      <c r="AS427" s="69"/>
      <c r="AT427" s="69"/>
      <c r="AU427" s="69"/>
      <c r="AV427" s="69"/>
      <c r="AW427" s="69"/>
      <c r="AX427" s="71"/>
      <c r="AY427" s="18"/>
      <c r="AZ427" s="18"/>
    </row>
    <row r="428" spans="2:53" ht="16.5" customHeight="1" thickBot="1" x14ac:dyDescent="0.3">
      <c r="B428" s="1" t="s">
        <v>3</v>
      </c>
      <c r="C428" s="10"/>
      <c r="D428" s="7">
        <f t="shared" si="46"/>
        <v>0</v>
      </c>
      <c r="F428" s="1" t="s">
        <v>3</v>
      </c>
      <c r="G428" s="79"/>
      <c r="H428" s="73"/>
      <c r="I428" s="73"/>
      <c r="J428" s="74"/>
      <c r="K428" s="72"/>
      <c r="L428" s="73"/>
      <c r="M428" s="73"/>
      <c r="N428" s="73"/>
      <c r="O428" s="72"/>
      <c r="P428" s="74"/>
      <c r="Q428" s="72"/>
      <c r="R428" s="73"/>
      <c r="S428" s="73"/>
      <c r="T428" s="73"/>
      <c r="U428" s="73"/>
      <c r="V428" s="73"/>
      <c r="W428" s="73"/>
      <c r="X428" s="74"/>
      <c r="Y428" s="79"/>
      <c r="Z428" s="73"/>
      <c r="AA428" s="73"/>
      <c r="AB428" s="73"/>
      <c r="AC428" s="72"/>
      <c r="AD428" s="73"/>
      <c r="AE428" s="73"/>
      <c r="AF428" s="74"/>
      <c r="AG428" s="73"/>
      <c r="AH428" s="74"/>
      <c r="AI428" s="73"/>
      <c r="AJ428" s="73"/>
      <c r="AK428" s="73"/>
      <c r="AL428" s="73"/>
      <c r="AM428" s="73"/>
      <c r="AN428" s="73"/>
      <c r="AO428" s="73"/>
      <c r="AP428" s="73"/>
      <c r="AQ428" s="72"/>
      <c r="AR428" s="72"/>
      <c r="AS428" s="72"/>
      <c r="AT428" s="72"/>
      <c r="AU428" s="72"/>
      <c r="AV428" s="72"/>
      <c r="AW428" s="72"/>
      <c r="AX428" s="75"/>
      <c r="AY428" s="19"/>
      <c r="AZ428" s="19"/>
    </row>
    <row r="429" spans="2:53" ht="21" customHeight="1" x14ac:dyDescent="0.25">
      <c r="B429" s="2"/>
      <c r="C429" s="3" t="s">
        <v>25</v>
      </c>
      <c r="D429" s="9">
        <f>SUM(D425:D428)</f>
        <v>3</v>
      </c>
      <c r="G429" s="80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80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</row>
    <row r="430" spans="2:53" x14ac:dyDescent="0.25"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</row>
    <row r="431" spans="2:53" ht="15.75" x14ac:dyDescent="0.25">
      <c r="G431" s="100" t="s">
        <v>22</v>
      </c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1" t="s">
        <v>21</v>
      </c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46"/>
      <c r="AR431" s="46"/>
      <c r="AS431" s="46"/>
      <c r="AT431" s="46"/>
      <c r="AU431" s="46"/>
      <c r="AV431" s="46"/>
      <c r="AW431" s="46"/>
      <c r="AX431" s="46"/>
    </row>
    <row r="432" spans="2:53" ht="32.25" thickBot="1" x14ac:dyDescent="0.3">
      <c r="G432" s="102" t="s">
        <v>14</v>
      </c>
      <c r="H432" s="102"/>
      <c r="I432" s="102"/>
      <c r="J432" s="102"/>
      <c r="K432" s="102" t="s">
        <v>15</v>
      </c>
      <c r="L432" s="102"/>
      <c r="M432" s="102"/>
      <c r="N432" s="102"/>
      <c r="O432" s="102" t="s">
        <v>59</v>
      </c>
      <c r="P432" s="102"/>
      <c r="Q432" s="102" t="s">
        <v>16</v>
      </c>
      <c r="R432" s="102"/>
      <c r="S432" s="102"/>
      <c r="T432" s="102"/>
      <c r="U432" s="102"/>
      <c r="V432" s="102"/>
      <c r="W432" s="102"/>
      <c r="X432" s="102"/>
      <c r="Y432" s="102" t="s">
        <v>14</v>
      </c>
      <c r="Z432" s="102"/>
      <c r="AA432" s="102"/>
      <c r="AB432" s="102"/>
      <c r="AC432" s="102" t="s">
        <v>15</v>
      </c>
      <c r="AD432" s="102"/>
      <c r="AE432" s="102"/>
      <c r="AF432" s="102"/>
      <c r="AG432" s="102" t="s">
        <v>59</v>
      </c>
      <c r="AH432" s="102"/>
      <c r="AI432" s="102" t="s">
        <v>16</v>
      </c>
      <c r="AJ432" s="102"/>
      <c r="AK432" s="102"/>
      <c r="AL432" s="102"/>
      <c r="AM432" s="102"/>
      <c r="AN432" s="102"/>
      <c r="AO432" s="102"/>
      <c r="AP432" s="102"/>
      <c r="AQ432" s="76" t="s">
        <v>60</v>
      </c>
      <c r="AR432" s="76" t="s">
        <v>70</v>
      </c>
      <c r="AS432" s="76" t="s">
        <v>65</v>
      </c>
      <c r="AT432" s="76" t="s">
        <v>61</v>
      </c>
      <c r="AU432" s="76" t="s">
        <v>62</v>
      </c>
      <c r="AV432" s="76" t="s">
        <v>27</v>
      </c>
      <c r="AW432" s="76" t="s">
        <v>64</v>
      </c>
      <c r="AX432" s="76" t="s">
        <v>63</v>
      </c>
      <c r="AY432" s="76" t="s">
        <v>66</v>
      </c>
      <c r="AZ432" s="76" t="s">
        <v>67</v>
      </c>
    </row>
    <row r="433" spans="2:53" ht="48" thickBot="1" x14ac:dyDescent="0.3">
      <c r="B433" s="21">
        <v>0.48958333333333331</v>
      </c>
      <c r="C433" s="14" t="s">
        <v>13</v>
      </c>
      <c r="D433" s="8" t="s">
        <v>6</v>
      </c>
      <c r="F433" s="13"/>
      <c r="G433" s="81" t="s">
        <v>20</v>
      </c>
      <c r="H433" s="64" t="s">
        <v>17</v>
      </c>
      <c r="I433" s="64" t="s">
        <v>19</v>
      </c>
      <c r="J433" s="64" t="s">
        <v>18</v>
      </c>
      <c r="K433" s="64" t="s">
        <v>52</v>
      </c>
      <c r="L433" s="64" t="s">
        <v>51</v>
      </c>
      <c r="M433" s="64" t="s">
        <v>53</v>
      </c>
      <c r="N433" s="64" t="s">
        <v>54</v>
      </c>
      <c r="O433" s="64" t="s">
        <v>20</v>
      </c>
      <c r="P433" s="64" t="s">
        <v>19</v>
      </c>
      <c r="Q433" s="64" t="s">
        <v>55</v>
      </c>
      <c r="R433" s="64" t="s">
        <v>56</v>
      </c>
      <c r="S433" s="64" t="s">
        <v>52</v>
      </c>
      <c r="T433" s="64" t="s">
        <v>51</v>
      </c>
      <c r="U433" s="64" t="s">
        <v>57</v>
      </c>
      <c r="V433" s="64" t="s">
        <v>58</v>
      </c>
      <c r="W433" s="64" t="s">
        <v>53</v>
      </c>
      <c r="X433" s="64" t="s">
        <v>54</v>
      </c>
      <c r="Y433" s="81" t="s">
        <v>20</v>
      </c>
      <c r="Z433" s="64" t="s">
        <v>17</v>
      </c>
      <c r="AA433" s="64" t="s">
        <v>19</v>
      </c>
      <c r="AB433" s="64" t="s">
        <v>18</v>
      </c>
      <c r="AC433" s="64" t="s">
        <v>52</v>
      </c>
      <c r="AD433" s="64" t="s">
        <v>51</v>
      </c>
      <c r="AE433" s="64" t="s">
        <v>53</v>
      </c>
      <c r="AF433" s="64" t="s">
        <v>54</v>
      </c>
      <c r="AG433" s="64" t="s">
        <v>20</v>
      </c>
      <c r="AH433" s="64" t="s">
        <v>19</v>
      </c>
      <c r="AI433" s="64" t="s">
        <v>55</v>
      </c>
      <c r="AJ433" s="64" t="s">
        <v>56</v>
      </c>
      <c r="AK433" s="64" t="s">
        <v>52</v>
      </c>
      <c r="AL433" s="64" t="s">
        <v>51</v>
      </c>
      <c r="AM433" s="64" t="s">
        <v>57</v>
      </c>
      <c r="AN433" s="64" t="s">
        <v>58</v>
      </c>
      <c r="AO433" s="64" t="s">
        <v>53</v>
      </c>
      <c r="AP433" s="64" t="s">
        <v>54</v>
      </c>
      <c r="AQ433" s="46"/>
      <c r="AR433" s="46"/>
      <c r="AS433" s="46"/>
      <c r="AT433" s="46"/>
      <c r="AU433" s="46"/>
      <c r="AV433" s="46"/>
      <c r="AW433" s="46"/>
      <c r="AX433" s="46"/>
    </row>
    <row r="434" spans="2:53" ht="16.5" customHeight="1" thickBot="1" x14ac:dyDescent="0.3">
      <c r="B434" s="1" t="s">
        <v>0</v>
      </c>
      <c r="C434" s="10"/>
      <c r="D434">
        <f>C434</f>
        <v>0</v>
      </c>
      <c r="F434" s="12" t="s">
        <v>0</v>
      </c>
      <c r="G434" s="77"/>
      <c r="H434" s="66"/>
      <c r="I434" s="66"/>
      <c r="J434" s="67"/>
      <c r="K434" s="65"/>
      <c r="L434" s="66"/>
      <c r="M434" s="66"/>
      <c r="N434" s="66"/>
      <c r="O434" s="65"/>
      <c r="P434" s="67"/>
      <c r="Q434" s="65"/>
      <c r="R434" s="66"/>
      <c r="S434" s="66"/>
      <c r="T434" s="66"/>
      <c r="U434" s="66"/>
      <c r="V434" s="66"/>
      <c r="W434" s="66"/>
      <c r="X434" s="67"/>
      <c r="Y434" s="77"/>
      <c r="Z434" s="66"/>
      <c r="AA434" s="66"/>
      <c r="AB434" s="66"/>
      <c r="AC434" s="65"/>
      <c r="AD434" s="66"/>
      <c r="AE434" s="66"/>
      <c r="AF434" s="67"/>
      <c r="AG434" s="66"/>
      <c r="AH434" s="67"/>
      <c r="AI434" s="66"/>
      <c r="AJ434" s="66"/>
      <c r="AK434" s="66"/>
      <c r="AL434" s="66"/>
      <c r="AM434" s="66"/>
      <c r="AN434" s="66"/>
      <c r="AO434" s="66"/>
      <c r="AP434" s="66"/>
      <c r="AQ434" s="65"/>
      <c r="AR434" s="65"/>
      <c r="AS434" s="65"/>
      <c r="AT434" s="65"/>
      <c r="AU434" s="65"/>
      <c r="AV434" s="65"/>
      <c r="AW434" s="65"/>
      <c r="AX434" s="68"/>
      <c r="AY434" s="17"/>
      <c r="AZ434" s="17"/>
      <c r="BA434" t="s">
        <v>82</v>
      </c>
    </row>
    <row r="435" spans="2:53" ht="16.5" customHeight="1" thickBot="1" x14ac:dyDescent="0.3">
      <c r="B435" s="1" t="s">
        <v>1</v>
      </c>
      <c r="C435" s="10">
        <v>5</v>
      </c>
      <c r="D435">
        <f t="shared" ref="D435:D437" si="47">C435</f>
        <v>5</v>
      </c>
      <c r="F435" s="1" t="s">
        <v>1</v>
      </c>
      <c r="G435" s="78"/>
      <c r="H435" s="46"/>
      <c r="I435" s="46"/>
      <c r="J435" s="70"/>
      <c r="K435" s="69"/>
      <c r="L435" s="46"/>
      <c r="M435" s="46"/>
      <c r="N435" s="46"/>
      <c r="O435" s="69">
        <v>3</v>
      </c>
      <c r="P435" s="70">
        <v>2</v>
      </c>
      <c r="Q435" s="69"/>
      <c r="R435" s="46"/>
      <c r="S435" s="46"/>
      <c r="T435" s="46"/>
      <c r="U435" s="46"/>
      <c r="V435" s="46"/>
      <c r="W435" s="46"/>
      <c r="X435" s="70"/>
      <c r="Y435" s="78"/>
      <c r="Z435" s="46"/>
      <c r="AA435" s="46"/>
      <c r="AB435" s="46"/>
      <c r="AC435" s="69"/>
      <c r="AD435" s="46"/>
      <c r="AE435" s="46"/>
      <c r="AF435" s="70"/>
      <c r="AG435" s="46">
        <v>2</v>
      </c>
      <c r="AH435" s="70">
        <v>3</v>
      </c>
      <c r="AI435" s="46"/>
      <c r="AJ435" s="46"/>
      <c r="AK435" s="46"/>
      <c r="AL435" s="46"/>
      <c r="AM435" s="46"/>
      <c r="AN435" s="46"/>
      <c r="AO435" s="46"/>
      <c r="AP435" s="46"/>
      <c r="AQ435" s="69"/>
      <c r="AR435" s="69"/>
      <c r="AS435" s="69"/>
      <c r="AT435" s="69"/>
      <c r="AU435" s="69">
        <v>2</v>
      </c>
      <c r="AV435" s="69"/>
      <c r="AW435" s="69"/>
      <c r="AX435" s="71"/>
      <c r="AY435" s="18"/>
      <c r="AZ435" s="18"/>
      <c r="BA435" t="s">
        <v>83</v>
      </c>
    </row>
    <row r="436" spans="2:53" ht="16.5" customHeight="1" thickBot="1" x14ac:dyDescent="0.3">
      <c r="B436" s="1" t="s">
        <v>2</v>
      </c>
      <c r="C436" s="10"/>
      <c r="D436">
        <f>C436</f>
        <v>0</v>
      </c>
      <c r="F436" s="1" t="s">
        <v>2</v>
      </c>
      <c r="G436" s="78"/>
      <c r="H436" s="46"/>
      <c r="I436" s="46"/>
      <c r="J436" s="70"/>
      <c r="K436" s="69"/>
      <c r="L436" s="46"/>
      <c r="M436" s="46"/>
      <c r="N436" s="46"/>
      <c r="O436" s="69"/>
      <c r="P436" s="70"/>
      <c r="Q436" s="69"/>
      <c r="R436" s="46"/>
      <c r="S436" s="46"/>
      <c r="T436" s="46"/>
      <c r="U436" s="46"/>
      <c r="V436" s="46"/>
      <c r="W436" s="46"/>
      <c r="X436" s="70"/>
      <c r="Y436" s="78"/>
      <c r="Z436" s="46"/>
      <c r="AA436" s="46"/>
      <c r="AB436" s="46"/>
      <c r="AC436" s="69"/>
      <c r="AD436" s="46"/>
      <c r="AE436" s="46"/>
      <c r="AF436" s="70"/>
      <c r="AG436" s="46"/>
      <c r="AH436" s="70"/>
      <c r="AI436" s="46"/>
      <c r="AJ436" s="46"/>
      <c r="AK436" s="46"/>
      <c r="AL436" s="46"/>
      <c r="AM436" s="46"/>
      <c r="AN436" s="46"/>
      <c r="AO436" s="46"/>
      <c r="AP436" s="46"/>
      <c r="AQ436" s="69"/>
      <c r="AR436" s="69"/>
      <c r="AS436" s="69"/>
      <c r="AT436" s="69"/>
      <c r="AU436" s="69"/>
      <c r="AV436" s="69"/>
      <c r="AW436" s="69"/>
      <c r="AX436" s="71"/>
      <c r="AY436" s="18"/>
      <c r="AZ436" s="18"/>
      <c r="BA436" t="s">
        <v>84</v>
      </c>
    </row>
    <row r="437" spans="2:53" ht="16.5" customHeight="1" thickBot="1" x14ac:dyDescent="0.3">
      <c r="B437" s="1" t="s">
        <v>3</v>
      </c>
      <c r="C437" s="10"/>
      <c r="D437" s="7">
        <f t="shared" si="47"/>
        <v>0</v>
      </c>
      <c r="F437" s="1" t="s">
        <v>3</v>
      </c>
      <c r="G437" s="79"/>
      <c r="H437" s="73"/>
      <c r="I437" s="73"/>
      <c r="J437" s="74"/>
      <c r="K437" s="72"/>
      <c r="L437" s="73"/>
      <c r="M437" s="73"/>
      <c r="N437" s="73"/>
      <c r="O437" s="72"/>
      <c r="P437" s="74"/>
      <c r="Q437" s="72"/>
      <c r="R437" s="73"/>
      <c r="S437" s="73"/>
      <c r="T437" s="73"/>
      <c r="U437" s="73"/>
      <c r="V437" s="73"/>
      <c r="W437" s="73"/>
      <c r="X437" s="74"/>
      <c r="Y437" s="79"/>
      <c r="Z437" s="73"/>
      <c r="AA437" s="73"/>
      <c r="AB437" s="73"/>
      <c r="AC437" s="72"/>
      <c r="AD437" s="73"/>
      <c r="AE437" s="73"/>
      <c r="AF437" s="74"/>
      <c r="AG437" s="73"/>
      <c r="AH437" s="74"/>
      <c r="AI437" s="73"/>
      <c r="AJ437" s="73"/>
      <c r="AK437" s="73"/>
      <c r="AL437" s="73"/>
      <c r="AM437" s="73"/>
      <c r="AN437" s="73"/>
      <c r="AO437" s="73"/>
      <c r="AP437" s="73"/>
      <c r="AQ437" s="72"/>
      <c r="AR437" s="72"/>
      <c r="AS437" s="72"/>
      <c r="AT437" s="72"/>
      <c r="AU437" s="72"/>
      <c r="AV437" s="72"/>
      <c r="AW437" s="72"/>
      <c r="AX437" s="75"/>
      <c r="AY437" s="19"/>
      <c r="AZ437" s="19"/>
    </row>
    <row r="438" spans="2:53" ht="21" customHeight="1" x14ac:dyDescent="0.25">
      <c r="B438" s="2"/>
      <c r="C438" s="3" t="s">
        <v>25</v>
      </c>
      <c r="D438" s="9">
        <f>SUM(D434:D437)</f>
        <v>5</v>
      </c>
      <c r="G438" s="80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80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</row>
    <row r="439" spans="2:53" x14ac:dyDescent="0.25"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</row>
    <row r="440" spans="2:53" ht="15.75" x14ac:dyDescent="0.25">
      <c r="G440" s="100" t="s">
        <v>22</v>
      </c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1" t="s">
        <v>21</v>
      </c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46"/>
      <c r="AR440" s="46"/>
      <c r="AS440" s="46"/>
      <c r="AT440" s="46"/>
      <c r="AU440" s="46"/>
      <c r="AV440" s="46"/>
      <c r="AW440" s="46"/>
      <c r="AX440" s="46"/>
    </row>
    <row r="441" spans="2:53" ht="32.25" thickBot="1" x14ac:dyDescent="0.3">
      <c r="G441" s="102" t="s">
        <v>14</v>
      </c>
      <c r="H441" s="102"/>
      <c r="I441" s="102"/>
      <c r="J441" s="102"/>
      <c r="K441" s="102" t="s">
        <v>15</v>
      </c>
      <c r="L441" s="102"/>
      <c r="M441" s="102"/>
      <c r="N441" s="102"/>
      <c r="O441" s="102" t="s">
        <v>59</v>
      </c>
      <c r="P441" s="102"/>
      <c r="Q441" s="102" t="s">
        <v>16</v>
      </c>
      <c r="R441" s="102"/>
      <c r="S441" s="102"/>
      <c r="T441" s="102"/>
      <c r="U441" s="102"/>
      <c r="V441" s="102"/>
      <c r="W441" s="102"/>
      <c r="X441" s="102"/>
      <c r="Y441" s="102" t="s">
        <v>14</v>
      </c>
      <c r="Z441" s="102"/>
      <c r="AA441" s="102"/>
      <c r="AB441" s="102"/>
      <c r="AC441" s="102" t="s">
        <v>15</v>
      </c>
      <c r="AD441" s="102"/>
      <c r="AE441" s="102"/>
      <c r="AF441" s="102"/>
      <c r="AG441" s="102" t="s">
        <v>59</v>
      </c>
      <c r="AH441" s="102"/>
      <c r="AI441" s="102" t="s">
        <v>16</v>
      </c>
      <c r="AJ441" s="102"/>
      <c r="AK441" s="102"/>
      <c r="AL441" s="102"/>
      <c r="AM441" s="102"/>
      <c r="AN441" s="102"/>
      <c r="AO441" s="102"/>
      <c r="AP441" s="102"/>
      <c r="AQ441" s="76" t="s">
        <v>60</v>
      </c>
      <c r="AR441" s="76" t="s">
        <v>70</v>
      </c>
      <c r="AS441" s="76" t="s">
        <v>65</v>
      </c>
      <c r="AT441" s="76" t="s">
        <v>61</v>
      </c>
      <c r="AU441" s="76" t="s">
        <v>62</v>
      </c>
      <c r="AV441" s="76" t="s">
        <v>27</v>
      </c>
      <c r="AW441" s="76" t="s">
        <v>64</v>
      </c>
      <c r="AX441" s="76" t="s">
        <v>63</v>
      </c>
      <c r="AY441" s="76" t="s">
        <v>66</v>
      </c>
      <c r="AZ441" s="76" t="s">
        <v>67</v>
      </c>
    </row>
    <row r="442" spans="2:53" ht="48" thickBot="1" x14ac:dyDescent="0.3">
      <c r="B442" s="20">
        <v>0.5</v>
      </c>
      <c r="C442" s="14" t="s">
        <v>13</v>
      </c>
      <c r="D442" s="8" t="s">
        <v>6</v>
      </c>
      <c r="F442" s="13"/>
      <c r="G442" s="81" t="s">
        <v>20</v>
      </c>
      <c r="H442" s="64" t="s">
        <v>17</v>
      </c>
      <c r="I442" s="64" t="s">
        <v>19</v>
      </c>
      <c r="J442" s="64" t="s">
        <v>18</v>
      </c>
      <c r="K442" s="64" t="s">
        <v>52</v>
      </c>
      <c r="L442" s="64" t="s">
        <v>51</v>
      </c>
      <c r="M442" s="64" t="s">
        <v>53</v>
      </c>
      <c r="N442" s="64" t="s">
        <v>54</v>
      </c>
      <c r="O442" s="64" t="s">
        <v>20</v>
      </c>
      <c r="P442" s="64" t="s">
        <v>19</v>
      </c>
      <c r="Q442" s="64" t="s">
        <v>55</v>
      </c>
      <c r="R442" s="64" t="s">
        <v>56</v>
      </c>
      <c r="S442" s="64" t="s">
        <v>52</v>
      </c>
      <c r="T442" s="64" t="s">
        <v>51</v>
      </c>
      <c r="U442" s="64" t="s">
        <v>57</v>
      </c>
      <c r="V442" s="64" t="s">
        <v>58</v>
      </c>
      <c r="W442" s="64" t="s">
        <v>53</v>
      </c>
      <c r="X442" s="64" t="s">
        <v>54</v>
      </c>
      <c r="Y442" s="81" t="s">
        <v>20</v>
      </c>
      <c r="Z442" s="64" t="s">
        <v>17</v>
      </c>
      <c r="AA442" s="64" t="s">
        <v>19</v>
      </c>
      <c r="AB442" s="64" t="s">
        <v>18</v>
      </c>
      <c r="AC442" s="64" t="s">
        <v>52</v>
      </c>
      <c r="AD442" s="64" t="s">
        <v>51</v>
      </c>
      <c r="AE442" s="64" t="s">
        <v>53</v>
      </c>
      <c r="AF442" s="64" t="s">
        <v>54</v>
      </c>
      <c r="AG442" s="64" t="s">
        <v>20</v>
      </c>
      <c r="AH442" s="64" t="s">
        <v>19</v>
      </c>
      <c r="AI442" s="64" t="s">
        <v>55</v>
      </c>
      <c r="AJ442" s="64" t="s">
        <v>56</v>
      </c>
      <c r="AK442" s="64" t="s">
        <v>52</v>
      </c>
      <c r="AL442" s="64" t="s">
        <v>51</v>
      </c>
      <c r="AM442" s="64" t="s">
        <v>57</v>
      </c>
      <c r="AN442" s="64" t="s">
        <v>58</v>
      </c>
      <c r="AO442" s="64" t="s">
        <v>53</v>
      </c>
      <c r="AP442" s="64" t="s">
        <v>54</v>
      </c>
      <c r="AQ442" s="46"/>
      <c r="AR442" s="46"/>
      <c r="AS442" s="46"/>
      <c r="AT442" s="46"/>
      <c r="AU442" s="46"/>
      <c r="AV442" s="46"/>
      <c r="AW442" s="46"/>
      <c r="AX442" s="46"/>
    </row>
    <row r="443" spans="2:53" ht="16.5" customHeight="1" thickBot="1" x14ac:dyDescent="0.3">
      <c r="B443" s="1" t="s">
        <v>0</v>
      </c>
      <c r="C443" s="10">
        <v>3</v>
      </c>
      <c r="D443">
        <f>C443</f>
        <v>3</v>
      </c>
      <c r="F443" s="12" t="s">
        <v>0</v>
      </c>
      <c r="G443" s="77"/>
      <c r="H443" s="66"/>
      <c r="I443" s="66"/>
      <c r="J443" s="67"/>
      <c r="K443" s="65"/>
      <c r="L443" s="66"/>
      <c r="M443" s="66"/>
      <c r="N443" s="66"/>
      <c r="O443" s="65"/>
      <c r="P443" s="67"/>
      <c r="Q443" s="65"/>
      <c r="R443" s="66"/>
      <c r="S443" s="66">
        <v>1</v>
      </c>
      <c r="T443" s="66"/>
      <c r="U443" s="66"/>
      <c r="V443" s="66"/>
      <c r="W443" s="66"/>
      <c r="X443" s="67">
        <v>2</v>
      </c>
      <c r="Y443" s="77"/>
      <c r="Z443" s="66"/>
      <c r="AA443" s="66"/>
      <c r="AB443" s="66"/>
      <c r="AC443" s="65"/>
      <c r="AD443" s="66"/>
      <c r="AE443" s="66"/>
      <c r="AF443" s="67"/>
      <c r="AG443" s="66"/>
      <c r="AH443" s="67"/>
      <c r="AI443" s="66">
        <v>2</v>
      </c>
      <c r="AJ443" s="66">
        <v>1</v>
      </c>
      <c r="AK443" s="66"/>
      <c r="AL443" s="66"/>
      <c r="AM443" s="66"/>
      <c r="AN443" s="66"/>
      <c r="AO443" s="66"/>
      <c r="AP443" s="66"/>
      <c r="AQ443" s="65"/>
      <c r="AR443" s="65"/>
      <c r="AS443" s="65"/>
      <c r="AT443" s="65"/>
      <c r="AU443" s="65"/>
      <c r="AV443" s="65"/>
      <c r="AW443" s="65"/>
      <c r="AX443" s="68"/>
      <c r="AY443" s="17"/>
      <c r="AZ443" s="17"/>
    </row>
    <row r="444" spans="2:53" ht="16.5" customHeight="1" thickBot="1" x14ac:dyDescent="0.3">
      <c r="B444" s="1" t="s">
        <v>1</v>
      </c>
      <c r="C444" s="10"/>
      <c r="D444">
        <f t="shared" ref="D444:D446" si="48">C444</f>
        <v>0</v>
      </c>
      <c r="F444" s="1" t="s">
        <v>1</v>
      </c>
      <c r="G444" s="78"/>
      <c r="H444" s="46"/>
      <c r="I444" s="46"/>
      <c r="J444" s="70"/>
      <c r="K444" s="69"/>
      <c r="L444" s="46"/>
      <c r="M444" s="46"/>
      <c r="N444" s="46"/>
      <c r="O444" s="69"/>
      <c r="P444" s="70"/>
      <c r="Q444" s="69"/>
      <c r="R444" s="46"/>
      <c r="S444" s="46"/>
      <c r="T444" s="46"/>
      <c r="U444" s="46"/>
      <c r="V444" s="46"/>
      <c r="W444" s="46"/>
      <c r="X444" s="70"/>
      <c r="Y444" s="78"/>
      <c r="Z444" s="46"/>
      <c r="AA444" s="46"/>
      <c r="AB444" s="46"/>
      <c r="AC444" s="69"/>
      <c r="AD444" s="46"/>
      <c r="AE444" s="46"/>
      <c r="AF444" s="70"/>
      <c r="AG444" s="46"/>
      <c r="AH444" s="70"/>
      <c r="AI444" s="46"/>
      <c r="AJ444" s="46"/>
      <c r="AK444" s="46"/>
      <c r="AL444" s="46"/>
      <c r="AM444" s="46"/>
      <c r="AN444" s="46"/>
      <c r="AO444" s="46"/>
      <c r="AP444" s="46"/>
      <c r="AQ444" s="69"/>
      <c r="AR444" s="69"/>
      <c r="AS444" s="69"/>
      <c r="AT444" s="69"/>
      <c r="AU444" s="69"/>
      <c r="AV444" s="69"/>
      <c r="AW444" s="69"/>
      <c r="AX444" s="71"/>
      <c r="AY444" s="18"/>
      <c r="AZ444" s="18"/>
    </row>
    <row r="445" spans="2:53" ht="16.5" customHeight="1" thickBot="1" x14ac:dyDescent="0.3">
      <c r="B445" s="1" t="s">
        <v>2</v>
      </c>
      <c r="C445" s="10"/>
      <c r="D445">
        <f>C445</f>
        <v>0</v>
      </c>
      <c r="F445" s="1" t="s">
        <v>2</v>
      </c>
      <c r="G445" s="78"/>
      <c r="H445" s="46"/>
      <c r="I445" s="46"/>
      <c r="J445" s="70"/>
      <c r="K445" s="69"/>
      <c r="L445" s="46"/>
      <c r="M445" s="46"/>
      <c r="N445" s="46"/>
      <c r="O445" s="69"/>
      <c r="P445" s="70"/>
      <c r="Q445" s="69"/>
      <c r="R445" s="46"/>
      <c r="S445" s="46"/>
      <c r="T445" s="46"/>
      <c r="U445" s="46"/>
      <c r="V445" s="46"/>
      <c r="W445" s="46"/>
      <c r="X445" s="70"/>
      <c r="Y445" s="78"/>
      <c r="Z445" s="46"/>
      <c r="AA445" s="46"/>
      <c r="AB445" s="46"/>
      <c r="AC445" s="69"/>
      <c r="AD445" s="46"/>
      <c r="AE445" s="46"/>
      <c r="AF445" s="70"/>
      <c r="AG445" s="46"/>
      <c r="AH445" s="70"/>
      <c r="AI445" s="46"/>
      <c r="AJ445" s="46"/>
      <c r="AK445" s="46"/>
      <c r="AL445" s="46"/>
      <c r="AM445" s="46"/>
      <c r="AN445" s="46"/>
      <c r="AO445" s="46"/>
      <c r="AP445" s="46"/>
      <c r="AQ445" s="69"/>
      <c r="AR445" s="69"/>
      <c r="AS445" s="69"/>
      <c r="AT445" s="69"/>
      <c r="AU445" s="69"/>
      <c r="AV445" s="69"/>
      <c r="AW445" s="69"/>
      <c r="AX445" s="71"/>
      <c r="AY445" s="18"/>
      <c r="AZ445" s="18"/>
    </row>
    <row r="446" spans="2:53" ht="16.5" customHeight="1" thickBot="1" x14ac:dyDescent="0.3">
      <c r="B446" s="1" t="s">
        <v>3</v>
      </c>
      <c r="C446" s="10"/>
      <c r="D446" s="7">
        <f t="shared" si="48"/>
        <v>0</v>
      </c>
      <c r="F446" s="1" t="s">
        <v>3</v>
      </c>
      <c r="G446" s="79"/>
      <c r="H446" s="73"/>
      <c r="I446" s="73"/>
      <c r="J446" s="74"/>
      <c r="K446" s="72"/>
      <c r="L446" s="73"/>
      <c r="M446" s="73"/>
      <c r="N446" s="73"/>
      <c r="O446" s="72"/>
      <c r="P446" s="74"/>
      <c r="Q446" s="72"/>
      <c r="R446" s="73"/>
      <c r="S446" s="73"/>
      <c r="T446" s="73"/>
      <c r="U446" s="73"/>
      <c r="V446" s="73"/>
      <c r="W446" s="73"/>
      <c r="X446" s="74"/>
      <c r="Y446" s="79"/>
      <c r="Z446" s="73"/>
      <c r="AA446" s="73"/>
      <c r="AB446" s="73"/>
      <c r="AC446" s="72"/>
      <c r="AD446" s="73"/>
      <c r="AE446" s="73"/>
      <c r="AF446" s="74"/>
      <c r="AG446" s="73"/>
      <c r="AH446" s="74"/>
      <c r="AI446" s="73"/>
      <c r="AJ446" s="73"/>
      <c r="AK446" s="73"/>
      <c r="AL446" s="73"/>
      <c r="AM446" s="73"/>
      <c r="AN446" s="73"/>
      <c r="AO446" s="73"/>
      <c r="AP446" s="73"/>
      <c r="AQ446" s="72"/>
      <c r="AR446" s="72"/>
      <c r="AS446" s="72"/>
      <c r="AT446" s="72"/>
      <c r="AU446" s="72"/>
      <c r="AV446" s="72"/>
      <c r="AW446" s="72"/>
      <c r="AX446" s="75"/>
      <c r="AY446" s="19"/>
      <c r="AZ446" s="19"/>
    </row>
    <row r="447" spans="2:53" ht="21" customHeight="1" x14ac:dyDescent="0.25">
      <c r="B447" s="2"/>
      <c r="C447" s="3" t="s">
        <v>25</v>
      </c>
      <c r="D447" s="9">
        <f>SUM(D443:D446)</f>
        <v>3</v>
      </c>
      <c r="G447" s="80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80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</row>
    <row r="448" spans="2:53" x14ac:dyDescent="0.25"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</row>
    <row r="449" spans="2:52" ht="15.75" x14ac:dyDescent="0.25">
      <c r="G449" s="100" t="s">
        <v>22</v>
      </c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1" t="s">
        <v>21</v>
      </c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46"/>
      <c r="AR449" s="46"/>
      <c r="AS449" s="46"/>
      <c r="AT449" s="46"/>
      <c r="AU449" s="46"/>
      <c r="AV449" s="46"/>
      <c r="AW449" s="46"/>
      <c r="AX449" s="46"/>
    </row>
    <row r="450" spans="2:52" ht="32.25" thickBot="1" x14ac:dyDescent="0.3">
      <c r="G450" s="102" t="s">
        <v>14</v>
      </c>
      <c r="H450" s="102"/>
      <c r="I450" s="102"/>
      <c r="J450" s="102"/>
      <c r="K450" s="102" t="s">
        <v>15</v>
      </c>
      <c r="L450" s="102"/>
      <c r="M450" s="102"/>
      <c r="N450" s="102"/>
      <c r="O450" s="102" t="s">
        <v>59</v>
      </c>
      <c r="P450" s="102"/>
      <c r="Q450" s="102" t="s">
        <v>16</v>
      </c>
      <c r="R450" s="102"/>
      <c r="S450" s="102"/>
      <c r="T450" s="102"/>
      <c r="U450" s="102"/>
      <c r="V450" s="102"/>
      <c r="W450" s="102"/>
      <c r="X450" s="102"/>
      <c r="Y450" s="102" t="s">
        <v>14</v>
      </c>
      <c r="Z450" s="102"/>
      <c r="AA450" s="102"/>
      <c r="AB450" s="102"/>
      <c r="AC450" s="102" t="s">
        <v>15</v>
      </c>
      <c r="AD450" s="102"/>
      <c r="AE450" s="102"/>
      <c r="AF450" s="102"/>
      <c r="AG450" s="102" t="s">
        <v>59</v>
      </c>
      <c r="AH450" s="102"/>
      <c r="AI450" s="102" t="s">
        <v>16</v>
      </c>
      <c r="AJ450" s="102"/>
      <c r="AK450" s="102"/>
      <c r="AL450" s="102"/>
      <c r="AM450" s="102"/>
      <c r="AN450" s="102"/>
      <c r="AO450" s="102"/>
      <c r="AP450" s="102"/>
      <c r="AQ450" s="76" t="s">
        <v>60</v>
      </c>
      <c r="AR450" s="76" t="s">
        <v>70</v>
      </c>
      <c r="AS450" s="76" t="s">
        <v>65</v>
      </c>
      <c r="AT450" s="76" t="s">
        <v>61</v>
      </c>
      <c r="AU450" s="76" t="s">
        <v>62</v>
      </c>
      <c r="AV450" s="76" t="s">
        <v>27</v>
      </c>
      <c r="AW450" s="76" t="s">
        <v>64</v>
      </c>
      <c r="AX450" s="76" t="s">
        <v>63</v>
      </c>
      <c r="AY450" s="76" t="s">
        <v>66</v>
      </c>
      <c r="AZ450" s="76" t="s">
        <v>67</v>
      </c>
    </row>
    <row r="451" spans="2:52" ht="48" thickBot="1" x14ac:dyDescent="0.3">
      <c r="B451" s="20">
        <v>0.51041666666666663</v>
      </c>
      <c r="C451" s="14" t="s">
        <v>13</v>
      </c>
      <c r="D451" s="8" t="s">
        <v>6</v>
      </c>
      <c r="F451" s="13"/>
      <c r="G451" s="81" t="s">
        <v>20</v>
      </c>
      <c r="H451" s="64" t="s">
        <v>17</v>
      </c>
      <c r="I451" s="64" t="s">
        <v>19</v>
      </c>
      <c r="J451" s="64" t="s">
        <v>18</v>
      </c>
      <c r="K451" s="64" t="s">
        <v>52</v>
      </c>
      <c r="L451" s="64" t="s">
        <v>51</v>
      </c>
      <c r="M451" s="64" t="s">
        <v>53</v>
      </c>
      <c r="N451" s="64" t="s">
        <v>54</v>
      </c>
      <c r="O451" s="64" t="s">
        <v>20</v>
      </c>
      <c r="P451" s="64" t="s">
        <v>19</v>
      </c>
      <c r="Q451" s="64" t="s">
        <v>55</v>
      </c>
      <c r="R451" s="64" t="s">
        <v>56</v>
      </c>
      <c r="S451" s="64" t="s">
        <v>52</v>
      </c>
      <c r="T451" s="64" t="s">
        <v>51</v>
      </c>
      <c r="U451" s="64" t="s">
        <v>57</v>
      </c>
      <c r="V451" s="64" t="s">
        <v>58</v>
      </c>
      <c r="W451" s="64" t="s">
        <v>53</v>
      </c>
      <c r="X451" s="64" t="s">
        <v>54</v>
      </c>
      <c r="Y451" s="81" t="s">
        <v>20</v>
      </c>
      <c r="Z451" s="64" t="s">
        <v>17</v>
      </c>
      <c r="AA451" s="64" t="s">
        <v>19</v>
      </c>
      <c r="AB451" s="64" t="s">
        <v>18</v>
      </c>
      <c r="AC451" s="64" t="s">
        <v>52</v>
      </c>
      <c r="AD451" s="64" t="s">
        <v>51</v>
      </c>
      <c r="AE451" s="64" t="s">
        <v>53</v>
      </c>
      <c r="AF451" s="64" t="s">
        <v>54</v>
      </c>
      <c r="AG451" s="64" t="s">
        <v>20</v>
      </c>
      <c r="AH451" s="64" t="s">
        <v>19</v>
      </c>
      <c r="AI451" s="64" t="s">
        <v>55</v>
      </c>
      <c r="AJ451" s="64" t="s">
        <v>56</v>
      </c>
      <c r="AK451" s="64" t="s">
        <v>52</v>
      </c>
      <c r="AL451" s="64" t="s">
        <v>51</v>
      </c>
      <c r="AM451" s="64" t="s">
        <v>57</v>
      </c>
      <c r="AN451" s="64" t="s">
        <v>58</v>
      </c>
      <c r="AO451" s="64" t="s">
        <v>53</v>
      </c>
      <c r="AP451" s="64" t="s">
        <v>54</v>
      </c>
      <c r="AQ451" s="46"/>
      <c r="AR451" s="46"/>
      <c r="AS451" s="46"/>
      <c r="AT451" s="46"/>
      <c r="AU451" s="46"/>
      <c r="AV451" s="46"/>
      <c r="AW451" s="46"/>
      <c r="AX451" s="46"/>
    </row>
    <row r="452" spans="2:52" ht="16.5" customHeight="1" thickBot="1" x14ac:dyDescent="0.3">
      <c r="B452" s="1" t="s">
        <v>0</v>
      </c>
      <c r="C452" s="10"/>
      <c r="D452">
        <f>C452</f>
        <v>0</v>
      </c>
      <c r="F452" s="12" t="s">
        <v>0</v>
      </c>
      <c r="G452" s="77"/>
      <c r="H452" s="66"/>
      <c r="I452" s="66"/>
      <c r="J452" s="67"/>
      <c r="K452" s="65"/>
      <c r="L452" s="66"/>
      <c r="M452" s="66"/>
      <c r="N452" s="66"/>
      <c r="O452" s="65"/>
      <c r="P452" s="67"/>
      <c r="Q452" s="65"/>
      <c r="R452" s="66"/>
      <c r="S452" s="66"/>
      <c r="T452" s="66"/>
      <c r="U452" s="66"/>
      <c r="V452" s="66"/>
      <c r="W452" s="66"/>
      <c r="X452" s="67"/>
      <c r="Y452" s="77"/>
      <c r="Z452" s="66"/>
      <c r="AA452" s="66"/>
      <c r="AB452" s="66"/>
      <c r="AC452" s="65"/>
      <c r="AD452" s="66"/>
      <c r="AE452" s="66"/>
      <c r="AF452" s="67"/>
      <c r="AG452" s="66"/>
      <c r="AH452" s="67"/>
      <c r="AI452" s="66"/>
      <c r="AJ452" s="66"/>
      <c r="AK452" s="66"/>
      <c r="AL452" s="66"/>
      <c r="AM452" s="66"/>
      <c r="AN452" s="66"/>
      <c r="AO452" s="66"/>
      <c r="AP452" s="66"/>
      <c r="AQ452" s="65"/>
      <c r="AR452" s="65"/>
      <c r="AS452" s="65"/>
      <c r="AT452" s="65"/>
      <c r="AU452" s="65"/>
      <c r="AV452" s="65"/>
      <c r="AW452" s="65"/>
      <c r="AX452" s="68"/>
      <c r="AY452" s="17"/>
      <c r="AZ452" s="17"/>
    </row>
    <row r="453" spans="2:52" ht="16.5" customHeight="1" thickBot="1" x14ac:dyDescent="0.3">
      <c r="B453" s="1" t="s">
        <v>1</v>
      </c>
      <c r="C453" s="10">
        <v>3</v>
      </c>
      <c r="D453">
        <f t="shared" ref="D453:D455" si="49">C453</f>
        <v>3</v>
      </c>
      <c r="F453" s="1" t="s">
        <v>1</v>
      </c>
      <c r="G453" s="78"/>
      <c r="H453" s="46"/>
      <c r="I453" s="46"/>
      <c r="J453" s="70"/>
      <c r="K453" s="69"/>
      <c r="L453" s="46"/>
      <c r="M453" s="46">
        <v>1</v>
      </c>
      <c r="N453" s="46"/>
      <c r="O453" s="69"/>
      <c r="P453" s="70">
        <v>2</v>
      </c>
      <c r="Q453" s="69"/>
      <c r="R453" s="46"/>
      <c r="S453" s="46"/>
      <c r="T453" s="46"/>
      <c r="U453" s="46"/>
      <c r="V453" s="46"/>
      <c r="W453" s="46"/>
      <c r="X453" s="70"/>
      <c r="Y453" s="78"/>
      <c r="Z453" s="46"/>
      <c r="AA453" s="46"/>
      <c r="AB453" s="46"/>
      <c r="AC453" s="69"/>
      <c r="AD453" s="46">
        <v>1</v>
      </c>
      <c r="AE453" s="46"/>
      <c r="AF453" s="70"/>
      <c r="AG453" s="46">
        <v>1</v>
      </c>
      <c r="AH453" s="70"/>
      <c r="AI453" s="46"/>
      <c r="AJ453" s="46"/>
      <c r="AK453" s="46"/>
      <c r="AL453" s="46"/>
      <c r="AM453" s="46"/>
      <c r="AN453" s="46"/>
      <c r="AO453" s="46"/>
      <c r="AP453" s="46">
        <v>1</v>
      </c>
      <c r="AQ453" s="69"/>
      <c r="AR453" s="69">
        <v>1</v>
      </c>
      <c r="AS453" s="69"/>
      <c r="AT453" s="69"/>
      <c r="AU453" s="69"/>
      <c r="AV453" s="69"/>
      <c r="AW453" s="69"/>
      <c r="AX453" s="71"/>
      <c r="AY453" s="18"/>
      <c r="AZ453" s="18">
        <v>1</v>
      </c>
    </row>
    <row r="454" spans="2:52" ht="16.5" customHeight="1" thickBot="1" x14ac:dyDescent="0.3">
      <c r="B454" s="1" t="s">
        <v>2</v>
      </c>
      <c r="C454" s="10"/>
      <c r="D454">
        <f>C454</f>
        <v>0</v>
      </c>
      <c r="F454" s="1" t="s">
        <v>2</v>
      </c>
      <c r="G454" s="78"/>
      <c r="H454" s="46"/>
      <c r="I454" s="46"/>
      <c r="J454" s="70"/>
      <c r="K454" s="69"/>
      <c r="L454" s="46"/>
      <c r="M454" s="46"/>
      <c r="N454" s="46"/>
      <c r="O454" s="69"/>
      <c r="P454" s="70"/>
      <c r="Q454" s="69"/>
      <c r="R454" s="46"/>
      <c r="S454" s="46"/>
      <c r="T454" s="46"/>
      <c r="U454" s="46"/>
      <c r="V454" s="46"/>
      <c r="W454" s="46"/>
      <c r="X454" s="70"/>
      <c r="Y454" s="78"/>
      <c r="Z454" s="46"/>
      <c r="AA454" s="46"/>
      <c r="AB454" s="46"/>
      <c r="AC454" s="69"/>
      <c r="AD454" s="46"/>
      <c r="AE454" s="46"/>
      <c r="AF454" s="70"/>
      <c r="AG454" s="46"/>
      <c r="AH454" s="70"/>
      <c r="AI454" s="46"/>
      <c r="AJ454" s="46"/>
      <c r="AK454" s="46"/>
      <c r="AL454" s="46"/>
      <c r="AM454" s="46"/>
      <c r="AN454" s="46"/>
      <c r="AO454" s="46"/>
      <c r="AP454" s="46"/>
      <c r="AQ454" s="69"/>
      <c r="AR454" s="69"/>
      <c r="AS454" s="69"/>
      <c r="AT454" s="69"/>
      <c r="AU454" s="69"/>
      <c r="AV454" s="69"/>
      <c r="AW454" s="69"/>
      <c r="AX454" s="71"/>
      <c r="AY454" s="18"/>
      <c r="AZ454" s="18"/>
    </row>
    <row r="455" spans="2:52" ht="16.5" customHeight="1" thickBot="1" x14ac:dyDescent="0.3">
      <c r="B455" s="1" t="s">
        <v>3</v>
      </c>
      <c r="C455" s="10"/>
      <c r="D455" s="7">
        <f t="shared" si="49"/>
        <v>0</v>
      </c>
      <c r="F455" s="1" t="s">
        <v>3</v>
      </c>
      <c r="G455" s="79"/>
      <c r="H455" s="73"/>
      <c r="I455" s="73"/>
      <c r="J455" s="74"/>
      <c r="K455" s="72"/>
      <c r="L455" s="73"/>
      <c r="M455" s="73"/>
      <c r="N455" s="73"/>
      <c r="O455" s="72"/>
      <c r="P455" s="74"/>
      <c r="Q455" s="72"/>
      <c r="R455" s="73"/>
      <c r="S455" s="73"/>
      <c r="T455" s="73"/>
      <c r="U455" s="73"/>
      <c r="V455" s="73"/>
      <c r="W455" s="73"/>
      <c r="X455" s="74"/>
      <c r="Y455" s="79"/>
      <c r="Z455" s="73"/>
      <c r="AA455" s="73"/>
      <c r="AB455" s="73"/>
      <c r="AC455" s="72"/>
      <c r="AD455" s="73"/>
      <c r="AE455" s="73"/>
      <c r="AF455" s="74"/>
      <c r="AG455" s="73"/>
      <c r="AH455" s="74"/>
      <c r="AI455" s="73"/>
      <c r="AJ455" s="73"/>
      <c r="AK455" s="73"/>
      <c r="AL455" s="73"/>
      <c r="AM455" s="73"/>
      <c r="AN455" s="73"/>
      <c r="AO455" s="73"/>
      <c r="AP455" s="73"/>
      <c r="AQ455" s="72"/>
      <c r="AR455" s="72"/>
      <c r="AS455" s="72"/>
      <c r="AT455" s="72"/>
      <c r="AU455" s="72"/>
      <c r="AV455" s="72"/>
      <c r="AW455" s="72"/>
      <c r="AX455" s="75"/>
      <c r="AY455" s="19"/>
      <c r="AZ455" s="19"/>
    </row>
    <row r="456" spans="2:52" ht="21" customHeight="1" x14ac:dyDescent="0.25">
      <c r="B456" s="2"/>
      <c r="C456" s="3" t="s">
        <v>25</v>
      </c>
      <c r="D456" s="9">
        <f>SUM(D452:D455)</f>
        <v>3</v>
      </c>
      <c r="G456" s="80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80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</row>
    <row r="457" spans="2:52" x14ac:dyDescent="0.25"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</row>
    <row r="458" spans="2:52" ht="15.75" x14ac:dyDescent="0.25">
      <c r="G458" s="100" t="s">
        <v>22</v>
      </c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1" t="s">
        <v>21</v>
      </c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46"/>
      <c r="AR458" s="46"/>
      <c r="AS458" s="46"/>
      <c r="AT458" s="46"/>
      <c r="AU458" s="46"/>
      <c r="AV458" s="46"/>
      <c r="AW458" s="46"/>
      <c r="AX458" s="46"/>
    </row>
    <row r="459" spans="2:52" ht="32.25" thickBot="1" x14ac:dyDescent="0.3">
      <c r="G459" s="102" t="s">
        <v>14</v>
      </c>
      <c r="H459" s="102"/>
      <c r="I459" s="102"/>
      <c r="J459" s="102"/>
      <c r="K459" s="102" t="s">
        <v>15</v>
      </c>
      <c r="L459" s="102"/>
      <c r="M459" s="102"/>
      <c r="N459" s="102"/>
      <c r="O459" s="102" t="s">
        <v>59</v>
      </c>
      <c r="P459" s="102"/>
      <c r="Q459" s="102" t="s">
        <v>16</v>
      </c>
      <c r="R459" s="102"/>
      <c r="S459" s="102"/>
      <c r="T459" s="102"/>
      <c r="U459" s="102"/>
      <c r="V459" s="102"/>
      <c r="W459" s="102"/>
      <c r="X459" s="102"/>
      <c r="Y459" s="102" t="s">
        <v>14</v>
      </c>
      <c r="Z459" s="102"/>
      <c r="AA459" s="102"/>
      <c r="AB459" s="102"/>
      <c r="AC459" s="102" t="s">
        <v>15</v>
      </c>
      <c r="AD459" s="102"/>
      <c r="AE459" s="102"/>
      <c r="AF459" s="102"/>
      <c r="AG459" s="102" t="s">
        <v>59</v>
      </c>
      <c r="AH459" s="102"/>
      <c r="AI459" s="102" t="s">
        <v>16</v>
      </c>
      <c r="AJ459" s="102"/>
      <c r="AK459" s="102"/>
      <c r="AL459" s="102"/>
      <c r="AM459" s="102"/>
      <c r="AN459" s="102"/>
      <c r="AO459" s="102"/>
      <c r="AP459" s="102"/>
      <c r="AQ459" s="76" t="s">
        <v>60</v>
      </c>
      <c r="AR459" s="76" t="s">
        <v>70</v>
      </c>
      <c r="AS459" s="76" t="s">
        <v>65</v>
      </c>
      <c r="AT459" s="76" t="s">
        <v>61</v>
      </c>
      <c r="AU459" s="76" t="s">
        <v>62</v>
      </c>
      <c r="AV459" s="76" t="s">
        <v>27</v>
      </c>
      <c r="AW459" s="76" t="s">
        <v>64</v>
      </c>
      <c r="AX459" s="76" t="s">
        <v>63</v>
      </c>
      <c r="AY459" s="76" t="s">
        <v>66</v>
      </c>
      <c r="AZ459" s="76" t="s">
        <v>67</v>
      </c>
    </row>
    <row r="460" spans="2:52" ht="48" thickBot="1" x14ac:dyDescent="0.3">
      <c r="B460" s="20">
        <v>0.52083333333333337</v>
      </c>
      <c r="C460" s="14" t="s">
        <v>13</v>
      </c>
      <c r="D460" s="8" t="s">
        <v>6</v>
      </c>
      <c r="F460" s="13"/>
      <c r="G460" s="81" t="s">
        <v>20</v>
      </c>
      <c r="H460" s="64" t="s">
        <v>17</v>
      </c>
      <c r="I460" s="64" t="s">
        <v>19</v>
      </c>
      <c r="J460" s="64" t="s">
        <v>18</v>
      </c>
      <c r="K460" s="64" t="s">
        <v>52</v>
      </c>
      <c r="L460" s="64" t="s">
        <v>51</v>
      </c>
      <c r="M460" s="64" t="s">
        <v>53</v>
      </c>
      <c r="N460" s="64" t="s">
        <v>54</v>
      </c>
      <c r="O460" s="64" t="s">
        <v>20</v>
      </c>
      <c r="P460" s="64" t="s">
        <v>19</v>
      </c>
      <c r="Q460" s="64" t="s">
        <v>55</v>
      </c>
      <c r="R460" s="64" t="s">
        <v>56</v>
      </c>
      <c r="S460" s="64" t="s">
        <v>52</v>
      </c>
      <c r="T460" s="64" t="s">
        <v>51</v>
      </c>
      <c r="U460" s="64" t="s">
        <v>57</v>
      </c>
      <c r="V460" s="64" t="s">
        <v>58</v>
      </c>
      <c r="W460" s="64" t="s">
        <v>53</v>
      </c>
      <c r="X460" s="64" t="s">
        <v>54</v>
      </c>
      <c r="Y460" s="81" t="s">
        <v>20</v>
      </c>
      <c r="Z460" s="64" t="s">
        <v>17</v>
      </c>
      <c r="AA460" s="64" t="s">
        <v>19</v>
      </c>
      <c r="AB460" s="64" t="s">
        <v>18</v>
      </c>
      <c r="AC460" s="64" t="s">
        <v>52</v>
      </c>
      <c r="AD460" s="64" t="s">
        <v>51</v>
      </c>
      <c r="AE460" s="64" t="s">
        <v>53</v>
      </c>
      <c r="AF460" s="64" t="s">
        <v>54</v>
      </c>
      <c r="AG460" s="64" t="s">
        <v>20</v>
      </c>
      <c r="AH460" s="64" t="s">
        <v>19</v>
      </c>
      <c r="AI460" s="64" t="s">
        <v>55</v>
      </c>
      <c r="AJ460" s="64" t="s">
        <v>56</v>
      </c>
      <c r="AK460" s="64" t="s">
        <v>52</v>
      </c>
      <c r="AL460" s="64" t="s">
        <v>51</v>
      </c>
      <c r="AM460" s="64" t="s">
        <v>57</v>
      </c>
      <c r="AN460" s="64" t="s">
        <v>58</v>
      </c>
      <c r="AO460" s="64" t="s">
        <v>53</v>
      </c>
      <c r="AP460" s="64" t="s">
        <v>54</v>
      </c>
      <c r="AQ460" s="46"/>
      <c r="AR460" s="46"/>
      <c r="AS460" s="46"/>
      <c r="AT460" s="46"/>
      <c r="AU460" s="46"/>
      <c r="AV460" s="46"/>
      <c r="AW460" s="46"/>
      <c r="AX460" s="46"/>
    </row>
    <row r="461" spans="2:52" ht="16.5" customHeight="1" thickBot="1" x14ac:dyDescent="0.3">
      <c r="B461" s="1" t="s">
        <v>0</v>
      </c>
      <c r="C461" s="10">
        <v>1</v>
      </c>
      <c r="D461">
        <f>C461</f>
        <v>1</v>
      </c>
      <c r="F461" s="12" t="s">
        <v>0</v>
      </c>
      <c r="G461" s="77"/>
      <c r="H461" s="66"/>
      <c r="I461" s="66"/>
      <c r="J461" s="67"/>
      <c r="K461" s="65"/>
      <c r="L461" s="66"/>
      <c r="M461" s="66"/>
      <c r="N461" s="66"/>
      <c r="O461" s="65"/>
      <c r="P461" s="67"/>
      <c r="Q461" s="65"/>
      <c r="R461" s="66">
        <v>1</v>
      </c>
      <c r="S461" s="66"/>
      <c r="T461" s="66"/>
      <c r="U461" s="66"/>
      <c r="V461" s="66"/>
      <c r="W461" s="66"/>
      <c r="X461" s="67"/>
      <c r="Y461" s="77"/>
      <c r="Z461" s="66"/>
      <c r="AA461" s="66"/>
      <c r="AB461" s="66"/>
      <c r="AC461" s="65"/>
      <c r="AD461" s="66"/>
      <c r="AE461" s="66"/>
      <c r="AF461" s="67"/>
      <c r="AG461" s="66"/>
      <c r="AH461" s="67"/>
      <c r="AI461" s="66"/>
      <c r="AJ461" s="66"/>
      <c r="AK461" s="66">
        <v>1</v>
      </c>
      <c r="AL461" s="66"/>
      <c r="AM461" s="66"/>
      <c r="AN461" s="66"/>
      <c r="AO461" s="66"/>
      <c r="AP461" s="66"/>
      <c r="AQ461" s="65"/>
      <c r="AR461" s="65"/>
      <c r="AS461" s="65"/>
      <c r="AT461" s="65"/>
      <c r="AU461" s="65"/>
      <c r="AV461" s="65"/>
      <c r="AW461" s="65"/>
      <c r="AX461" s="68"/>
      <c r="AY461" s="17"/>
      <c r="AZ461" s="17"/>
    </row>
    <row r="462" spans="2:52" ht="16.5" customHeight="1" thickBot="1" x14ac:dyDescent="0.3">
      <c r="B462" s="1" t="s">
        <v>1</v>
      </c>
      <c r="C462" s="10"/>
      <c r="D462">
        <f t="shared" ref="D462:D464" si="50">C462</f>
        <v>0</v>
      </c>
      <c r="F462" s="1" t="s">
        <v>1</v>
      </c>
      <c r="G462" s="78"/>
      <c r="H462" s="46"/>
      <c r="I462" s="46"/>
      <c r="J462" s="70"/>
      <c r="K462" s="69"/>
      <c r="L462" s="46"/>
      <c r="M462" s="46"/>
      <c r="N462" s="46"/>
      <c r="O462" s="69"/>
      <c r="P462" s="70"/>
      <c r="Q462" s="69"/>
      <c r="R462" s="46"/>
      <c r="S462" s="46"/>
      <c r="T462" s="46"/>
      <c r="U462" s="46"/>
      <c r="V462" s="46"/>
      <c r="W462" s="46"/>
      <c r="X462" s="70"/>
      <c r="Y462" s="78"/>
      <c r="Z462" s="46"/>
      <c r="AA462" s="46"/>
      <c r="AB462" s="46"/>
      <c r="AC462" s="69"/>
      <c r="AD462" s="46"/>
      <c r="AE462" s="46"/>
      <c r="AF462" s="70"/>
      <c r="AG462" s="46"/>
      <c r="AH462" s="70"/>
      <c r="AI462" s="46"/>
      <c r="AJ462" s="46"/>
      <c r="AK462" s="46"/>
      <c r="AL462" s="46"/>
      <c r="AM462" s="46"/>
      <c r="AN462" s="46"/>
      <c r="AO462" s="46"/>
      <c r="AP462" s="46"/>
      <c r="AQ462" s="69"/>
      <c r="AR462" s="69"/>
      <c r="AS462" s="69"/>
      <c r="AT462" s="69"/>
      <c r="AU462" s="69"/>
      <c r="AV462" s="69"/>
      <c r="AW462" s="69"/>
      <c r="AX462" s="71"/>
      <c r="AY462" s="18"/>
      <c r="AZ462" s="18"/>
    </row>
    <row r="463" spans="2:52" ht="16.5" customHeight="1" thickBot="1" x14ac:dyDescent="0.3">
      <c r="B463" s="1" t="s">
        <v>2</v>
      </c>
      <c r="C463" s="10"/>
      <c r="D463">
        <f>C463</f>
        <v>0</v>
      </c>
      <c r="F463" s="1" t="s">
        <v>2</v>
      </c>
      <c r="G463" s="78"/>
      <c r="H463" s="46"/>
      <c r="I463" s="46"/>
      <c r="J463" s="70"/>
      <c r="K463" s="69"/>
      <c r="L463" s="46"/>
      <c r="M463" s="46"/>
      <c r="N463" s="46"/>
      <c r="O463" s="69"/>
      <c r="P463" s="70"/>
      <c r="Q463" s="69"/>
      <c r="R463" s="46"/>
      <c r="S463" s="46"/>
      <c r="T463" s="46"/>
      <c r="U463" s="46"/>
      <c r="V463" s="46"/>
      <c r="W463" s="46"/>
      <c r="X463" s="70"/>
      <c r="Y463" s="78"/>
      <c r="Z463" s="46"/>
      <c r="AA463" s="46"/>
      <c r="AB463" s="46"/>
      <c r="AC463" s="69"/>
      <c r="AD463" s="46"/>
      <c r="AE463" s="46"/>
      <c r="AF463" s="70"/>
      <c r="AG463" s="46"/>
      <c r="AH463" s="70"/>
      <c r="AI463" s="46"/>
      <c r="AJ463" s="46"/>
      <c r="AK463" s="46"/>
      <c r="AL463" s="46"/>
      <c r="AM463" s="46"/>
      <c r="AN463" s="46"/>
      <c r="AO463" s="46"/>
      <c r="AP463" s="46"/>
      <c r="AQ463" s="69"/>
      <c r="AR463" s="69"/>
      <c r="AS463" s="69"/>
      <c r="AT463" s="69"/>
      <c r="AU463" s="69"/>
      <c r="AV463" s="69"/>
      <c r="AW463" s="69"/>
      <c r="AX463" s="71"/>
      <c r="AY463" s="18"/>
      <c r="AZ463" s="18"/>
    </row>
    <row r="464" spans="2:52" ht="16.5" customHeight="1" thickBot="1" x14ac:dyDescent="0.3">
      <c r="B464" s="1" t="s">
        <v>3</v>
      </c>
      <c r="C464" s="10"/>
      <c r="D464" s="7">
        <f t="shared" si="50"/>
        <v>0</v>
      </c>
      <c r="F464" s="1" t="s">
        <v>3</v>
      </c>
      <c r="G464" s="79"/>
      <c r="H464" s="73"/>
      <c r="I464" s="73"/>
      <c r="J464" s="74"/>
      <c r="K464" s="72"/>
      <c r="L464" s="73"/>
      <c r="M464" s="73"/>
      <c r="N464" s="73"/>
      <c r="O464" s="72"/>
      <c r="P464" s="74"/>
      <c r="Q464" s="72"/>
      <c r="R464" s="73"/>
      <c r="S464" s="73"/>
      <c r="T464" s="73"/>
      <c r="U464" s="73"/>
      <c r="V464" s="73"/>
      <c r="W464" s="73"/>
      <c r="X464" s="74"/>
      <c r="Y464" s="79"/>
      <c r="Z464" s="73"/>
      <c r="AA464" s="73"/>
      <c r="AB464" s="73"/>
      <c r="AC464" s="72"/>
      <c r="AD464" s="73"/>
      <c r="AE464" s="73"/>
      <c r="AF464" s="74"/>
      <c r="AG464" s="73"/>
      <c r="AH464" s="74"/>
      <c r="AI464" s="73"/>
      <c r="AJ464" s="73"/>
      <c r="AK464" s="73"/>
      <c r="AL464" s="73"/>
      <c r="AM464" s="73"/>
      <c r="AN464" s="73"/>
      <c r="AO464" s="73"/>
      <c r="AP464" s="73"/>
      <c r="AQ464" s="72"/>
      <c r="AR464" s="72"/>
      <c r="AS464" s="72"/>
      <c r="AT464" s="72"/>
      <c r="AU464" s="72"/>
      <c r="AV464" s="72"/>
      <c r="AW464" s="72"/>
      <c r="AX464" s="75"/>
      <c r="AY464" s="19"/>
      <c r="AZ464" s="19"/>
    </row>
    <row r="465" spans="2:52" ht="21" customHeight="1" x14ac:dyDescent="0.25">
      <c r="B465" s="2"/>
      <c r="C465" s="3" t="s">
        <v>25</v>
      </c>
      <c r="D465" s="9">
        <f>SUM(D461:D464)</f>
        <v>1</v>
      </c>
      <c r="G465" s="80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80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</row>
    <row r="466" spans="2:52" x14ac:dyDescent="0.25"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</row>
    <row r="467" spans="2:52" ht="15.75" x14ac:dyDescent="0.25">
      <c r="G467" s="100" t="s">
        <v>22</v>
      </c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1" t="s">
        <v>21</v>
      </c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46"/>
      <c r="AR467" s="46"/>
      <c r="AS467" s="46"/>
      <c r="AT467" s="46"/>
      <c r="AU467" s="46"/>
      <c r="AV467" s="46"/>
      <c r="AW467" s="46"/>
      <c r="AX467" s="46"/>
    </row>
    <row r="468" spans="2:52" ht="32.25" thickBot="1" x14ac:dyDescent="0.3">
      <c r="G468" s="102" t="s">
        <v>14</v>
      </c>
      <c r="H468" s="102"/>
      <c r="I468" s="102"/>
      <c r="J468" s="102"/>
      <c r="K468" s="102" t="s">
        <v>15</v>
      </c>
      <c r="L468" s="102"/>
      <c r="M468" s="102"/>
      <c r="N468" s="102"/>
      <c r="O468" s="102" t="s">
        <v>59</v>
      </c>
      <c r="P468" s="102"/>
      <c r="Q468" s="102" t="s">
        <v>16</v>
      </c>
      <c r="R468" s="102"/>
      <c r="S468" s="102"/>
      <c r="T468" s="102"/>
      <c r="U468" s="102"/>
      <c r="V468" s="102"/>
      <c r="W468" s="102"/>
      <c r="X468" s="102"/>
      <c r="Y468" s="102" t="s">
        <v>14</v>
      </c>
      <c r="Z468" s="102"/>
      <c r="AA468" s="102"/>
      <c r="AB468" s="102"/>
      <c r="AC468" s="102" t="s">
        <v>15</v>
      </c>
      <c r="AD468" s="102"/>
      <c r="AE468" s="102"/>
      <c r="AF468" s="102"/>
      <c r="AG468" s="102" t="s">
        <v>59</v>
      </c>
      <c r="AH468" s="102"/>
      <c r="AI468" s="102" t="s">
        <v>16</v>
      </c>
      <c r="AJ468" s="102"/>
      <c r="AK468" s="102"/>
      <c r="AL468" s="102"/>
      <c r="AM468" s="102"/>
      <c r="AN468" s="102"/>
      <c r="AO468" s="102"/>
      <c r="AP468" s="102"/>
      <c r="AQ468" s="76" t="s">
        <v>60</v>
      </c>
      <c r="AR468" s="76" t="s">
        <v>70</v>
      </c>
      <c r="AS468" s="76" t="s">
        <v>65</v>
      </c>
      <c r="AT468" s="76" t="s">
        <v>61</v>
      </c>
      <c r="AU468" s="76" t="s">
        <v>62</v>
      </c>
      <c r="AV468" s="76" t="s">
        <v>27</v>
      </c>
      <c r="AW468" s="76" t="s">
        <v>64</v>
      </c>
      <c r="AX468" s="76" t="s">
        <v>63</v>
      </c>
      <c r="AY468" s="76" t="s">
        <v>66</v>
      </c>
      <c r="AZ468" s="76" t="s">
        <v>67</v>
      </c>
    </row>
    <row r="469" spans="2:52" ht="48" thickBot="1" x14ac:dyDescent="0.3">
      <c r="B469" s="20">
        <v>0.53125</v>
      </c>
      <c r="C469" s="14" t="s">
        <v>13</v>
      </c>
      <c r="D469" s="8" t="s">
        <v>6</v>
      </c>
      <c r="F469" s="13"/>
      <c r="G469" s="81" t="s">
        <v>20</v>
      </c>
      <c r="H469" s="64" t="s">
        <v>17</v>
      </c>
      <c r="I469" s="64" t="s">
        <v>19</v>
      </c>
      <c r="J469" s="64" t="s">
        <v>18</v>
      </c>
      <c r="K469" s="64" t="s">
        <v>52</v>
      </c>
      <c r="L469" s="64" t="s">
        <v>51</v>
      </c>
      <c r="M469" s="64" t="s">
        <v>53</v>
      </c>
      <c r="N469" s="64" t="s">
        <v>54</v>
      </c>
      <c r="O469" s="64" t="s">
        <v>20</v>
      </c>
      <c r="P469" s="64" t="s">
        <v>19</v>
      </c>
      <c r="Q469" s="64" t="s">
        <v>55</v>
      </c>
      <c r="R469" s="64" t="s">
        <v>56</v>
      </c>
      <c r="S469" s="64" t="s">
        <v>52</v>
      </c>
      <c r="T469" s="64" t="s">
        <v>51</v>
      </c>
      <c r="U469" s="64" t="s">
        <v>57</v>
      </c>
      <c r="V469" s="64" t="s">
        <v>58</v>
      </c>
      <c r="W469" s="64" t="s">
        <v>53</v>
      </c>
      <c r="X469" s="64" t="s">
        <v>54</v>
      </c>
      <c r="Y469" s="81" t="s">
        <v>20</v>
      </c>
      <c r="Z469" s="64" t="s">
        <v>17</v>
      </c>
      <c r="AA469" s="64" t="s">
        <v>19</v>
      </c>
      <c r="AB469" s="64" t="s">
        <v>18</v>
      </c>
      <c r="AC469" s="64" t="s">
        <v>52</v>
      </c>
      <c r="AD469" s="64" t="s">
        <v>51</v>
      </c>
      <c r="AE469" s="64" t="s">
        <v>53</v>
      </c>
      <c r="AF469" s="64" t="s">
        <v>54</v>
      </c>
      <c r="AG469" s="64" t="s">
        <v>20</v>
      </c>
      <c r="AH469" s="64" t="s">
        <v>19</v>
      </c>
      <c r="AI469" s="64" t="s">
        <v>55</v>
      </c>
      <c r="AJ469" s="64" t="s">
        <v>56</v>
      </c>
      <c r="AK469" s="64" t="s">
        <v>52</v>
      </c>
      <c r="AL469" s="64" t="s">
        <v>51</v>
      </c>
      <c r="AM469" s="64" t="s">
        <v>57</v>
      </c>
      <c r="AN469" s="64" t="s">
        <v>58</v>
      </c>
      <c r="AO469" s="64" t="s">
        <v>53</v>
      </c>
      <c r="AP469" s="64" t="s">
        <v>54</v>
      </c>
      <c r="AQ469" s="46"/>
      <c r="AR469" s="46"/>
      <c r="AS469" s="46"/>
      <c r="AT469" s="46"/>
      <c r="AU469" s="46"/>
      <c r="AV469" s="46"/>
      <c r="AW469" s="46"/>
      <c r="AX469" s="46"/>
    </row>
    <row r="470" spans="2:52" ht="16.5" customHeight="1" thickBot="1" x14ac:dyDescent="0.3">
      <c r="B470" s="1" t="s">
        <v>0</v>
      </c>
      <c r="C470" s="10">
        <v>2</v>
      </c>
      <c r="D470">
        <f>C470</f>
        <v>2</v>
      </c>
      <c r="F470" s="12" t="s">
        <v>0</v>
      </c>
      <c r="G470" s="77"/>
      <c r="H470" s="66"/>
      <c r="I470" s="66"/>
      <c r="J470" s="67"/>
      <c r="K470" s="65"/>
      <c r="L470" s="66"/>
      <c r="M470" s="66"/>
      <c r="N470" s="66"/>
      <c r="O470" s="65"/>
      <c r="P470" s="67">
        <v>1</v>
      </c>
      <c r="Q470" s="65"/>
      <c r="R470" s="66">
        <v>1</v>
      </c>
      <c r="S470" s="66"/>
      <c r="T470" s="66"/>
      <c r="U470" s="66"/>
      <c r="V470" s="66"/>
      <c r="W470" s="66"/>
      <c r="X470" s="67"/>
      <c r="Y470" s="77"/>
      <c r="Z470" s="66"/>
      <c r="AA470" s="66"/>
      <c r="AB470" s="66"/>
      <c r="AC470" s="65"/>
      <c r="AD470" s="66"/>
      <c r="AE470" s="66"/>
      <c r="AF470" s="67"/>
      <c r="AG470" s="66">
        <v>1</v>
      </c>
      <c r="AH470" s="67">
        <v>1</v>
      </c>
      <c r="AI470" s="66"/>
      <c r="AJ470" s="66"/>
      <c r="AK470" s="66"/>
      <c r="AL470" s="66"/>
      <c r="AM470" s="66"/>
      <c r="AN470" s="66"/>
      <c r="AO470" s="66"/>
      <c r="AP470" s="66"/>
      <c r="AQ470" s="65"/>
      <c r="AR470" s="65">
        <v>1</v>
      </c>
      <c r="AS470" s="65"/>
      <c r="AT470" s="65"/>
      <c r="AU470" s="65"/>
      <c r="AV470" s="65"/>
      <c r="AW470" s="65"/>
      <c r="AX470" s="68"/>
      <c r="AY470" s="17"/>
      <c r="AZ470" s="17"/>
    </row>
    <row r="471" spans="2:52" ht="16.5" customHeight="1" thickBot="1" x14ac:dyDescent="0.3">
      <c r="B471" s="1" t="s">
        <v>1</v>
      </c>
      <c r="C471" s="10"/>
      <c r="D471">
        <f t="shared" ref="D471:D473" si="51">C471</f>
        <v>0</v>
      </c>
      <c r="F471" s="1" t="s">
        <v>1</v>
      </c>
      <c r="G471" s="78"/>
      <c r="H471" s="46"/>
      <c r="I471" s="46"/>
      <c r="J471" s="70"/>
      <c r="K471" s="69"/>
      <c r="L471" s="46"/>
      <c r="M471" s="46"/>
      <c r="N471" s="46"/>
      <c r="O471" s="69"/>
      <c r="P471" s="70"/>
      <c r="Q471" s="69"/>
      <c r="R471" s="46"/>
      <c r="S471" s="46"/>
      <c r="T471" s="46"/>
      <c r="U471" s="46"/>
      <c r="V471" s="46"/>
      <c r="W471" s="46"/>
      <c r="X471" s="70"/>
      <c r="Y471" s="78"/>
      <c r="Z471" s="46"/>
      <c r="AA471" s="46"/>
      <c r="AB471" s="46"/>
      <c r="AC471" s="69"/>
      <c r="AD471" s="46"/>
      <c r="AE471" s="46"/>
      <c r="AF471" s="70"/>
      <c r="AG471" s="46"/>
      <c r="AH471" s="70"/>
      <c r="AI471" s="46"/>
      <c r="AJ471" s="46"/>
      <c r="AK471" s="46"/>
      <c r="AL471" s="46"/>
      <c r="AM471" s="46"/>
      <c r="AN471" s="46"/>
      <c r="AO471" s="46"/>
      <c r="AP471" s="46"/>
      <c r="AQ471" s="69"/>
      <c r="AR471" s="69"/>
      <c r="AS471" s="69"/>
      <c r="AT471" s="69"/>
      <c r="AU471" s="69"/>
      <c r="AV471" s="69"/>
      <c r="AW471" s="69"/>
      <c r="AX471" s="71"/>
      <c r="AY471" s="18"/>
      <c r="AZ471" s="18"/>
    </row>
    <row r="472" spans="2:52" ht="16.5" customHeight="1" thickBot="1" x14ac:dyDescent="0.3">
      <c r="B472" s="1" t="s">
        <v>2</v>
      </c>
      <c r="C472" s="10"/>
      <c r="D472">
        <f>C472</f>
        <v>0</v>
      </c>
      <c r="F472" s="1" t="s">
        <v>2</v>
      </c>
      <c r="G472" s="78"/>
      <c r="H472" s="46"/>
      <c r="I472" s="46"/>
      <c r="J472" s="70"/>
      <c r="K472" s="69"/>
      <c r="L472" s="46"/>
      <c r="M472" s="46"/>
      <c r="N472" s="46"/>
      <c r="O472" s="69"/>
      <c r="P472" s="70"/>
      <c r="Q472" s="69"/>
      <c r="R472" s="46"/>
      <c r="S472" s="46"/>
      <c r="T472" s="46"/>
      <c r="U472" s="46"/>
      <c r="V472" s="46"/>
      <c r="W472" s="46"/>
      <c r="X472" s="70"/>
      <c r="Y472" s="78"/>
      <c r="Z472" s="46"/>
      <c r="AA472" s="46"/>
      <c r="AB472" s="46"/>
      <c r="AC472" s="69"/>
      <c r="AD472" s="46"/>
      <c r="AE472" s="46"/>
      <c r="AF472" s="70"/>
      <c r="AG472" s="46"/>
      <c r="AH472" s="70"/>
      <c r="AI472" s="46"/>
      <c r="AJ472" s="46"/>
      <c r="AK472" s="46"/>
      <c r="AL472" s="46"/>
      <c r="AM472" s="46"/>
      <c r="AN472" s="46"/>
      <c r="AO472" s="46"/>
      <c r="AP472" s="46"/>
      <c r="AQ472" s="69"/>
      <c r="AR472" s="69"/>
      <c r="AS472" s="69"/>
      <c r="AT472" s="69"/>
      <c r="AU472" s="69"/>
      <c r="AV472" s="69"/>
      <c r="AW472" s="69"/>
      <c r="AX472" s="71"/>
      <c r="AY472" s="18"/>
      <c r="AZ472" s="18"/>
    </row>
    <row r="473" spans="2:52" ht="16.5" customHeight="1" thickBot="1" x14ac:dyDescent="0.3">
      <c r="B473" s="1" t="s">
        <v>3</v>
      </c>
      <c r="C473" s="10"/>
      <c r="D473" s="7">
        <f t="shared" si="51"/>
        <v>0</v>
      </c>
      <c r="F473" s="1" t="s">
        <v>3</v>
      </c>
      <c r="G473" s="79"/>
      <c r="H473" s="73"/>
      <c r="I473" s="73"/>
      <c r="J473" s="74"/>
      <c r="K473" s="72"/>
      <c r="L473" s="73"/>
      <c r="M473" s="73"/>
      <c r="N473" s="73"/>
      <c r="O473" s="72"/>
      <c r="P473" s="74"/>
      <c r="Q473" s="72"/>
      <c r="R473" s="73"/>
      <c r="S473" s="73"/>
      <c r="T473" s="73"/>
      <c r="U473" s="73"/>
      <c r="V473" s="73"/>
      <c r="W473" s="73"/>
      <c r="X473" s="74"/>
      <c r="Y473" s="79"/>
      <c r="Z473" s="73"/>
      <c r="AA473" s="73"/>
      <c r="AB473" s="73"/>
      <c r="AC473" s="72"/>
      <c r="AD473" s="73"/>
      <c r="AE473" s="73"/>
      <c r="AF473" s="74"/>
      <c r="AG473" s="73"/>
      <c r="AH473" s="74"/>
      <c r="AI473" s="73"/>
      <c r="AJ473" s="73"/>
      <c r="AK473" s="73"/>
      <c r="AL473" s="73"/>
      <c r="AM473" s="73"/>
      <c r="AN473" s="73"/>
      <c r="AO473" s="73"/>
      <c r="AP473" s="73"/>
      <c r="AQ473" s="72"/>
      <c r="AR473" s="72"/>
      <c r="AS473" s="72"/>
      <c r="AT473" s="72"/>
      <c r="AU473" s="72"/>
      <c r="AV473" s="72"/>
      <c r="AW473" s="72"/>
      <c r="AX473" s="75"/>
      <c r="AY473" s="19"/>
      <c r="AZ473" s="19"/>
    </row>
    <row r="474" spans="2:52" ht="21" customHeight="1" x14ac:dyDescent="0.25">
      <c r="B474" s="2"/>
      <c r="C474" s="3" t="s">
        <v>25</v>
      </c>
      <c r="D474" s="9">
        <f>SUM(D470:D473)</f>
        <v>2</v>
      </c>
      <c r="G474" s="80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80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</row>
    <row r="475" spans="2:52" x14ac:dyDescent="0.25"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</row>
    <row r="476" spans="2:52" ht="15.75" x14ac:dyDescent="0.25">
      <c r="G476" s="100" t="s">
        <v>22</v>
      </c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1" t="s">
        <v>21</v>
      </c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46"/>
      <c r="AR476" s="46"/>
      <c r="AS476" s="46"/>
      <c r="AT476" s="46"/>
      <c r="AU476" s="46"/>
      <c r="AV476" s="46"/>
      <c r="AW476" s="46"/>
      <c r="AX476" s="46"/>
    </row>
    <row r="477" spans="2:52" ht="32.25" thickBot="1" x14ac:dyDescent="0.3">
      <c r="G477" s="102" t="s">
        <v>14</v>
      </c>
      <c r="H477" s="102"/>
      <c r="I477" s="102"/>
      <c r="J477" s="102"/>
      <c r="K477" s="102" t="s">
        <v>15</v>
      </c>
      <c r="L477" s="102"/>
      <c r="M477" s="102"/>
      <c r="N477" s="102"/>
      <c r="O477" s="102" t="s">
        <v>59</v>
      </c>
      <c r="P477" s="102"/>
      <c r="Q477" s="102" t="s">
        <v>16</v>
      </c>
      <c r="R477" s="102"/>
      <c r="S477" s="102"/>
      <c r="T477" s="102"/>
      <c r="U477" s="102"/>
      <c r="V477" s="102"/>
      <c r="W477" s="102"/>
      <c r="X477" s="102"/>
      <c r="Y477" s="102" t="s">
        <v>14</v>
      </c>
      <c r="Z477" s="102"/>
      <c r="AA477" s="102"/>
      <c r="AB477" s="102"/>
      <c r="AC477" s="102" t="s">
        <v>15</v>
      </c>
      <c r="AD477" s="102"/>
      <c r="AE477" s="102"/>
      <c r="AF477" s="102"/>
      <c r="AG477" s="102" t="s">
        <v>59</v>
      </c>
      <c r="AH477" s="102"/>
      <c r="AI477" s="102" t="s">
        <v>16</v>
      </c>
      <c r="AJ477" s="102"/>
      <c r="AK477" s="102"/>
      <c r="AL477" s="102"/>
      <c r="AM477" s="102"/>
      <c r="AN477" s="102"/>
      <c r="AO477" s="102"/>
      <c r="AP477" s="102"/>
      <c r="AQ477" s="76" t="s">
        <v>60</v>
      </c>
      <c r="AR477" s="76" t="s">
        <v>70</v>
      </c>
      <c r="AS477" s="76" t="s">
        <v>65</v>
      </c>
      <c r="AT477" s="76" t="s">
        <v>61</v>
      </c>
      <c r="AU477" s="76" t="s">
        <v>62</v>
      </c>
      <c r="AV477" s="76" t="s">
        <v>27</v>
      </c>
      <c r="AW477" s="76" t="s">
        <v>64</v>
      </c>
      <c r="AX477" s="76" t="s">
        <v>63</v>
      </c>
      <c r="AY477" s="76" t="s">
        <v>66</v>
      </c>
      <c r="AZ477" s="76" t="s">
        <v>67</v>
      </c>
    </row>
    <row r="478" spans="2:52" ht="48" thickBot="1" x14ac:dyDescent="0.3">
      <c r="B478" s="21">
        <v>0.54166666666666663</v>
      </c>
      <c r="C478" s="14" t="s">
        <v>13</v>
      </c>
      <c r="D478" s="8" t="s">
        <v>6</v>
      </c>
      <c r="F478" s="13"/>
      <c r="G478" s="81" t="s">
        <v>20</v>
      </c>
      <c r="H478" s="64" t="s">
        <v>17</v>
      </c>
      <c r="I478" s="64" t="s">
        <v>19</v>
      </c>
      <c r="J478" s="64" t="s">
        <v>18</v>
      </c>
      <c r="K478" s="64" t="s">
        <v>52</v>
      </c>
      <c r="L478" s="64" t="s">
        <v>51</v>
      </c>
      <c r="M478" s="64" t="s">
        <v>53</v>
      </c>
      <c r="N478" s="64" t="s">
        <v>54</v>
      </c>
      <c r="O478" s="64" t="s">
        <v>20</v>
      </c>
      <c r="P478" s="64" t="s">
        <v>19</v>
      </c>
      <c r="Q478" s="64" t="s">
        <v>55</v>
      </c>
      <c r="R478" s="64" t="s">
        <v>56</v>
      </c>
      <c r="S478" s="64" t="s">
        <v>52</v>
      </c>
      <c r="T478" s="64" t="s">
        <v>51</v>
      </c>
      <c r="U478" s="64" t="s">
        <v>57</v>
      </c>
      <c r="V478" s="64" t="s">
        <v>58</v>
      </c>
      <c r="W478" s="64" t="s">
        <v>53</v>
      </c>
      <c r="X478" s="64" t="s">
        <v>54</v>
      </c>
      <c r="Y478" s="81" t="s">
        <v>20</v>
      </c>
      <c r="Z478" s="64" t="s">
        <v>17</v>
      </c>
      <c r="AA478" s="64" t="s">
        <v>19</v>
      </c>
      <c r="AB478" s="64" t="s">
        <v>18</v>
      </c>
      <c r="AC478" s="64" t="s">
        <v>52</v>
      </c>
      <c r="AD478" s="64" t="s">
        <v>51</v>
      </c>
      <c r="AE478" s="64" t="s">
        <v>53</v>
      </c>
      <c r="AF478" s="64" t="s">
        <v>54</v>
      </c>
      <c r="AG478" s="64" t="s">
        <v>20</v>
      </c>
      <c r="AH478" s="64" t="s">
        <v>19</v>
      </c>
      <c r="AI478" s="64" t="s">
        <v>55</v>
      </c>
      <c r="AJ478" s="64" t="s">
        <v>56</v>
      </c>
      <c r="AK478" s="64" t="s">
        <v>52</v>
      </c>
      <c r="AL478" s="64" t="s">
        <v>51</v>
      </c>
      <c r="AM478" s="64" t="s">
        <v>57</v>
      </c>
      <c r="AN478" s="64" t="s">
        <v>58</v>
      </c>
      <c r="AO478" s="64" t="s">
        <v>53</v>
      </c>
      <c r="AP478" s="64" t="s">
        <v>54</v>
      </c>
      <c r="AQ478" s="46"/>
      <c r="AR478" s="46"/>
      <c r="AS478" s="46"/>
      <c r="AT478" s="46"/>
      <c r="AU478" s="46"/>
      <c r="AV478" s="46"/>
      <c r="AW478" s="46"/>
      <c r="AX478" s="46"/>
    </row>
    <row r="479" spans="2:52" ht="16.5" customHeight="1" thickBot="1" x14ac:dyDescent="0.3">
      <c r="B479" s="1" t="s">
        <v>0</v>
      </c>
      <c r="C479" s="10">
        <v>1</v>
      </c>
      <c r="D479">
        <f>C479</f>
        <v>1</v>
      </c>
      <c r="F479" s="12" t="s">
        <v>0</v>
      </c>
      <c r="G479" s="77"/>
      <c r="H479" s="66"/>
      <c r="I479" s="66"/>
      <c r="J479" s="67"/>
      <c r="K479" s="65"/>
      <c r="L479" s="66"/>
      <c r="M479" s="66"/>
      <c r="N479" s="66"/>
      <c r="O479" s="65"/>
      <c r="P479" s="67">
        <v>1</v>
      </c>
      <c r="Q479" s="65"/>
      <c r="R479" s="66"/>
      <c r="S479" s="66"/>
      <c r="T479" s="66"/>
      <c r="U479" s="66"/>
      <c r="V479" s="66"/>
      <c r="W479" s="66"/>
      <c r="X479" s="67"/>
      <c r="Y479" s="77"/>
      <c r="Z479" s="66"/>
      <c r="AA479" s="66"/>
      <c r="AB479" s="66"/>
      <c r="AC479" s="65"/>
      <c r="AD479" s="66"/>
      <c r="AE479" s="66"/>
      <c r="AF479" s="67"/>
      <c r="AG479" s="66">
        <v>1</v>
      </c>
      <c r="AH479" s="67"/>
      <c r="AI479" s="66"/>
      <c r="AJ479" s="66"/>
      <c r="AK479" s="66"/>
      <c r="AL479" s="66"/>
      <c r="AM479" s="66"/>
      <c r="AN479" s="66"/>
      <c r="AO479" s="66"/>
      <c r="AP479" s="66"/>
      <c r="AQ479" s="65"/>
      <c r="AR479" s="65">
        <v>1</v>
      </c>
      <c r="AS479" s="65"/>
      <c r="AT479" s="65"/>
      <c r="AU479" s="65"/>
      <c r="AV479" s="65"/>
      <c r="AW479" s="65"/>
      <c r="AX479" s="68">
        <v>1</v>
      </c>
      <c r="AY479" s="17"/>
      <c r="AZ479" s="17"/>
    </row>
    <row r="480" spans="2:52" ht="16.5" customHeight="1" thickBot="1" x14ac:dyDescent="0.3">
      <c r="B480" s="1" t="s">
        <v>1</v>
      </c>
      <c r="C480" s="10"/>
      <c r="D480">
        <f t="shared" ref="D480:D482" si="52">C480</f>
        <v>0</v>
      </c>
      <c r="F480" s="1" t="s">
        <v>1</v>
      </c>
      <c r="G480" s="78"/>
      <c r="H480" s="46"/>
      <c r="I480" s="46"/>
      <c r="J480" s="70"/>
      <c r="K480" s="69"/>
      <c r="L480" s="46"/>
      <c r="M480" s="46"/>
      <c r="N480" s="46"/>
      <c r="O480" s="69"/>
      <c r="P480" s="70"/>
      <c r="Q480" s="69"/>
      <c r="R480" s="46"/>
      <c r="S480" s="46"/>
      <c r="T480" s="46"/>
      <c r="U480" s="46"/>
      <c r="V480" s="46"/>
      <c r="W480" s="46"/>
      <c r="X480" s="70"/>
      <c r="Y480" s="78"/>
      <c r="Z480" s="46"/>
      <c r="AA480" s="46"/>
      <c r="AB480" s="46"/>
      <c r="AC480" s="69"/>
      <c r="AD480" s="46"/>
      <c r="AE480" s="46"/>
      <c r="AF480" s="70"/>
      <c r="AG480" s="46"/>
      <c r="AH480" s="70"/>
      <c r="AI480" s="46"/>
      <c r="AJ480" s="46"/>
      <c r="AK480" s="46"/>
      <c r="AL480" s="46"/>
      <c r="AM480" s="46"/>
      <c r="AN480" s="46"/>
      <c r="AO480" s="46"/>
      <c r="AP480" s="46"/>
      <c r="AQ480" s="69"/>
      <c r="AR480" s="69"/>
      <c r="AS480" s="69"/>
      <c r="AT480" s="69"/>
      <c r="AU480" s="69"/>
      <c r="AV480" s="69"/>
      <c r="AW480" s="69"/>
      <c r="AX480" s="71"/>
      <c r="AY480" s="18"/>
      <c r="AZ480" s="18"/>
    </row>
    <row r="481" spans="2:52" ht="16.5" customHeight="1" thickBot="1" x14ac:dyDescent="0.3">
      <c r="B481" s="1" t="s">
        <v>2</v>
      </c>
      <c r="C481" s="10"/>
      <c r="D481">
        <f>C481</f>
        <v>0</v>
      </c>
      <c r="F481" s="1" t="s">
        <v>2</v>
      </c>
      <c r="G481" s="78"/>
      <c r="H481" s="46"/>
      <c r="I481" s="46"/>
      <c r="J481" s="70"/>
      <c r="K481" s="69"/>
      <c r="L481" s="46"/>
      <c r="M481" s="46"/>
      <c r="N481" s="46"/>
      <c r="O481" s="69"/>
      <c r="P481" s="70"/>
      <c r="Q481" s="69"/>
      <c r="R481" s="46"/>
      <c r="S481" s="46"/>
      <c r="T481" s="46"/>
      <c r="U481" s="46"/>
      <c r="V481" s="46"/>
      <c r="W481" s="46"/>
      <c r="X481" s="70"/>
      <c r="Y481" s="78"/>
      <c r="Z481" s="46"/>
      <c r="AA481" s="46"/>
      <c r="AB481" s="46"/>
      <c r="AC481" s="69"/>
      <c r="AD481" s="46"/>
      <c r="AE481" s="46"/>
      <c r="AF481" s="70"/>
      <c r="AG481" s="46"/>
      <c r="AH481" s="70"/>
      <c r="AI481" s="46"/>
      <c r="AJ481" s="46"/>
      <c r="AK481" s="46"/>
      <c r="AL481" s="46"/>
      <c r="AM481" s="46"/>
      <c r="AN481" s="46"/>
      <c r="AO481" s="46"/>
      <c r="AP481" s="46"/>
      <c r="AQ481" s="69"/>
      <c r="AR481" s="69"/>
      <c r="AS481" s="69"/>
      <c r="AT481" s="69"/>
      <c r="AU481" s="69"/>
      <c r="AV481" s="69"/>
      <c r="AW481" s="69"/>
      <c r="AX481" s="71"/>
      <c r="AY481" s="18"/>
      <c r="AZ481" s="18"/>
    </row>
    <row r="482" spans="2:52" ht="16.5" customHeight="1" thickBot="1" x14ac:dyDescent="0.3">
      <c r="B482" s="1" t="s">
        <v>3</v>
      </c>
      <c r="C482" s="10"/>
      <c r="D482" s="7">
        <f t="shared" si="52"/>
        <v>0</v>
      </c>
      <c r="F482" s="1" t="s">
        <v>3</v>
      </c>
      <c r="G482" s="79"/>
      <c r="H482" s="73"/>
      <c r="I482" s="73"/>
      <c r="J482" s="74"/>
      <c r="K482" s="72"/>
      <c r="L482" s="73"/>
      <c r="M482" s="73"/>
      <c r="N482" s="73"/>
      <c r="O482" s="72"/>
      <c r="P482" s="74"/>
      <c r="Q482" s="72"/>
      <c r="R482" s="73"/>
      <c r="S482" s="73"/>
      <c r="T482" s="73"/>
      <c r="U482" s="73"/>
      <c r="V482" s="73"/>
      <c r="W482" s="73"/>
      <c r="X482" s="74"/>
      <c r="Y482" s="79"/>
      <c r="Z482" s="73"/>
      <c r="AA482" s="73"/>
      <c r="AB482" s="73"/>
      <c r="AC482" s="72"/>
      <c r="AD482" s="73"/>
      <c r="AE482" s="73"/>
      <c r="AF482" s="74"/>
      <c r="AG482" s="73"/>
      <c r="AH482" s="74"/>
      <c r="AI482" s="73"/>
      <c r="AJ482" s="73"/>
      <c r="AK482" s="73"/>
      <c r="AL482" s="73"/>
      <c r="AM482" s="73"/>
      <c r="AN482" s="73"/>
      <c r="AO482" s="73"/>
      <c r="AP482" s="73"/>
      <c r="AQ482" s="72"/>
      <c r="AR482" s="72"/>
      <c r="AS482" s="72"/>
      <c r="AT482" s="72"/>
      <c r="AU482" s="72"/>
      <c r="AV482" s="72"/>
      <c r="AW482" s="72"/>
      <c r="AX482" s="75"/>
      <c r="AY482" s="19"/>
      <c r="AZ482" s="19"/>
    </row>
    <row r="483" spans="2:52" ht="21" customHeight="1" x14ac:dyDescent="0.25">
      <c r="B483" s="2"/>
      <c r="C483" s="3" t="s">
        <v>25</v>
      </c>
      <c r="D483" s="9">
        <f>SUM(D479:D482)</f>
        <v>1</v>
      </c>
      <c r="G483" s="85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85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</row>
    <row r="484" spans="2:52" x14ac:dyDescent="0.25"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</row>
    <row r="485" spans="2:52" ht="15.75" x14ac:dyDescent="0.25">
      <c r="G485" s="100" t="s">
        <v>22</v>
      </c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1" t="s">
        <v>21</v>
      </c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46"/>
      <c r="AR485" s="46"/>
      <c r="AS485" s="46"/>
      <c r="AT485" s="46"/>
      <c r="AU485" s="46"/>
      <c r="AV485" s="46"/>
      <c r="AW485" s="46"/>
      <c r="AX485" s="46"/>
    </row>
    <row r="486" spans="2:52" ht="32.25" thickBot="1" x14ac:dyDescent="0.3">
      <c r="G486" s="102" t="s">
        <v>14</v>
      </c>
      <c r="H486" s="102"/>
      <c r="I486" s="102"/>
      <c r="J486" s="102"/>
      <c r="K486" s="102" t="s">
        <v>15</v>
      </c>
      <c r="L486" s="102"/>
      <c r="M486" s="102"/>
      <c r="N486" s="102"/>
      <c r="O486" s="102" t="s">
        <v>59</v>
      </c>
      <c r="P486" s="102"/>
      <c r="Q486" s="102" t="s">
        <v>16</v>
      </c>
      <c r="R486" s="102"/>
      <c r="S486" s="102"/>
      <c r="T486" s="102"/>
      <c r="U486" s="102"/>
      <c r="V486" s="102"/>
      <c r="W486" s="102"/>
      <c r="X486" s="102"/>
      <c r="Y486" s="102" t="s">
        <v>14</v>
      </c>
      <c r="Z486" s="102"/>
      <c r="AA486" s="102"/>
      <c r="AB486" s="102"/>
      <c r="AC486" s="102" t="s">
        <v>15</v>
      </c>
      <c r="AD486" s="102"/>
      <c r="AE486" s="102"/>
      <c r="AF486" s="102"/>
      <c r="AG486" s="102" t="s">
        <v>59</v>
      </c>
      <c r="AH486" s="102"/>
      <c r="AI486" s="102" t="s">
        <v>16</v>
      </c>
      <c r="AJ486" s="102"/>
      <c r="AK486" s="102"/>
      <c r="AL486" s="102"/>
      <c r="AM486" s="102"/>
      <c r="AN486" s="102"/>
      <c r="AO486" s="102"/>
      <c r="AP486" s="102"/>
      <c r="AQ486" s="76" t="s">
        <v>60</v>
      </c>
      <c r="AR486" s="76" t="s">
        <v>70</v>
      </c>
      <c r="AS486" s="76" t="s">
        <v>65</v>
      </c>
      <c r="AT486" s="76" t="s">
        <v>61</v>
      </c>
      <c r="AU486" s="76" t="s">
        <v>62</v>
      </c>
      <c r="AV486" s="76" t="s">
        <v>27</v>
      </c>
      <c r="AW486" s="76" t="s">
        <v>64</v>
      </c>
      <c r="AX486" s="76" t="s">
        <v>63</v>
      </c>
      <c r="AY486" s="76" t="s">
        <v>66</v>
      </c>
      <c r="AZ486" s="76" t="s">
        <v>67</v>
      </c>
    </row>
    <row r="487" spans="2:52" ht="48" thickBot="1" x14ac:dyDescent="0.3">
      <c r="B487" s="21">
        <v>0.55208333333333337</v>
      </c>
      <c r="C487" s="14" t="s">
        <v>13</v>
      </c>
      <c r="D487" s="8" t="s">
        <v>6</v>
      </c>
      <c r="F487" s="13"/>
      <c r="G487" s="81" t="s">
        <v>20</v>
      </c>
      <c r="H487" s="64" t="s">
        <v>17</v>
      </c>
      <c r="I487" s="64" t="s">
        <v>19</v>
      </c>
      <c r="J487" s="64" t="s">
        <v>18</v>
      </c>
      <c r="K487" s="64" t="s">
        <v>52</v>
      </c>
      <c r="L487" s="64" t="s">
        <v>51</v>
      </c>
      <c r="M487" s="64" t="s">
        <v>53</v>
      </c>
      <c r="N487" s="64" t="s">
        <v>54</v>
      </c>
      <c r="O487" s="64" t="s">
        <v>20</v>
      </c>
      <c r="P487" s="64" t="s">
        <v>19</v>
      </c>
      <c r="Q487" s="64" t="s">
        <v>55</v>
      </c>
      <c r="R487" s="64" t="s">
        <v>56</v>
      </c>
      <c r="S487" s="64" t="s">
        <v>52</v>
      </c>
      <c r="T487" s="64" t="s">
        <v>51</v>
      </c>
      <c r="U487" s="64" t="s">
        <v>57</v>
      </c>
      <c r="V487" s="64" t="s">
        <v>58</v>
      </c>
      <c r="W487" s="64" t="s">
        <v>53</v>
      </c>
      <c r="X487" s="64" t="s">
        <v>54</v>
      </c>
      <c r="Y487" s="81" t="s">
        <v>20</v>
      </c>
      <c r="Z487" s="64" t="s">
        <v>17</v>
      </c>
      <c r="AA487" s="64" t="s">
        <v>19</v>
      </c>
      <c r="AB487" s="64" t="s">
        <v>18</v>
      </c>
      <c r="AC487" s="64" t="s">
        <v>52</v>
      </c>
      <c r="AD487" s="64" t="s">
        <v>51</v>
      </c>
      <c r="AE487" s="64" t="s">
        <v>53</v>
      </c>
      <c r="AF487" s="64" t="s">
        <v>54</v>
      </c>
      <c r="AG487" s="64" t="s">
        <v>20</v>
      </c>
      <c r="AH487" s="64" t="s">
        <v>19</v>
      </c>
      <c r="AI487" s="64" t="s">
        <v>55</v>
      </c>
      <c r="AJ487" s="64" t="s">
        <v>56</v>
      </c>
      <c r="AK487" s="64" t="s">
        <v>52</v>
      </c>
      <c r="AL487" s="64" t="s">
        <v>51</v>
      </c>
      <c r="AM487" s="64" t="s">
        <v>57</v>
      </c>
      <c r="AN487" s="64" t="s">
        <v>58</v>
      </c>
      <c r="AO487" s="64" t="s">
        <v>53</v>
      </c>
      <c r="AP487" s="64" t="s">
        <v>54</v>
      </c>
      <c r="AQ487" s="46"/>
      <c r="AR487" s="46"/>
      <c r="AS487" s="46"/>
      <c r="AT487" s="46"/>
      <c r="AU487" s="46"/>
      <c r="AV487" s="46"/>
      <c r="AW487" s="46"/>
      <c r="AX487" s="46"/>
    </row>
    <row r="488" spans="2:52" ht="16.5" customHeight="1" thickBot="1" x14ac:dyDescent="0.3">
      <c r="B488" s="1" t="s">
        <v>0</v>
      </c>
      <c r="C488" s="10">
        <v>2</v>
      </c>
      <c r="D488">
        <f>C488</f>
        <v>2</v>
      </c>
      <c r="F488" s="12" t="s">
        <v>0</v>
      </c>
      <c r="G488" s="86"/>
      <c r="H488" s="66"/>
      <c r="I488" s="66"/>
      <c r="J488" s="67"/>
      <c r="K488" s="65"/>
      <c r="L488" s="66"/>
      <c r="M488" s="66"/>
      <c r="N488" s="66"/>
      <c r="O488" s="65">
        <v>2</v>
      </c>
      <c r="P488" s="67"/>
      <c r="Q488" s="65"/>
      <c r="R488" s="66"/>
      <c r="S488" s="66"/>
      <c r="T488" s="66"/>
      <c r="U488" s="66"/>
      <c r="V488" s="66"/>
      <c r="W488" s="66"/>
      <c r="X488" s="67"/>
      <c r="Y488" s="86"/>
      <c r="Z488" s="66"/>
      <c r="AA488" s="66"/>
      <c r="AB488" s="66"/>
      <c r="AC488" s="65"/>
      <c r="AD488" s="66"/>
      <c r="AE488" s="66"/>
      <c r="AF488" s="67"/>
      <c r="AG488" s="66"/>
      <c r="AH488" s="67">
        <v>2</v>
      </c>
      <c r="AI488" s="66"/>
      <c r="AJ488" s="66"/>
      <c r="AK488" s="66"/>
      <c r="AL488" s="66"/>
      <c r="AM488" s="66"/>
      <c r="AN488" s="66"/>
      <c r="AO488" s="66"/>
      <c r="AP488" s="66"/>
      <c r="AQ488" s="65"/>
      <c r="AR488" s="65">
        <v>1</v>
      </c>
      <c r="AS488" s="65"/>
      <c r="AT488" s="65"/>
      <c r="AU488" s="65"/>
      <c r="AV488" s="65"/>
      <c r="AW488" s="65"/>
      <c r="AX488" s="68">
        <v>1</v>
      </c>
      <c r="AY488" s="17"/>
      <c r="AZ488" s="17"/>
    </row>
    <row r="489" spans="2:52" ht="16.5" customHeight="1" thickBot="1" x14ac:dyDescent="0.3">
      <c r="B489" s="1" t="s">
        <v>1</v>
      </c>
      <c r="C489" s="10"/>
      <c r="D489">
        <f t="shared" ref="D489:D491" si="53">C489</f>
        <v>0</v>
      </c>
      <c r="F489" s="1" t="s">
        <v>1</v>
      </c>
      <c r="G489" s="87"/>
      <c r="H489" s="46"/>
      <c r="I489" s="46"/>
      <c r="J489" s="70"/>
      <c r="K489" s="69"/>
      <c r="L489" s="46"/>
      <c r="M489" s="46"/>
      <c r="N489" s="46"/>
      <c r="O489" s="69"/>
      <c r="P489" s="70"/>
      <c r="Q489" s="69"/>
      <c r="R489" s="46"/>
      <c r="S489" s="46"/>
      <c r="T489" s="46"/>
      <c r="U489" s="46"/>
      <c r="V489" s="46"/>
      <c r="W489" s="46"/>
      <c r="X489" s="70"/>
      <c r="Y489" s="87"/>
      <c r="Z489" s="46"/>
      <c r="AA489" s="46"/>
      <c r="AB489" s="46"/>
      <c r="AC489" s="69"/>
      <c r="AD489" s="46"/>
      <c r="AE489" s="46"/>
      <c r="AF489" s="70"/>
      <c r="AG489" s="46"/>
      <c r="AH489" s="70"/>
      <c r="AI489" s="46"/>
      <c r="AJ489" s="46"/>
      <c r="AK489" s="46"/>
      <c r="AL489" s="46"/>
      <c r="AM489" s="46"/>
      <c r="AN489" s="46"/>
      <c r="AO489" s="46"/>
      <c r="AP489" s="46"/>
      <c r="AQ489" s="69"/>
      <c r="AR489" s="69"/>
      <c r="AS489" s="69"/>
      <c r="AT489" s="69"/>
      <c r="AU489" s="69"/>
      <c r="AV489" s="69"/>
      <c r="AW489" s="69"/>
      <c r="AX489" s="71"/>
      <c r="AY489" s="18"/>
      <c r="AZ489" s="18"/>
    </row>
    <row r="490" spans="2:52" ht="16.5" customHeight="1" thickBot="1" x14ac:dyDescent="0.3">
      <c r="B490" s="1" t="s">
        <v>2</v>
      </c>
      <c r="C490" s="10"/>
      <c r="D490">
        <f>C490</f>
        <v>0</v>
      </c>
      <c r="F490" s="1" t="s">
        <v>2</v>
      </c>
      <c r="G490" s="87"/>
      <c r="H490" s="46"/>
      <c r="I490" s="46"/>
      <c r="J490" s="70"/>
      <c r="K490" s="69"/>
      <c r="L490" s="46"/>
      <c r="M490" s="46"/>
      <c r="N490" s="46"/>
      <c r="O490" s="69"/>
      <c r="P490" s="70"/>
      <c r="Q490" s="69"/>
      <c r="R490" s="46"/>
      <c r="S490" s="46"/>
      <c r="T490" s="46"/>
      <c r="U490" s="46"/>
      <c r="V490" s="46"/>
      <c r="W490" s="46"/>
      <c r="X490" s="70"/>
      <c r="Y490" s="87"/>
      <c r="Z490" s="46"/>
      <c r="AA490" s="46"/>
      <c r="AB490" s="46"/>
      <c r="AC490" s="69"/>
      <c r="AD490" s="46"/>
      <c r="AE490" s="46"/>
      <c r="AF490" s="70"/>
      <c r="AG490" s="46"/>
      <c r="AH490" s="70"/>
      <c r="AI490" s="46"/>
      <c r="AJ490" s="46"/>
      <c r="AK490" s="46"/>
      <c r="AL490" s="46"/>
      <c r="AM490" s="46"/>
      <c r="AN490" s="46"/>
      <c r="AO490" s="46"/>
      <c r="AP490" s="46"/>
      <c r="AQ490" s="69"/>
      <c r="AR490" s="69"/>
      <c r="AS490" s="69"/>
      <c r="AT490" s="69"/>
      <c r="AU490" s="69"/>
      <c r="AV490" s="69"/>
      <c r="AW490" s="69"/>
      <c r="AX490" s="71"/>
      <c r="AY490" s="18"/>
      <c r="AZ490" s="18"/>
    </row>
    <row r="491" spans="2:52" ht="16.5" customHeight="1" thickBot="1" x14ac:dyDescent="0.3">
      <c r="B491" s="1" t="s">
        <v>3</v>
      </c>
      <c r="C491" s="10"/>
      <c r="D491" s="7">
        <f t="shared" si="53"/>
        <v>0</v>
      </c>
      <c r="F491" s="1" t="s">
        <v>3</v>
      </c>
      <c r="G491" s="88"/>
      <c r="H491" s="73"/>
      <c r="I491" s="73"/>
      <c r="J491" s="74"/>
      <c r="K491" s="72"/>
      <c r="L491" s="73"/>
      <c r="M491" s="73"/>
      <c r="N491" s="73"/>
      <c r="O491" s="72"/>
      <c r="P491" s="74"/>
      <c r="Q491" s="72"/>
      <c r="R491" s="73"/>
      <c r="S491" s="73"/>
      <c r="T491" s="73"/>
      <c r="U491" s="73"/>
      <c r="V491" s="73"/>
      <c r="W491" s="73"/>
      <c r="X491" s="74"/>
      <c r="Y491" s="88"/>
      <c r="Z491" s="73"/>
      <c r="AA491" s="73"/>
      <c r="AB491" s="73"/>
      <c r="AC491" s="72"/>
      <c r="AD491" s="73"/>
      <c r="AE491" s="73"/>
      <c r="AF491" s="74"/>
      <c r="AG491" s="73"/>
      <c r="AH491" s="74"/>
      <c r="AI491" s="73"/>
      <c r="AJ491" s="73"/>
      <c r="AK491" s="73"/>
      <c r="AL491" s="73"/>
      <c r="AM491" s="73"/>
      <c r="AN491" s="73"/>
      <c r="AO491" s="73"/>
      <c r="AP491" s="73"/>
      <c r="AQ491" s="72"/>
      <c r="AR491" s="72"/>
      <c r="AS491" s="72"/>
      <c r="AT491" s="72"/>
      <c r="AU491" s="72"/>
      <c r="AV491" s="72"/>
      <c r="AW491" s="72"/>
      <c r="AX491" s="75"/>
      <c r="AY491" s="19"/>
      <c r="AZ491" s="19"/>
    </row>
    <row r="492" spans="2:52" ht="21" customHeight="1" x14ac:dyDescent="0.25">
      <c r="B492" s="2"/>
      <c r="C492" s="3" t="s">
        <v>25</v>
      </c>
      <c r="D492" s="9">
        <f>SUM(D488:D491)</f>
        <v>2</v>
      </c>
      <c r="G492" s="85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85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</row>
    <row r="493" spans="2:52" x14ac:dyDescent="0.25"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</row>
    <row r="494" spans="2:52" ht="15.75" x14ac:dyDescent="0.25">
      <c r="G494" s="100" t="s">
        <v>22</v>
      </c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1" t="s">
        <v>21</v>
      </c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46"/>
      <c r="AR494" s="46"/>
      <c r="AS494" s="46"/>
      <c r="AT494" s="46"/>
      <c r="AU494" s="46"/>
      <c r="AV494" s="46"/>
      <c r="AW494" s="46"/>
      <c r="AX494" s="46"/>
    </row>
    <row r="495" spans="2:52" ht="32.25" thickBot="1" x14ac:dyDescent="0.3">
      <c r="G495" s="102" t="s">
        <v>14</v>
      </c>
      <c r="H495" s="102"/>
      <c r="I495" s="102"/>
      <c r="J495" s="102"/>
      <c r="K495" s="102" t="s">
        <v>15</v>
      </c>
      <c r="L495" s="102"/>
      <c r="M495" s="102"/>
      <c r="N495" s="102"/>
      <c r="O495" s="102" t="s">
        <v>59</v>
      </c>
      <c r="P495" s="102"/>
      <c r="Q495" s="102" t="s">
        <v>16</v>
      </c>
      <c r="R495" s="102"/>
      <c r="S495" s="102"/>
      <c r="T495" s="102"/>
      <c r="U495" s="102"/>
      <c r="V495" s="102"/>
      <c r="W495" s="102"/>
      <c r="X495" s="102"/>
      <c r="Y495" s="102" t="s">
        <v>14</v>
      </c>
      <c r="Z495" s="102"/>
      <c r="AA495" s="102"/>
      <c r="AB495" s="102"/>
      <c r="AC495" s="102" t="s">
        <v>15</v>
      </c>
      <c r="AD495" s="102"/>
      <c r="AE495" s="102"/>
      <c r="AF495" s="102"/>
      <c r="AG495" s="102" t="s">
        <v>59</v>
      </c>
      <c r="AH495" s="102"/>
      <c r="AI495" s="102" t="s">
        <v>16</v>
      </c>
      <c r="AJ495" s="102"/>
      <c r="AK495" s="102"/>
      <c r="AL495" s="102"/>
      <c r="AM495" s="102"/>
      <c r="AN495" s="102"/>
      <c r="AO495" s="102"/>
      <c r="AP495" s="102"/>
      <c r="AQ495" s="76" t="s">
        <v>60</v>
      </c>
      <c r="AR495" s="76" t="s">
        <v>70</v>
      </c>
      <c r="AS495" s="76" t="s">
        <v>65</v>
      </c>
      <c r="AT495" s="76" t="s">
        <v>61</v>
      </c>
      <c r="AU495" s="76" t="s">
        <v>62</v>
      </c>
      <c r="AV495" s="76" t="s">
        <v>27</v>
      </c>
      <c r="AW495" s="76" t="s">
        <v>64</v>
      </c>
      <c r="AX495" s="76" t="s">
        <v>63</v>
      </c>
      <c r="AY495" s="76" t="s">
        <v>66</v>
      </c>
      <c r="AZ495" s="76" t="s">
        <v>67</v>
      </c>
    </row>
    <row r="496" spans="2:52" ht="48" thickBot="1" x14ac:dyDescent="0.3">
      <c r="B496" s="21">
        <v>0.5625</v>
      </c>
      <c r="C496" s="14" t="s">
        <v>13</v>
      </c>
      <c r="D496" s="8" t="s">
        <v>6</v>
      </c>
      <c r="F496" s="13"/>
      <c r="G496" s="81" t="s">
        <v>20</v>
      </c>
      <c r="H496" s="64" t="s">
        <v>17</v>
      </c>
      <c r="I496" s="64" t="s">
        <v>19</v>
      </c>
      <c r="J496" s="64" t="s">
        <v>18</v>
      </c>
      <c r="K496" s="64" t="s">
        <v>52</v>
      </c>
      <c r="L496" s="64" t="s">
        <v>51</v>
      </c>
      <c r="M496" s="64" t="s">
        <v>53</v>
      </c>
      <c r="N496" s="64" t="s">
        <v>54</v>
      </c>
      <c r="O496" s="64" t="s">
        <v>20</v>
      </c>
      <c r="P496" s="64" t="s">
        <v>19</v>
      </c>
      <c r="Q496" s="64" t="s">
        <v>55</v>
      </c>
      <c r="R496" s="64" t="s">
        <v>56</v>
      </c>
      <c r="S496" s="64" t="s">
        <v>52</v>
      </c>
      <c r="T496" s="64" t="s">
        <v>51</v>
      </c>
      <c r="U496" s="64" t="s">
        <v>57</v>
      </c>
      <c r="V496" s="64" t="s">
        <v>58</v>
      </c>
      <c r="W496" s="64" t="s">
        <v>53</v>
      </c>
      <c r="X496" s="64" t="s">
        <v>54</v>
      </c>
      <c r="Y496" s="81" t="s">
        <v>20</v>
      </c>
      <c r="Z496" s="64" t="s">
        <v>17</v>
      </c>
      <c r="AA496" s="64" t="s">
        <v>19</v>
      </c>
      <c r="AB496" s="64" t="s">
        <v>18</v>
      </c>
      <c r="AC496" s="64" t="s">
        <v>52</v>
      </c>
      <c r="AD496" s="64" t="s">
        <v>51</v>
      </c>
      <c r="AE496" s="64" t="s">
        <v>53</v>
      </c>
      <c r="AF496" s="64" t="s">
        <v>54</v>
      </c>
      <c r="AG496" s="64" t="s">
        <v>20</v>
      </c>
      <c r="AH496" s="64" t="s">
        <v>19</v>
      </c>
      <c r="AI496" s="64" t="s">
        <v>55</v>
      </c>
      <c r="AJ496" s="64" t="s">
        <v>56</v>
      </c>
      <c r="AK496" s="64" t="s">
        <v>52</v>
      </c>
      <c r="AL496" s="64" t="s">
        <v>51</v>
      </c>
      <c r="AM496" s="64" t="s">
        <v>57</v>
      </c>
      <c r="AN496" s="64" t="s">
        <v>58</v>
      </c>
      <c r="AO496" s="64" t="s">
        <v>53</v>
      </c>
      <c r="AP496" s="64" t="s">
        <v>54</v>
      </c>
      <c r="AQ496" s="46"/>
      <c r="AR496" s="46"/>
      <c r="AS496" s="46"/>
      <c r="AT496" s="46"/>
      <c r="AU496" s="46"/>
      <c r="AV496" s="46"/>
      <c r="AW496" s="46"/>
      <c r="AX496" s="46"/>
    </row>
    <row r="497" spans="2:52" ht="16.5" customHeight="1" thickBot="1" x14ac:dyDescent="0.3">
      <c r="B497" s="1" t="s">
        <v>0</v>
      </c>
      <c r="C497" s="10"/>
      <c r="D497">
        <f>C497</f>
        <v>0</v>
      </c>
      <c r="F497" s="12" t="s">
        <v>0</v>
      </c>
      <c r="G497" s="86"/>
      <c r="H497" s="66"/>
      <c r="I497" s="66"/>
      <c r="J497" s="67"/>
      <c r="K497" s="65"/>
      <c r="L497" s="66"/>
      <c r="M497" s="66"/>
      <c r="N497" s="66"/>
      <c r="O497" s="65"/>
      <c r="P497" s="67"/>
      <c r="Q497" s="65"/>
      <c r="R497" s="66"/>
      <c r="S497" s="66"/>
      <c r="T497" s="66"/>
      <c r="U497" s="66"/>
      <c r="V497" s="66"/>
      <c r="W497" s="66"/>
      <c r="X497" s="67"/>
      <c r="Y497" s="86"/>
      <c r="Z497" s="66"/>
      <c r="AA497" s="66"/>
      <c r="AB497" s="66"/>
      <c r="AC497" s="65"/>
      <c r="AD497" s="66"/>
      <c r="AE497" s="66"/>
      <c r="AF497" s="67"/>
      <c r="AG497" s="66"/>
      <c r="AH497" s="67"/>
      <c r="AI497" s="66"/>
      <c r="AJ497" s="66"/>
      <c r="AK497" s="66"/>
      <c r="AL497" s="66"/>
      <c r="AM497" s="66"/>
      <c r="AN497" s="66"/>
      <c r="AO497" s="66"/>
      <c r="AP497" s="66"/>
      <c r="AQ497" s="65"/>
      <c r="AR497" s="65"/>
      <c r="AS497" s="65"/>
      <c r="AT497" s="65"/>
      <c r="AU497" s="65"/>
      <c r="AV497" s="65"/>
      <c r="AW497" s="65"/>
      <c r="AX497" s="68"/>
      <c r="AY497" s="17"/>
      <c r="AZ497" s="17"/>
    </row>
    <row r="498" spans="2:52" ht="16.5" customHeight="1" thickBot="1" x14ac:dyDescent="0.3">
      <c r="B498" s="1" t="s">
        <v>1</v>
      </c>
      <c r="C498" s="10"/>
      <c r="D498">
        <f t="shared" ref="D498:D500" si="54">C498</f>
        <v>0</v>
      </c>
      <c r="F498" s="1" t="s">
        <v>1</v>
      </c>
      <c r="G498" s="87"/>
      <c r="H498" s="46"/>
      <c r="I498" s="46"/>
      <c r="J498" s="70"/>
      <c r="K498" s="69"/>
      <c r="L498" s="46"/>
      <c r="M498" s="46"/>
      <c r="N498" s="46"/>
      <c r="O498" s="69"/>
      <c r="P498" s="70"/>
      <c r="Q498" s="69"/>
      <c r="R498" s="46"/>
      <c r="S498" s="46"/>
      <c r="T498" s="46"/>
      <c r="U498" s="46"/>
      <c r="V498" s="46"/>
      <c r="W498" s="46"/>
      <c r="X498" s="70"/>
      <c r="Y498" s="87"/>
      <c r="Z498" s="46"/>
      <c r="AA498" s="46"/>
      <c r="AB498" s="46"/>
      <c r="AC498" s="69"/>
      <c r="AD498" s="46"/>
      <c r="AE498" s="46"/>
      <c r="AF498" s="70"/>
      <c r="AG498" s="46"/>
      <c r="AH498" s="70"/>
      <c r="AI498" s="46"/>
      <c r="AJ498" s="46"/>
      <c r="AK498" s="46"/>
      <c r="AL498" s="46"/>
      <c r="AM498" s="46"/>
      <c r="AN498" s="46"/>
      <c r="AO498" s="46"/>
      <c r="AP498" s="46"/>
      <c r="AQ498" s="69"/>
      <c r="AR498" s="69"/>
      <c r="AS498" s="69"/>
      <c r="AT498" s="69"/>
      <c r="AU498" s="69"/>
      <c r="AV498" s="69"/>
      <c r="AW498" s="69"/>
      <c r="AX498" s="71"/>
      <c r="AY498" s="18"/>
      <c r="AZ498" s="18"/>
    </row>
    <row r="499" spans="2:52" ht="16.5" customHeight="1" thickBot="1" x14ac:dyDescent="0.3">
      <c r="B499" s="1" t="s">
        <v>2</v>
      </c>
      <c r="C499" s="10"/>
      <c r="D499">
        <f>C499</f>
        <v>0</v>
      </c>
      <c r="F499" s="1" t="s">
        <v>2</v>
      </c>
      <c r="G499" s="87"/>
      <c r="H499" s="46"/>
      <c r="I499" s="46"/>
      <c r="J499" s="70"/>
      <c r="K499" s="69"/>
      <c r="L499" s="46"/>
      <c r="M499" s="46"/>
      <c r="N499" s="46"/>
      <c r="O499" s="69"/>
      <c r="P499" s="70"/>
      <c r="Q499" s="69"/>
      <c r="R499" s="46"/>
      <c r="S499" s="46"/>
      <c r="T499" s="46"/>
      <c r="U499" s="46"/>
      <c r="V499" s="46"/>
      <c r="W499" s="46"/>
      <c r="X499" s="70"/>
      <c r="Y499" s="87"/>
      <c r="Z499" s="46"/>
      <c r="AA499" s="46"/>
      <c r="AB499" s="46"/>
      <c r="AC499" s="69"/>
      <c r="AD499" s="46"/>
      <c r="AE499" s="46"/>
      <c r="AF499" s="70"/>
      <c r="AG499" s="46"/>
      <c r="AH499" s="70"/>
      <c r="AI499" s="46"/>
      <c r="AJ499" s="46"/>
      <c r="AK499" s="46"/>
      <c r="AL499" s="46"/>
      <c r="AM499" s="46"/>
      <c r="AN499" s="46"/>
      <c r="AO499" s="46"/>
      <c r="AP499" s="46"/>
      <c r="AQ499" s="69"/>
      <c r="AR499" s="69"/>
      <c r="AS499" s="69"/>
      <c r="AT499" s="69"/>
      <c r="AU499" s="69"/>
      <c r="AV499" s="69"/>
      <c r="AW499" s="69"/>
      <c r="AX499" s="71"/>
      <c r="AY499" s="18"/>
      <c r="AZ499" s="18"/>
    </row>
    <row r="500" spans="2:52" ht="16.5" customHeight="1" thickBot="1" x14ac:dyDescent="0.3">
      <c r="B500" s="1" t="s">
        <v>3</v>
      </c>
      <c r="C500" s="10"/>
      <c r="D500" s="7">
        <f t="shared" si="54"/>
        <v>0</v>
      </c>
      <c r="F500" s="1" t="s">
        <v>3</v>
      </c>
      <c r="G500" s="88"/>
      <c r="H500" s="73"/>
      <c r="I500" s="73"/>
      <c r="J500" s="74"/>
      <c r="K500" s="72"/>
      <c r="L500" s="73"/>
      <c r="M500" s="73"/>
      <c r="N500" s="73"/>
      <c r="O500" s="72"/>
      <c r="P500" s="74"/>
      <c r="Q500" s="72"/>
      <c r="R500" s="73"/>
      <c r="S500" s="73"/>
      <c r="T500" s="73"/>
      <c r="U500" s="73"/>
      <c r="V500" s="73"/>
      <c r="W500" s="73"/>
      <c r="X500" s="74"/>
      <c r="Y500" s="88"/>
      <c r="Z500" s="73"/>
      <c r="AA500" s="73"/>
      <c r="AB500" s="73"/>
      <c r="AC500" s="72"/>
      <c r="AD500" s="73"/>
      <c r="AE500" s="73"/>
      <c r="AF500" s="74"/>
      <c r="AG500" s="73"/>
      <c r="AH500" s="74"/>
      <c r="AI500" s="73"/>
      <c r="AJ500" s="73"/>
      <c r="AK500" s="73"/>
      <c r="AL500" s="73"/>
      <c r="AM500" s="73"/>
      <c r="AN500" s="73"/>
      <c r="AO500" s="73"/>
      <c r="AP500" s="73"/>
      <c r="AQ500" s="72"/>
      <c r="AR500" s="72"/>
      <c r="AS500" s="72"/>
      <c r="AT500" s="72"/>
      <c r="AU500" s="72"/>
      <c r="AV500" s="72"/>
      <c r="AW500" s="72"/>
      <c r="AX500" s="75"/>
      <c r="AY500" s="19"/>
      <c r="AZ500" s="19"/>
    </row>
    <row r="501" spans="2:52" ht="21" customHeight="1" x14ac:dyDescent="0.25">
      <c r="B501" s="2"/>
      <c r="C501" s="3" t="s">
        <v>25</v>
      </c>
      <c r="D501" s="9">
        <f>SUM(D497:D500)</f>
        <v>0</v>
      </c>
      <c r="G501" s="85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85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</row>
    <row r="502" spans="2:52" x14ac:dyDescent="0.25"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</row>
    <row r="503" spans="2:52" ht="15.75" x14ac:dyDescent="0.25">
      <c r="G503" s="100" t="s">
        <v>22</v>
      </c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1" t="s">
        <v>21</v>
      </c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46"/>
      <c r="AR503" s="46"/>
      <c r="AS503" s="46"/>
      <c r="AT503" s="46"/>
      <c r="AU503" s="46"/>
      <c r="AV503" s="46"/>
      <c r="AW503" s="46"/>
      <c r="AX503" s="46"/>
    </row>
    <row r="504" spans="2:52" ht="32.25" thickBot="1" x14ac:dyDescent="0.3">
      <c r="G504" s="102" t="s">
        <v>14</v>
      </c>
      <c r="H504" s="102"/>
      <c r="I504" s="102"/>
      <c r="J504" s="102"/>
      <c r="K504" s="102" t="s">
        <v>15</v>
      </c>
      <c r="L504" s="102"/>
      <c r="M504" s="102"/>
      <c r="N504" s="102"/>
      <c r="O504" s="102" t="s">
        <v>59</v>
      </c>
      <c r="P504" s="102"/>
      <c r="Q504" s="102" t="s">
        <v>16</v>
      </c>
      <c r="R504" s="102"/>
      <c r="S504" s="102"/>
      <c r="T504" s="102"/>
      <c r="U504" s="102"/>
      <c r="V504" s="102"/>
      <c r="W504" s="102"/>
      <c r="X504" s="102"/>
      <c r="Y504" s="102" t="s">
        <v>14</v>
      </c>
      <c r="Z504" s="102"/>
      <c r="AA504" s="102"/>
      <c r="AB504" s="102"/>
      <c r="AC504" s="102" t="s">
        <v>15</v>
      </c>
      <c r="AD504" s="102"/>
      <c r="AE504" s="102"/>
      <c r="AF504" s="102"/>
      <c r="AG504" s="102" t="s">
        <v>59</v>
      </c>
      <c r="AH504" s="102"/>
      <c r="AI504" s="102" t="s">
        <v>16</v>
      </c>
      <c r="AJ504" s="102"/>
      <c r="AK504" s="102"/>
      <c r="AL504" s="102"/>
      <c r="AM504" s="102"/>
      <c r="AN504" s="102"/>
      <c r="AO504" s="102"/>
      <c r="AP504" s="102"/>
      <c r="AQ504" s="76" t="s">
        <v>60</v>
      </c>
      <c r="AR504" s="76" t="s">
        <v>70</v>
      </c>
      <c r="AS504" s="76" t="s">
        <v>65</v>
      </c>
      <c r="AT504" s="76" t="s">
        <v>61</v>
      </c>
      <c r="AU504" s="76" t="s">
        <v>62</v>
      </c>
      <c r="AV504" s="76" t="s">
        <v>27</v>
      </c>
      <c r="AW504" s="76" t="s">
        <v>64</v>
      </c>
      <c r="AX504" s="76" t="s">
        <v>63</v>
      </c>
      <c r="AY504" s="76" t="s">
        <v>66</v>
      </c>
      <c r="AZ504" s="76" t="s">
        <v>67</v>
      </c>
    </row>
    <row r="505" spans="2:52" ht="48" thickBot="1" x14ac:dyDescent="0.3">
      <c r="B505" s="21">
        <v>0.57291666666666663</v>
      </c>
      <c r="C505" s="14" t="s">
        <v>13</v>
      </c>
      <c r="D505" s="8" t="s">
        <v>6</v>
      </c>
      <c r="F505" s="13"/>
      <c r="G505" s="81" t="s">
        <v>20</v>
      </c>
      <c r="H505" s="64" t="s">
        <v>17</v>
      </c>
      <c r="I505" s="64" t="s">
        <v>19</v>
      </c>
      <c r="J505" s="64" t="s">
        <v>18</v>
      </c>
      <c r="K505" s="64" t="s">
        <v>52</v>
      </c>
      <c r="L505" s="64" t="s">
        <v>51</v>
      </c>
      <c r="M505" s="64" t="s">
        <v>53</v>
      </c>
      <c r="N505" s="64" t="s">
        <v>54</v>
      </c>
      <c r="O505" s="64" t="s">
        <v>20</v>
      </c>
      <c r="P505" s="64" t="s">
        <v>19</v>
      </c>
      <c r="Q505" s="64" t="s">
        <v>55</v>
      </c>
      <c r="R505" s="64" t="s">
        <v>56</v>
      </c>
      <c r="S505" s="64" t="s">
        <v>52</v>
      </c>
      <c r="T505" s="64" t="s">
        <v>51</v>
      </c>
      <c r="U505" s="64" t="s">
        <v>57</v>
      </c>
      <c r="V505" s="64" t="s">
        <v>58</v>
      </c>
      <c r="W505" s="64" t="s">
        <v>53</v>
      </c>
      <c r="X505" s="64" t="s">
        <v>54</v>
      </c>
      <c r="Y505" s="81" t="s">
        <v>20</v>
      </c>
      <c r="Z505" s="64" t="s">
        <v>17</v>
      </c>
      <c r="AA505" s="64" t="s">
        <v>19</v>
      </c>
      <c r="AB505" s="64" t="s">
        <v>18</v>
      </c>
      <c r="AC505" s="64" t="s">
        <v>52</v>
      </c>
      <c r="AD505" s="64" t="s">
        <v>51</v>
      </c>
      <c r="AE505" s="64" t="s">
        <v>53</v>
      </c>
      <c r="AF505" s="64" t="s">
        <v>54</v>
      </c>
      <c r="AG505" s="64" t="s">
        <v>20</v>
      </c>
      <c r="AH505" s="64" t="s">
        <v>19</v>
      </c>
      <c r="AI505" s="64" t="s">
        <v>55</v>
      </c>
      <c r="AJ505" s="64" t="s">
        <v>56</v>
      </c>
      <c r="AK505" s="64" t="s">
        <v>52</v>
      </c>
      <c r="AL505" s="64" t="s">
        <v>51</v>
      </c>
      <c r="AM505" s="64" t="s">
        <v>57</v>
      </c>
      <c r="AN505" s="64" t="s">
        <v>58</v>
      </c>
      <c r="AO505" s="64" t="s">
        <v>53</v>
      </c>
      <c r="AP505" s="64" t="s">
        <v>54</v>
      </c>
      <c r="AQ505" s="46"/>
      <c r="AR505" s="46"/>
      <c r="AS505" s="46"/>
      <c r="AT505" s="46"/>
      <c r="AU505" s="46"/>
      <c r="AV505" s="46"/>
      <c r="AW505" s="46"/>
      <c r="AX505" s="46"/>
    </row>
    <row r="506" spans="2:52" ht="16.5" customHeight="1" thickBot="1" x14ac:dyDescent="0.3">
      <c r="B506" s="1" t="s">
        <v>0</v>
      </c>
      <c r="C506" s="10">
        <v>1</v>
      </c>
      <c r="D506">
        <f>C506</f>
        <v>1</v>
      </c>
      <c r="F506" s="12" t="s">
        <v>0</v>
      </c>
      <c r="G506" s="86"/>
      <c r="H506" s="66"/>
      <c r="I506" s="66"/>
      <c r="J506" s="67"/>
      <c r="K506" s="65"/>
      <c r="L506" s="66"/>
      <c r="M506" s="66"/>
      <c r="N506" s="66"/>
      <c r="O506" s="65"/>
      <c r="P506" s="67"/>
      <c r="Q506" s="65"/>
      <c r="R506" s="66"/>
      <c r="S506" s="66"/>
      <c r="T506" s="66"/>
      <c r="U506" s="66"/>
      <c r="V506" s="66">
        <v>1</v>
      </c>
      <c r="W506" s="66"/>
      <c r="X506" s="67"/>
      <c r="Y506" s="86"/>
      <c r="Z506" s="66"/>
      <c r="AA506" s="66"/>
      <c r="AB506" s="66"/>
      <c r="AC506" s="65"/>
      <c r="AD506" s="66"/>
      <c r="AE506" s="66"/>
      <c r="AF506" s="67"/>
      <c r="AG506" s="66"/>
      <c r="AH506" s="67"/>
      <c r="AI506" s="66">
        <v>1</v>
      </c>
      <c r="AJ506" s="66"/>
      <c r="AK506" s="66"/>
      <c r="AL506" s="66"/>
      <c r="AM506" s="66"/>
      <c r="AN506" s="66"/>
      <c r="AO506" s="66"/>
      <c r="AP506" s="66"/>
      <c r="AQ506" s="65"/>
      <c r="AR506" s="65"/>
      <c r="AS506" s="65"/>
      <c r="AT506" s="65"/>
      <c r="AU506" s="65"/>
      <c r="AV506" s="65"/>
      <c r="AW506" s="65"/>
      <c r="AX506" s="68"/>
      <c r="AY506" s="17"/>
      <c r="AZ506" s="17"/>
    </row>
    <row r="507" spans="2:52" ht="16.5" customHeight="1" thickBot="1" x14ac:dyDescent="0.3">
      <c r="B507" s="1" t="s">
        <v>1</v>
      </c>
      <c r="C507" s="10"/>
      <c r="D507">
        <f t="shared" ref="D507:D509" si="55">C507</f>
        <v>0</v>
      </c>
      <c r="F507" s="1" t="s">
        <v>1</v>
      </c>
      <c r="G507" s="87"/>
      <c r="H507" s="46"/>
      <c r="I507" s="46"/>
      <c r="J507" s="70"/>
      <c r="K507" s="69"/>
      <c r="L507" s="46"/>
      <c r="M507" s="46"/>
      <c r="N507" s="46"/>
      <c r="O507" s="69"/>
      <c r="P507" s="70"/>
      <c r="Q507" s="69"/>
      <c r="R507" s="46"/>
      <c r="S507" s="46"/>
      <c r="T507" s="46"/>
      <c r="U507" s="46"/>
      <c r="V507" s="46"/>
      <c r="W507" s="46"/>
      <c r="X507" s="70"/>
      <c r="Y507" s="87"/>
      <c r="Z507" s="46"/>
      <c r="AA507" s="46"/>
      <c r="AB507" s="46"/>
      <c r="AC507" s="69"/>
      <c r="AD507" s="46"/>
      <c r="AE507" s="46"/>
      <c r="AF507" s="70"/>
      <c r="AG507" s="46"/>
      <c r="AH507" s="70"/>
      <c r="AI507" s="46"/>
      <c r="AJ507" s="46"/>
      <c r="AK507" s="46"/>
      <c r="AL507" s="46"/>
      <c r="AM507" s="46"/>
      <c r="AN507" s="46"/>
      <c r="AO507" s="46"/>
      <c r="AP507" s="46"/>
      <c r="AQ507" s="69"/>
      <c r="AR507" s="69"/>
      <c r="AS507" s="69"/>
      <c r="AT507" s="69"/>
      <c r="AU507" s="69"/>
      <c r="AV507" s="69"/>
      <c r="AW507" s="69"/>
      <c r="AX507" s="71"/>
      <c r="AY507" s="18"/>
      <c r="AZ507" s="18"/>
    </row>
    <row r="508" spans="2:52" ht="16.5" customHeight="1" thickBot="1" x14ac:dyDescent="0.3">
      <c r="B508" s="1" t="s">
        <v>2</v>
      </c>
      <c r="C508" s="10"/>
      <c r="D508">
        <f>C508</f>
        <v>0</v>
      </c>
      <c r="F508" s="1" t="s">
        <v>2</v>
      </c>
      <c r="G508" s="87"/>
      <c r="H508" s="46"/>
      <c r="I508" s="46"/>
      <c r="J508" s="70"/>
      <c r="K508" s="69"/>
      <c r="L508" s="46"/>
      <c r="M508" s="46"/>
      <c r="N508" s="46"/>
      <c r="O508" s="69"/>
      <c r="P508" s="70"/>
      <c r="Q508" s="69"/>
      <c r="R508" s="46"/>
      <c r="S508" s="46"/>
      <c r="T508" s="46"/>
      <c r="U508" s="46"/>
      <c r="V508" s="46"/>
      <c r="W508" s="46"/>
      <c r="X508" s="70"/>
      <c r="Y508" s="87"/>
      <c r="Z508" s="46"/>
      <c r="AA508" s="46"/>
      <c r="AB508" s="46"/>
      <c r="AC508" s="69"/>
      <c r="AD508" s="46"/>
      <c r="AE508" s="46"/>
      <c r="AF508" s="70"/>
      <c r="AG508" s="46"/>
      <c r="AH508" s="70"/>
      <c r="AI508" s="46"/>
      <c r="AJ508" s="46"/>
      <c r="AK508" s="46"/>
      <c r="AL508" s="46"/>
      <c r="AM508" s="46"/>
      <c r="AN508" s="46"/>
      <c r="AO508" s="46"/>
      <c r="AP508" s="46"/>
      <c r="AQ508" s="69"/>
      <c r="AR508" s="69"/>
      <c r="AS508" s="69"/>
      <c r="AT508" s="69"/>
      <c r="AU508" s="69"/>
      <c r="AV508" s="69"/>
      <c r="AW508" s="69"/>
      <c r="AX508" s="71"/>
      <c r="AY508" s="18"/>
      <c r="AZ508" s="18"/>
    </row>
    <row r="509" spans="2:52" ht="16.5" customHeight="1" thickBot="1" x14ac:dyDescent="0.3">
      <c r="B509" s="1" t="s">
        <v>3</v>
      </c>
      <c r="C509" s="10"/>
      <c r="D509" s="7">
        <f t="shared" si="55"/>
        <v>0</v>
      </c>
      <c r="F509" s="1" t="s">
        <v>3</v>
      </c>
      <c r="G509" s="88"/>
      <c r="H509" s="73"/>
      <c r="I509" s="73"/>
      <c r="J509" s="74"/>
      <c r="K509" s="72"/>
      <c r="L509" s="73"/>
      <c r="M509" s="73"/>
      <c r="N509" s="73"/>
      <c r="O509" s="72"/>
      <c r="P509" s="74"/>
      <c r="Q509" s="72"/>
      <c r="R509" s="73"/>
      <c r="S509" s="73"/>
      <c r="T509" s="73"/>
      <c r="U509" s="73"/>
      <c r="V509" s="73"/>
      <c r="W509" s="73"/>
      <c r="X509" s="74"/>
      <c r="Y509" s="88"/>
      <c r="Z509" s="73"/>
      <c r="AA509" s="73"/>
      <c r="AB509" s="73"/>
      <c r="AC509" s="72"/>
      <c r="AD509" s="73"/>
      <c r="AE509" s="73"/>
      <c r="AF509" s="74"/>
      <c r="AG509" s="73"/>
      <c r="AH509" s="74"/>
      <c r="AI509" s="73"/>
      <c r="AJ509" s="73"/>
      <c r="AK509" s="73"/>
      <c r="AL509" s="73"/>
      <c r="AM509" s="73"/>
      <c r="AN509" s="73"/>
      <c r="AO509" s="73"/>
      <c r="AP509" s="73"/>
      <c r="AQ509" s="72"/>
      <c r="AR509" s="72"/>
      <c r="AS509" s="72"/>
      <c r="AT509" s="72"/>
      <c r="AU509" s="72"/>
      <c r="AV509" s="72"/>
      <c r="AW509" s="72"/>
      <c r="AX509" s="75"/>
      <c r="AY509" s="19"/>
      <c r="AZ509" s="19"/>
    </row>
    <row r="510" spans="2:52" ht="21" customHeight="1" x14ac:dyDescent="0.25">
      <c r="B510" s="2"/>
      <c r="C510" s="3" t="s">
        <v>25</v>
      </c>
      <c r="D510" s="9">
        <f>SUM(D506:D509)</f>
        <v>1</v>
      </c>
      <c r="G510" s="85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85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</row>
    <row r="511" spans="2:52" x14ac:dyDescent="0.25"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</row>
    <row r="512" spans="2:52" ht="15.75" x14ac:dyDescent="0.25">
      <c r="G512" s="100" t="s">
        <v>22</v>
      </c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1" t="s">
        <v>21</v>
      </c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46"/>
      <c r="AR512" s="46"/>
      <c r="AS512" s="46"/>
      <c r="AT512" s="46"/>
      <c r="AU512" s="46"/>
      <c r="AV512" s="46"/>
      <c r="AW512" s="46"/>
      <c r="AX512" s="46"/>
    </row>
    <row r="513" spans="2:52" ht="32.25" thickBot="1" x14ac:dyDescent="0.3">
      <c r="G513" s="102" t="s">
        <v>14</v>
      </c>
      <c r="H513" s="102"/>
      <c r="I513" s="102"/>
      <c r="J513" s="102"/>
      <c r="K513" s="102" t="s">
        <v>15</v>
      </c>
      <c r="L513" s="102"/>
      <c r="M513" s="102"/>
      <c r="N513" s="102"/>
      <c r="O513" s="102" t="s">
        <v>59</v>
      </c>
      <c r="P513" s="102"/>
      <c r="Q513" s="102" t="s">
        <v>16</v>
      </c>
      <c r="R513" s="102"/>
      <c r="S513" s="102"/>
      <c r="T513" s="102"/>
      <c r="U513" s="102"/>
      <c r="V513" s="102"/>
      <c r="W513" s="102"/>
      <c r="X513" s="102"/>
      <c r="Y513" s="102" t="s">
        <v>14</v>
      </c>
      <c r="Z513" s="102"/>
      <c r="AA513" s="102"/>
      <c r="AB513" s="102"/>
      <c r="AC513" s="102" t="s">
        <v>15</v>
      </c>
      <c r="AD513" s="102"/>
      <c r="AE513" s="102"/>
      <c r="AF513" s="102"/>
      <c r="AG513" s="102" t="s">
        <v>59</v>
      </c>
      <c r="AH513" s="102"/>
      <c r="AI513" s="102" t="s">
        <v>16</v>
      </c>
      <c r="AJ513" s="102"/>
      <c r="AK513" s="102"/>
      <c r="AL513" s="102"/>
      <c r="AM513" s="102"/>
      <c r="AN513" s="102"/>
      <c r="AO513" s="102"/>
      <c r="AP513" s="102"/>
      <c r="AQ513" s="76" t="s">
        <v>60</v>
      </c>
      <c r="AR513" s="76" t="s">
        <v>70</v>
      </c>
      <c r="AS513" s="76" t="s">
        <v>65</v>
      </c>
      <c r="AT513" s="76" t="s">
        <v>61</v>
      </c>
      <c r="AU513" s="76" t="s">
        <v>62</v>
      </c>
      <c r="AV513" s="76" t="s">
        <v>27</v>
      </c>
      <c r="AW513" s="76" t="s">
        <v>64</v>
      </c>
      <c r="AX513" s="76" t="s">
        <v>63</v>
      </c>
      <c r="AY513" s="76" t="s">
        <v>66</v>
      </c>
      <c r="AZ513" s="76" t="s">
        <v>67</v>
      </c>
    </row>
    <row r="514" spans="2:52" ht="48" thickBot="1" x14ac:dyDescent="0.3">
      <c r="B514" s="20">
        <v>0.58333333333333404</v>
      </c>
      <c r="C514" s="14" t="s">
        <v>13</v>
      </c>
      <c r="D514" s="8" t="s">
        <v>6</v>
      </c>
      <c r="F514" s="13"/>
      <c r="G514" s="81" t="s">
        <v>20</v>
      </c>
      <c r="H514" s="64" t="s">
        <v>17</v>
      </c>
      <c r="I514" s="64" t="s">
        <v>19</v>
      </c>
      <c r="J514" s="64" t="s">
        <v>18</v>
      </c>
      <c r="K514" s="64" t="s">
        <v>52</v>
      </c>
      <c r="L514" s="64" t="s">
        <v>51</v>
      </c>
      <c r="M514" s="64" t="s">
        <v>53</v>
      </c>
      <c r="N514" s="64" t="s">
        <v>54</v>
      </c>
      <c r="O514" s="64" t="s">
        <v>20</v>
      </c>
      <c r="P514" s="64" t="s">
        <v>19</v>
      </c>
      <c r="Q514" s="64" t="s">
        <v>55</v>
      </c>
      <c r="R514" s="64" t="s">
        <v>56</v>
      </c>
      <c r="S514" s="64" t="s">
        <v>52</v>
      </c>
      <c r="T514" s="64" t="s">
        <v>51</v>
      </c>
      <c r="U514" s="64" t="s">
        <v>57</v>
      </c>
      <c r="V514" s="64" t="s">
        <v>58</v>
      </c>
      <c r="W514" s="64" t="s">
        <v>53</v>
      </c>
      <c r="X514" s="64" t="s">
        <v>54</v>
      </c>
      <c r="Y514" s="81" t="s">
        <v>20</v>
      </c>
      <c r="Z514" s="64" t="s">
        <v>17</v>
      </c>
      <c r="AA514" s="64" t="s">
        <v>19</v>
      </c>
      <c r="AB514" s="64" t="s">
        <v>18</v>
      </c>
      <c r="AC514" s="64" t="s">
        <v>52</v>
      </c>
      <c r="AD514" s="64" t="s">
        <v>51</v>
      </c>
      <c r="AE514" s="64" t="s">
        <v>53</v>
      </c>
      <c r="AF514" s="64" t="s">
        <v>54</v>
      </c>
      <c r="AG514" s="64" t="s">
        <v>20</v>
      </c>
      <c r="AH514" s="64" t="s">
        <v>19</v>
      </c>
      <c r="AI514" s="64" t="s">
        <v>55</v>
      </c>
      <c r="AJ514" s="64" t="s">
        <v>56</v>
      </c>
      <c r="AK514" s="64" t="s">
        <v>52</v>
      </c>
      <c r="AL514" s="64" t="s">
        <v>51</v>
      </c>
      <c r="AM514" s="64" t="s">
        <v>57</v>
      </c>
      <c r="AN514" s="64" t="s">
        <v>58</v>
      </c>
      <c r="AO514" s="64" t="s">
        <v>53</v>
      </c>
      <c r="AP514" s="64" t="s">
        <v>54</v>
      </c>
      <c r="AQ514" s="46"/>
      <c r="AR514" s="46"/>
      <c r="AS514" s="46"/>
      <c r="AT514" s="46"/>
      <c r="AU514" s="46"/>
      <c r="AV514" s="46"/>
      <c r="AW514" s="46"/>
      <c r="AX514" s="46"/>
    </row>
    <row r="515" spans="2:52" ht="16.5" customHeight="1" thickBot="1" x14ac:dyDescent="0.3">
      <c r="B515" s="1" t="s">
        <v>0</v>
      </c>
      <c r="C515" s="10"/>
      <c r="D515">
        <f>C515</f>
        <v>0</v>
      </c>
      <c r="F515" s="12" t="s">
        <v>0</v>
      </c>
      <c r="G515" s="86"/>
      <c r="H515" s="66"/>
      <c r="I515" s="66"/>
      <c r="J515" s="67"/>
      <c r="K515" s="65"/>
      <c r="L515" s="66"/>
      <c r="M515" s="66"/>
      <c r="N515" s="66"/>
      <c r="O515" s="65"/>
      <c r="P515" s="67"/>
      <c r="Q515" s="65"/>
      <c r="R515" s="66"/>
      <c r="S515" s="66"/>
      <c r="T515" s="66"/>
      <c r="U515" s="66"/>
      <c r="V515" s="66"/>
      <c r="W515" s="66"/>
      <c r="X515" s="67"/>
      <c r="Y515" s="86"/>
      <c r="Z515" s="66"/>
      <c r="AA515" s="66"/>
      <c r="AB515" s="66"/>
      <c r="AC515" s="65"/>
      <c r="AD515" s="66"/>
      <c r="AE515" s="66"/>
      <c r="AF515" s="67"/>
      <c r="AG515" s="66"/>
      <c r="AH515" s="67"/>
      <c r="AI515" s="66"/>
      <c r="AJ515" s="66"/>
      <c r="AK515" s="66"/>
      <c r="AL515" s="66"/>
      <c r="AM515" s="66"/>
      <c r="AN515" s="66"/>
      <c r="AO515" s="66"/>
      <c r="AP515" s="66"/>
      <c r="AQ515" s="65"/>
      <c r="AR515" s="65"/>
      <c r="AS515" s="65"/>
      <c r="AT515" s="65"/>
      <c r="AU515" s="65"/>
      <c r="AV515" s="65"/>
      <c r="AW515" s="65"/>
      <c r="AX515" s="68"/>
      <c r="AY515" s="17"/>
      <c r="AZ515" s="17"/>
    </row>
    <row r="516" spans="2:52" ht="16.5" customHeight="1" thickBot="1" x14ac:dyDescent="0.3">
      <c r="B516" s="1" t="s">
        <v>1</v>
      </c>
      <c r="C516" s="10">
        <v>2</v>
      </c>
      <c r="D516">
        <f t="shared" ref="D516:D518" si="56">C516</f>
        <v>2</v>
      </c>
      <c r="F516" s="1" t="s">
        <v>1</v>
      </c>
      <c r="G516" s="87"/>
      <c r="H516" s="46"/>
      <c r="I516" s="46"/>
      <c r="J516" s="70"/>
      <c r="K516" s="69">
        <v>1</v>
      </c>
      <c r="L516" s="46"/>
      <c r="M516" s="46"/>
      <c r="N516" s="46"/>
      <c r="O516" s="69"/>
      <c r="P516" s="70"/>
      <c r="Q516" s="69"/>
      <c r="R516" s="46"/>
      <c r="S516" s="46"/>
      <c r="T516" s="46"/>
      <c r="U516" s="46"/>
      <c r="V516" s="46"/>
      <c r="W516" s="46"/>
      <c r="X516" s="70">
        <v>1</v>
      </c>
      <c r="Y516" s="87"/>
      <c r="Z516" s="46"/>
      <c r="AA516" s="46"/>
      <c r="AB516" s="46"/>
      <c r="AC516" s="69"/>
      <c r="AD516" s="46">
        <v>1</v>
      </c>
      <c r="AE516" s="46"/>
      <c r="AF516" s="70">
        <v>1</v>
      </c>
      <c r="AG516" s="46"/>
      <c r="AH516" s="70"/>
      <c r="AI516" s="46"/>
      <c r="AJ516" s="46"/>
      <c r="AK516" s="46"/>
      <c r="AL516" s="46"/>
      <c r="AM516" s="46"/>
      <c r="AN516" s="46"/>
      <c r="AO516" s="46"/>
      <c r="AP516" s="46"/>
      <c r="AQ516" s="69"/>
      <c r="AR516" s="69"/>
      <c r="AS516" s="69"/>
      <c r="AT516" s="69"/>
      <c r="AU516" s="69"/>
      <c r="AV516" s="69"/>
      <c r="AW516" s="69"/>
      <c r="AX516" s="71"/>
      <c r="AY516" s="18"/>
      <c r="AZ516" s="18"/>
    </row>
    <row r="517" spans="2:52" ht="16.5" customHeight="1" thickBot="1" x14ac:dyDescent="0.3">
      <c r="B517" s="1" t="s">
        <v>2</v>
      </c>
      <c r="C517" s="10"/>
      <c r="D517">
        <f>C517</f>
        <v>0</v>
      </c>
      <c r="F517" s="1" t="s">
        <v>2</v>
      </c>
      <c r="G517" s="87"/>
      <c r="H517" s="46"/>
      <c r="I517" s="46"/>
      <c r="J517" s="70"/>
      <c r="K517" s="69"/>
      <c r="L517" s="46"/>
      <c r="M517" s="46"/>
      <c r="N517" s="46"/>
      <c r="O517" s="69"/>
      <c r="P517" s="70"/>
      <c r="Q517" s="69"/>
      <c r="R517" s="46"/>
      <c r="S517" s="46"/>
      <c r="T517" s="46"/>
      <c r="U517" s="46"/>
      <c r="V517" s="46"/>
      <c r="W517" s="46"/>
      <c r="X517" s="70"/>
      <c r="Y517" s="87"/>
      <c r="Z517" s="46"/>
      <c r="AA517" s="46"/>
      <c r="AB517" s="46"/>
      <c r="AC517" s="69"/>
      <c r="AD517" s="46"/>
      <c r="AE517" s="46"/>
      <c r="AF517" s="70"/>
      <c r="AG517" s="46"/>
      <c r="AH517" s="70"/>
      <c r="AI517" s="46"/>
      <c r="AJ517" s="46"/>
      <c r="AK517" s="46"/>
      <c r="AL517" s="46"/>
      <c r="AM517" s="46"/>
      <c r="AN517" s="46"/>
      <c r="AO517" s="46"/>
      <c r="AP517" s="46"/>
      <c r="AQ517" s="69"/>
      <c r="AR517" s="69"/>
      <c r="AS517" s="69"/>
      <c r="AT517" s="69"/>
      <c r="AU517" s="69"/>
      <c r="AV517" s="69"/>
      <c r="AW517" s="69"/>
      <c r="AX517" s="71"/>
      <c r="AY517" s="18"/>
      <c r="AZ517" s="18"/>
    </row>
    <row r="518" spans="2:52" ht="16.5" customHeight="1" thickBot="1" x14ac:dyDescent="0.3">
      <c r="B518" s="1" t="s">
        <v>3</v>
      </c>
      <c r="C518" s="10"/>
      <c r="D518" s="7">
        <f t="shared" si="56"/>
        <v>0</v>
      </c>
      <c r="F518" s="1" t="s">
        <v>3</v>
      </c>
      <c r="G518" s="88"/>
      <c r="H518" s="73"/>
      <c r="I518" s="73"/>
      <c r="J518" s="74"/>
      <c r="K518" s="72"/>
      <c r="L518" s="73"/>
      <c r="M518" s="73"/>
      <c r="N518" s="73"/>
      <c r="O518" s="72"/>
      <c r="P518" s="74"/>
      <c r="Q518" s="72"/>
      <c r="R518" s="73"/>
      <c r="S518" s="73"/>
      <c r="T518" s="73"/>
      <c r="U518" s="73"/>
      <c r="V518" s="73"/>
      <c r="W518" s="73"/>
      <c r="X518" s="74"/>
      <c r="Y518" s="88"/>
      <c r="Z518" s="73"/>
      <c r="AA518" s="73"/>
      <c r="AB518" s="73"/>
      <c r="AC518" s="72"/>
      <c r="AD518" s="73"/>
      <c r="AE518" s="73"/>
      <c r="AF518" s="74"/>
      <c r="AG518" s="73"/>
      <c r="AH518" s="74"/>
      <c r="AI518" s="73"/>
      <c r="AJ518" s="73"/>
      <c r="AK518" s="73"/>
      <c r="AL518" s="73"/>
      <c r="AM518" s="73"/>
      <c r="AN518" s="73"/>
      <c r="AO518" s="73"/>
      <c r="AP518" s="73"/>
      <c r="AQ518" s="72"/>
      <c r="AR518" s="72"/>
      <c r="AS518" s="72"/>
      <c r="AT518" s="72"/>
      <c r="AU518" s="72"/>
      <c r="AV518" s="72"/>
      <c r="AW518" s="72"/>
      <c r="AX518" s="75"/>
      <c r="AY518" s="19"/>
      <c r="AZ518" s="19"/>
    </row>
    <row r="519" spans="2:52" ht="21" customHeight="1" x14ac:dyDescent="0.25">
      <c r="B519" s="2"/>
      <c r="C519" s="3" t="s">
        <v>25</v>
      </c>
      <c r="D519" s="9">
        <f>SUM(D515:D518)</f>
        <v>2</v>
      </c>
      <c r="G519" s="85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85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</row>
    <row r="520" spans="2:52" x14ac:dyDescent="0.25"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</row>
    <row r="521" spans="2:52" ht="15.75" x14ac:dyDescent="0.25">
      <c r="G521" s="100" t="s">
        <v>22</v>
      </c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1" t="s">
        <v>21</v>
      </c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46"/>
      <c r="AR521" s="46"/>
      <c r="AS521" s="46"/>
      <c r="AT521" s="46"/>
      <c r="AU521" s="46"/>
      <c r="AV521" s="46"/>
      <c r="AW521" s="46"/>
      <c r="AX521" s="46"/>
    </row>
    <row r="522" spans="2:52" ht="32.25" thickBot="1" x14ac:dyDescent="0.3">
      <c r="G522" s="102" t="s">
        <v>14</v>
      </c>
      <c r="H522" s="102"/>
      <c r="I522" s="102"/>
      <c r="J522" s="102"/>
      <c r="K522" s="102" t="s">
        <v>15</v>
      </c>
      <c r="L522" s="102"/>
      <c r="M522" s="102"/>
      <c r="N522" s="102"/>
      <c r="O522" s="102" t="s">
        <v>59</v>
      </c>
      <c r="P522" s="102"/>
      <c r="Q522" s="102" t="s">
        <v>16</v>
      </c>
      <c r="R522" s="102"/>
      <c r="S522" s="102"/>
      <c r="T522" s="102"/>
      <c r="U522" s="102"/>
      <c r="V522" s="102"/>
      <c r="W522" s="102"/>
      <c r="X522" s="102"/>
      <c r="Y522" s="102" t="s">
        <v>14</v>
      </c>
      <c r="Z522" s="102"/>
      <c r="AA522" s="102"/>
      <c r="AB522" s="102"/>
      <c r="AC522" s="102" t="s">
        <v>15</v>
      </c>
      <c r="AD522" s="102"/>
      <c r="AE522" s="102"/>
      <c r="AF522" s="102"/>
      <c r="AG522" s="102" t="s">
        <v>59</v>
      </c>
      <c r="AH522" s="102"/>
      <c r="AI522" s="102" t="s">
        <v>16</v>
      </c>
      <c r="AJ522" s="102"/>
      <c r="AK522" s="102"/>
      <c r="AL522" s="102"/>
      <c r="AM522" s="102"/>
      <c r="AN522" s="102"/>
      <c r="AO522" s="102"/>
      <c r="AP522" s="102"/>
      <c r="AQ522" s="76" t="s">
        <v>60</v>
      </c>
      <c r="AR522" s="76" t="s">
        <v>70</v>
      </c>
      <c r="AS522" s="76" t="s">
        <v>65</v>
      </c>
      <c r="AT522" s="76" t="s">
        <v>61</v>
      </c>
      <c r="AU522" s="76" t="s">
        <v>62</v>
      </c>
      <c r="AV522" s="76" t="s">
        <v>27</v>
      </c>
      <c r="AW522" s="76" t="s">
        <v>64</v>
      </c>
      <c r="AX522" s="76" t="s">
        <v>63</v>
      </c>
      <c r="AY522" s="76" t="s">
        <v>66</v>
      </c>
      <c r="AZ522" s="76" t="s">
        <v>67</v>
      </c>
    </row>
    <row r="523" spans="2:52" ht="48" thickBot="1" x14ac:dyDescent="0.3">
      <c r="B523" s="20">
        <v>0.59375</v>
      </c>
      <c r="C523" s="14" t="s">
        <v>13</v>
      </c>
      <c r="D523" s="8" t="s">
        <v>6</v>
      </c>
      <c r="F523" s="13"/>
      <c r="G523" s="81" t="s">
        <v>20</v>
      </c>
      <c r="H523" s="64" t="s">
        <v>17</v>
      </c>
      <c r="I523" s="64" t="s">
        <v>19</v>
      </c>
      <c r="J523" s="64" t="s">
        <v>18</v>
      </c>
      <c r="K523" s="64" t="s">
        <v>52</v>
      </c>
      <c r="L523" s="64" t="s">
        <v>51</v>
      </c>
      <c r="M523" s="64" t="s">
        <v>53</v>
      </c>
      <c r="N523" s="64" t="s">
        <v>54</v>
      </c>
      <c r="O523" s="64" t="s">
        <v>20</v>
      </c>
      <c r="P523" s="64" t="s">
        <v>19</v>
      </c>
      <c r="Q523" s="64" t="s">
        <v>55</v>
      </c>
      <c r="R523" s="64" t="s">
        <v>56</v>
      </c>
      <c r="S523" s="64" t="s">
        <v>52</v>
      </c>
      <c r="T523" s="64" t="s">
        <v>51</v>
      </c>
      <c r="U523" s="64" t="s">
        <v>57</v>
      </c>
      <c r="V523" s="64" t="s">
        <v>58</v>
      </c>
      <c r="W523" s="64" t="s">
        <v>53</v>
      </c>
      <c r="X523" s="64" t="s">
        <v>54</v>
      </c>
      <c r="Y523" s="81" t="s">
        <v>20</v>
      </c>
      <c r="Z523" s="64" t="s">
        <v>17</v>
      </c>
      <c r="AA523" s="64" t="s">
        <v>19</v>
      </c>
      <c r="AB523" s="64" t="s">
        <v>18</v>
      </c>
      <c r="AC523" s="64" t="s">
        <v>52</v>
      </c>
      <c r="AD523" s="64" t="s">
        <v>51</v>
      </c>
      <c r="AE523" s="64" t="s">
        <v>53</v>
      </c>
      <c r="AF523" s="64" t="s">
        <v>54</v>
      </c>
      <c r="AG523" s="64" t="s">
        <v>20</v>
      </c>
      <c r="AH523" s="64" t="s">
        <v>19</v>
      </c>
      <c r="AI523" s="64" t="s">
        <v>55</v>
      </c>
      <c r="AJ523" s="64" t="s">
        <v>56</v>
      </c>
      <c r="AK523" s="64" t="s">
        <v>52</v>
      </c>
      <c r="AL523" s="64" t="s">
        <v>51</v>
      </c>
      <c r="AM523" s="64" t="s">
        <v>57</v>
      </c>
      <c r="AN523" s="64" t="s">
        <v>58</v>
      </c>
      <c r="AO523" s="64" t="s">
        <v>53</v>
      </c>
      <c r="AP523" s="64" t="s">
        <v>54</v>
      </c>
      <c r="AQ523" s="46"/>
      <c r="AR523" s="46"/>
      <c r="AS523" s="46"/>
      <c r="AT523" s="46"/>
      <c r="AU523" s="46"/>
      <c r="AV523" s="46"/>
      <c r="AW523" s="46"/>
      <c r="AX523" s="46"/>
    </row>
    <row r="524" spans="2:52" ht="16.5" customHeight="1" thickBot="1" x14ac:dyDescent="0.3">
      <c r="B524" s="1" t="s">
        <v>0</v>
      </c>
      <c r="C524" s="10">
        <v>1</v>
      </c>
      <c r="D524">
        <f>C524</f>
        <v>1</v>
      </c>
      <c r="F524" s="12" t="s">
        <v>0</v>
      </c>
      <c r="G524" s="86"/>
      <c r="H524" s="66"/>
      <c r="I524" s="66"/>
      <c r="J524" s="67"/>
      <c r="K524" s="65"/>
      <c r="L524" s="66"/>
      <c r="M524" s="66"/>
      <c r="N524" s="66"/>
      <c r="O524" s="65"/>
      <c r="P524" s="67"/>
      <c r="Q524" s="65">
        <v>1</v>
      </c>
      <c r="R524" s="66"/>
      <c r="S524" s="66"/>
      <c r="T524" s="66"/>
      <c r="U524" s="66"/>
      <c r="V524" s="66"/>
      <c r="W524" s="66"/>
      <c r="X524" s="67"/>
      <c r="Y524" s="86"/>
      <c r="Z524" s="66"/>
      <c r="AA524" s="66"/>
      <c r="AB524" s="66"/>
      <c r="AC524" s="65"/>
      <c r="AD524" s="66"/>
      <c r="AE524" s="66"/>
      <c r="AF524" s="67"/>
      <c r="AG524" s="66"/>
      <c r="AH524" s="67"/>
      <c r="AI524" s="66"/>
      <c r="AJ524" s="66"/>
      <c r="AK524" s="66"/>
      <c r="AL524" s="66">
        <v>1</v>
      </c>
      <c r="AM524" s="66"/>
      <c r="AN524" s="66"/>
      <c r="AO524" s="66"/>
      <c r="AP524" s="66"/>
      <c r="AQ524" s="65"/>
      <c r="AR524" s="65">
        <v>1</v>
      </c>
      <c r="AS524" s="65"/>
      <c r="AT524" s="65"/>
      <c r="AU524" s="65"/>
      <c r="AV524" s="65"/>
      <c r="AW524" s="65"/>
      <c r="AX524" s="68"/>
      <c r="AY524" s="17"/>
      <c r="AZ524" s="17"/>
    </row>
    <row r="525" spans="2:52" ht="16.5" customHeight="1" thickBot="1" x14ac:dyDescent="0.3">
      <c r="B525" s="1" t="s">
        <v>1</v>
      </c>
      <c r="C525" s="10"/>
      <c r="D525">
        <f t="shared" ref="D525:D527" si="57">C525</f>
        <v>0</v>
      </c>
      <c r="F525" s="1" t="s">
        <v>1</v>
      </c>
      <c r="G525" s="87"/>
      <c r="H525" s="46"/>
      <c r="I525" s="46"/>
      <c r="J525" s="70"/>
      <c r="K525" s="69"/>
      <c r="L525" s="46"/>
      <c r="M525" s="46"/>
      <c r="N525" s="46"/>
      <c r="O525" s="69"/>
      <c r="P525" s="70"/>
      <c r="Q525" s="69"/>
      <c r="R525" s="46"/>
      <c r="S525" s="46"/>
      <c r="T525" s="46"/>
      <c r="U525" s="46"/>
      <c r="V525" s="46"/>
      <c r="W525" s="46"/>
      <c r="X525" s="70"/>
      <c r="Y525" s="87"/>
      <c r="Z525" s="46"/>
      <c r="AA525" s="46"/>
      <c r="AB525" s="46"/>
      <c r="AC525" s="69"/>
      <c r="AD525" s="46"/>
      <c r="AE525" s="46"/>
      <c r="AF525" s="70"/>
      <c r="AG525" s="46"/>
      <c r="AH525" s="70"/>
      <c r="AI525" s="46"/>
      <c r="AJ525" s="46"/>
      <c r="AK525" s="46"/>
      <c r="AL525" s="46"/>
      <c r="AM525" s="46"/>
      <c r="AN525" s="46"/>
      <c r="AO525" s="46"/>
      <c r="AP525" s="46"/>
      <c r="AQ525" s="69"/>
      <c r="AR525" s="69"/>
      <c r="AS525" s="69"/>
      <c r="AT525" s="69"/>
      <c r="AU525" s="69"/>
      <c r="AV525" s="69"/>
      <c r="AW525" s="69"/>
      <c r="AX525" s="71"/>
      <c r="AY525" s="18"/>
      <c r="AZ525" s="18"/>
    </row>
    <row r="526" spans="2:52" ht="16.5" customHeight="1" thickBot="1" x14ac:dyDescent="0.3">
      <c r="B526" s="1" t="s">
        <v>2</v>
      </c>
      <c r="C526" s="10"/>
      <c r="D526">
        <f>C526</f>
        <v>0</v>
      </c>
      <c r="F526" s="1" t="s">
        <v>2</v>
      </c>
      <c r="G526" s="87"/>
      <c r="H526" s="46"/>
      <c r="I526" s="46"/>
      <c r="J526" s="70"/>
      <c r="K526" s="69"/>
      <c r="L526" s="46"/>
      <c r="M526" s="46"/>
      <c r="N526" s="46"/>
      <c r="O526" s="69"/>
      <c r="P526" s="70"/>
      <c r="Q526" s="69"/>
      <c r="R526" s="46"/>
      <c r="S526" s="46"/>
      <c r="T526" s="46"/>
      <c r="U526" s="46"/>
      <c r="V526" s="46"/>
      <c r="W526" s="46"/>
      <c r="X526" s="70"/>
      <c r="Y526" s="87"/>
      <c r="Z526" s="46"/>
      <c r="AA526" s="46"/>
      <c r="AB526" s="46"/>
      <c r="AC526" s="69"/>
      <c r="AD526" s="46"/>
      <c r="AE526" s="46"/>
      <c r="AF526" s="70"/>
      <c r="AG526" s="46"/>
      <c r="AH526" s="70"/>
      <c r="AI526" s="46"/>
      <c r="AJ526" s="46"/>
      <c r="AK526" s="46"/>
      <c r="AL526" s="46"/>
      <c r="AM526" s="46"/>
      <c r="AN526" s="46"/>
      <c r="AO526" s="46"/>
      <c r="AP526" s="46"/>
      <c r="AQ526" s="69"/>
      <c r="AR526" s="69"/>
      <c r="AS526" s="69"/>
      <c r="AT526" s="69"/>
      <c r="AU526" s="69"/>
      <c r="AV526" s="69"/>
      <c r="AW526" s="69"/>
      <c r="AX526" s="71"/>
      <c r="AY526" s="18"/>
      <c r="AZ526" s="18"/>
    </row>
    <row r="527" spans="2:52" ht="16.5" customHeight="1" thickBot="1" x14ac:dyDescent="0.3">
      <c r="B527" s="1" t="s">
        <v>3</v>
      </c>
      <c r="C527" s="10"/>
      <c r="D527" s="7">
        <f t="shared" si="57"/>
        <v>0</v>
      </c>
      <c r="F527" s="1" t="s">
        <v>3</v>
      </c>
      <c r="G527" s="88"/>
      <c r="H527" s="73"/>
      <c r="I527" s="73"/>
      <c r="J527" s="74"/>
      <c r="K527" s="72"/>
      <c r="L527" s="73"/>
      <c r="M527" s="73"/>
      <c r="N527" s="73"/>
      <c r="O527" s="72"/>
      <c r="P527" s="74"/>
      <c r="Q527" s="72"/>
      <c r="R527" s="73"/>
      <c r="S527" s="73"/>
      <c r="T527" s="73"/>
      <c r="U527" s="73"/>
      <c r="V527" s="73"/>
      <c r="W527" s="73"/>
      <c r="X527" s="74"/>
      <c r="Y527" s="88"/>
      <c r="Z527" s="73"/>
      <c r="AA527" s="73"/>
      <c r="AB527" s="73"/>
      <c r="AC527" s="72"/>
      <c r="AD527" s="73"/>
      <c r="AE527" s="73"/>
      <c r="AF527" s="74"/>
      <c r="AG527" s="73"/>
      <c r="AH527" s="74"/>
      <c r="AI527" s="73"/>
      <c r="AJ527" s="73"/>
      <c r="AK527" s="73"/>
      <c r="AL527" s="73"/>
      <c r="AM527" s="73"/>
      <c r="AN527" s="73"/>
      <c r="AO527" s="73"/>
      <c r="AP527" s="73"/>
      <c r="AQ527" s="72"/>
      <c r="AR527" s="72"/>
      <c r="AS527" s="72"/>
      <c r="AT527" s="72"/>
      <c r="AU527" s="72"/>
      <c r="AV527" s="72"/>
      <c r="AW527" s="72"/>
      <c r="AX527" s="75"/>
      <c r="AY527" s="19"/>
      <c r="AZ527" s="19"/>
    </row>
    <row r="528" spans="2:52" ht="21" customHeight="1" x14ac:dyDescent="0.25">
      <c r="B528" s="2"/>
      <c r="C528" s="3" t="s">
        <v>25</v>
      </c>
      <c r="D528" s="9">
        <f>SUM(D524:D527)</f>
        <v>1</v>
      </c>
      <c r="G528" s="85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85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</row>
    <row r="529" spans="2:52" x14ac:dyDescent="0.25"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</row>
    <row r="530" spans="2:52" ht="15.75" x14ac:dyDescent="0.25">
      <c r="G530" s="100" t="s">
        <v>22</v>
      </c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1" t="s">
        <v>21</v>
      </c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46"/>
      <c r="AR530" s="46"/>
      <c r="AS530" s="46"/>
      <c r="AT530" s="46"/>
      <c r="AU530" s="46"/>
      <c r="AV530" s="46"/>
      <c r="AW530" s="46"/>
      <c r="AX530" s="46"/>
    </row>
    <row r="531" spans="2:52" ht="32.25" thickBot="1" x14ac:dyDescent="0.3">
      <c r="G531" s="102" t="s">
        <v>14</v>
      </c>
      <c r="H531" s="102"/>
      <c r="I531" s="102"/>
      <c r="J531" s="102"/>
      <c r="K531" s="102" t="s">
        <v>15</v>
      </c>
      <c r="L531" s="102"/>
      <c r="M531" s="102"/>
      <c r="N531" s="102"/>
      <c r="O531" s="102" t="s">
        <v>59</v>
      </c>
      <c r="P531" s="102"/>
      <c r="Q531" s="102" t="s">
        <v>16</v>
      </c>
      <c r="R531" s="102"/>
      <c r="S531" s="102"/>
      <c r="T531" s="102"/>
      <c r="U531" s="102"/>
      <c r="V531" s="102"/>
      <c r="W531" s="102"/>
      <c r="X531" s="102"/>
      <c r="Y531" s="102" t="s">
        <v>14</v>
      </c>
      <c r="Z531" s="102"/>
      <c r="AA531" s="102"/>
      <c r="AB531" s="102"/>
      <c r="AC531" s="102" t="s">
        <v>15</v>
      </c>
      <c r="AD531" s="102"/>
      <c r="AE531" s="102"/>
      <c r="AF531" s="102"/>
      <c r="AG531" s="102" t="s">
        <v>59</v>
      </c>
      <c r="AH531" s="102"/>
      <c r="AI531" s="102" t="s">
        <v>16</v>
      </c>
      <c r="AJ531" s="102"/>
      <c r="AK531" s="102"/>
      <c r="AL531" s="102"/>
      <c r="AM531" s="102"/>
      <c r="AN531" s="102"/>
      <c r="AO531" s="102"/>
      <c r="AP531" s="102"/>
      <c r="AQ531" s="76" t="s">
        <v>60</v>
      </c>
      <c r="AR531" s="76" t="s">
        <v>70</v>
      </c>
      <c r="AS531" s="76" t="s">
        <v>65</v>
      </c>
      <c r="AT531" s="76" t="s">
        <v>61</v>
      </c>
      <c r="AU531" s="76" t="s">
        <v>62</v>
      </c>
      <c r="AV531" s="76" t="s">
        <v>27</v>
      </c>
      <c r="AW531" s="76" t="s">
        <v>64</v>
      </c>
      <c r="AX531" s="76" t="s">
        <v>63</v>
      </c>
      <c r="AY531" s="76" t="s">
        <v>66</v>
      </c>
      <c r="AZ531" s="76" t="s">
        <v>67</v>
      </c>
    </row>
    <row r="532" spans="2:52" ht="48" thickBot="1" x14ac:dyDescent="0.3">
      <c r="B532" s="20">
        <v>0.60416666666666696</v>
      </c>
      <c r="C532" s="14" t="s">
        <v>13</v>
      </c>
      <c r="D532" s="8" t="s">
        <v>6</v>
      </c>
      <c r="F532" s="13"/>
      <c r="G532" s="81" t="s">
        <v>20</v>
      </c>
      <c r="H532" s="64" t="s">
        <v>17</v>
      </c>
      <c r="I532" s="64" t="s">
        <v>19</v>
      </c>
      <c r="J532" s="64" t="s">
        <v>18</v>
      </c>
      <c r="K532" s="64" t="s">
        <v>52</v>
      </c>
      <c r="L532" s="64" t="s">
        <v>51</v>
      </c>
      <c r="M532" s="64" t="s">
        <v>53</v>
      </c>
      <c r="N532" s="64" t="s">
        <v>54</v>
      </c>
      <c r="O532" s="64" t="s">
        <v>20</v>
      </c>
      <c r="P532" s="64" t="s">
        <v>19</v>
      </c>
      <c r="Q532" s="64" t="s">
        <v>55</v>
      </c>
      <c r="R532" s="64" t="s">
        <v>56</v>
      </c>
      <c r="S532" s="64" t="s">
        <v>52</v>
      </c>
      <c r="T532" s="64" t="s">
        <v>51</v>
      </c>
      <c r="U532" s="64" t="s">
        <v>57</v>
      </c>
      <c r="V532" s="64" t="s">
        <v>58</v>
      </c>
      <c r="W532" s="64" t="s">
        <v>53</v>
      </c>
      <c r="X532" s="64" t="s">
        <v>54</v>
      </c>
      <c r="Y532" s="81" t="s">
        <v>20</v>
      </c>
      <c r="Z532" s="64" t="s">
        <v>17</v>
      </c>
      <c r="AA532" s="64" t="s">
        <v>19</v>
      </c>
      <c r="AB532" s="64" t="s">
        <v>18</v>
      </c>
      <c r="AC532" s="64" t="s">
        <v>52</v>
      </c>
      <c r="AD532" s="64" t="s">
        <v>51</v>
      </c>
      <c r="AE532" s="64" t="s">
        <v>53</v>
      </c>
      <c r="AF532" s="64" t="s">
        <v>54</v>
      </c>
      <c r="AG532" s="64" t="s">
        <v>20</v>
      </c>
      <c r="AH532" s="64" t="s">
        <v>19</v>
      </c>
      <c r="AI532" s="64" t="s">
        <v>55</v>
      </c>
      <c r="AJ532" s="64" t="s">
        <v>56</v>
      </c>
      <c r="AK532" s="64" t="s">
        <v>52</v>
      </c>
      <c r="AL532" s="64" t="s">
        <v>51</v>
      </c>
      <c r="AM532" s="64" t="s">
        <v>57</v>
      </c>
      <c r="AN532" s="64" t="s">
        <v>58</v>
      </c>
      <c r="AO532" s="64" t="s">
        <v>53</v>
      </c>
      <c r="AP532" s="64" t="s">
        <v>54</v>
      </c>
      <c r="AQ532" s="46"/>
      <c r="AR532" s="46"/>
      <c r="AS532" s="46"/>
      <c r="AT532" s="46"/>
      <c r="AU532" s="46"/>
      <c r="AV532" s="46"/>
      <c r="AW532" s="46"/>
      <c r="AX532" s="46"/>
    </row>
    <row r="533" spans="2:52" ht="16.5" customHeight="1" thickBot="1" x14ac:dyDescent="0.3">
      <c r="B533" s="1" t="s">
        <v>0</v>
      </c>
      <c r="C533" s="10"/>
      <c r="D533">
        <f>C533</f>
        <v>0</v>
      </c>
      <c r="F533" s="12" t="s">
        <v>0</v>
      </c>
      <c r="G533" s="86"/>
      <c r="H533" s="66"/>
      <c r="I533" s="66"/>
      <c r="J533" s="67"/>
      <c r="K533" s="65"/>
      <c r="L533" s="66"/>
      <c r="M533" s="66"/>
      <c r="N533" s="66"/>
      <c r="O533" s="65"/>
      <c r="P533" s="67"/>
      <c r="Q533" s="65"/>
      <c r="R533" s="66"/>
      <c r="S533" s="66"/>
      <c r="T533" s="66"/>
      <c r="U533" s="66"/>
      <c r="V533" s="66"/>
      <c r="W533" s="66"/>
      <c r="X533" s="67"/>
      <c r="Y533" s="86"/>
      <c r="Z533" s="66"/>
      <c r="AA533" s="66"/>
      <c r="AB533" s="66"/>
      <c r="AC533" s="65"/>
      <c r="AD533" s="66"/>
      <c r="AE533" s="66"/>
      <c r="AF533" s="67"/>
      <c r="AG533" s="66"/>
      <c r="AH533" s="67"/>
      <c r="AI533" s="66"/>
      <c r="AJ533" s="66"/>
      <c r="AK533" s="66"/>
      <c r="AL533" s="66"/>
      <c r="AM533" s="66"/>
      <c r="AN533" s="66"/>
      <c r="AO533" s="66"/>
      <c r="AP533" s="66"/>
      <c r="AQ533" s="65"/>
      <c r="AR533" s="65"/>
      <c r="AS533" s="65"/>
      <c r="AT533" s="65"/>
      <c r="AU533" s="65"/>
      <c r="AV533" s="65"/>
      <c r="AW533" s="65"/>
      <c r="AX533" s="68"/>
      <c r="AY533" s="17"/>
      <c r="AZ533" s="17"/>
    </row>
    <row r="534" spans="2:52" ht="16.5" customHeight="1" thickBot="1" x14ac:dyDescent="0.3">
      <c r="B534" s="1" t="s">
        <v>1</v>
      </c>
      <c r="C534" s="10"/>
      <c r="D534">
        <f t="shared" ref="D534:D536" si="58">C534</f>
        <v>0</v>
      </c>
      <c r="F534" s="1" t="s">
        <v>1</v>
      </c>
      <c r="G534" s="87"/>
      <c r="H534" s="46"/>
      <c r="I534" s="46"/>
      <c r="J534" s="70"/>
      <c r="K534" s="69"/>
      <c r="L534" s="46"/>
      <c r="M534" s="46"/>
      <c r="N534" s="46"/>
      <c r="O534" s="69"/>
      <c r="P534" s="70"/>
      <c r="Q534" s="69"/>
      <c r="R534" s="46"/>
      <c r="S534" s="46"/>
      <c r="T534" s="46"/>
      <c r="U534" s="46"/>
      <c r="V534" s="46"/>
      <c r="W534" s="46"/>
      <c r="X534" s="70"/>
      <c r="Y534" s="87"/>
      <c r="Z534" s="46"/>
      <c r="AA534" s="46"/>
      <c r="AB534" s="46"/>
      <c r="AC534" s="69"/>
      <c r="AD534" s="46"/>
      <c r="AE534" s="46"/>
      <c r="AF534" s="70"/>
      <c r="AG534" s="46"/>
      <c r="AH534" s="70"/>
      <c r="AI534" s="46"/>
      <c r="AJ534" s="46"/>
      <c r="AK534" s="46"/>
      <c r="AL534" s="46"/>
      <c r="AM534" s="46"/>
      <c r="AN534" s="46"/>
      <c r="AO534" s="46"/>
      <c r="AP534" s="46"/>
      <c r="AQ534" s="69"/>
      <c r="AR534" s="69"/>
      <c r="AS534" s="69"/>
      <c r="AT534" s="69"/>
      <c r="AU534" s="69"/>
      <c r="AV534" s="69"/>
      <c r="AW534" s="69"/>
      <c r="AX534" s="71"/>
      <c r="AY534" s="18"/>
      <c r="AZ534" s="18"/>
    </row>
    <row r="535" spans="2:52" ht="16.5" customHeight="1" thickBot="1" x14ac:dyDescent="0.3">
      <c r="B535" s="1" t="s">
        <v>2</v>
      </c>
      <c r="C535" s="10"/>
      <c r="D535">
        <f>C535</f>
        <v>0</v>
      </c>
      <c r="F535" s="1" t="s">
        <v>2</v>
      </c>
      <c r="G535" s="87"/>
      <c r="H535" s="46"/>
      <c r="I535" s="46"/>
      <c r="J535" s="70"/>
      <c r="K535" s="69"/>
      <c r="L535" s="46"/>
      <c r="M535" s="46"/>
      <c r="N535" s="46"/>
      <c r="O535" s="69"/>
      <c r="P535" s="70"/>
      <c r="Q535" s="69"/>
      <c r="R535" s="46"/>
      <c r="S535" s="46"/>
      <c r="T535" s="46"/>
      <c r="U535" s="46"/>
      <c r="V535" s="46"/>
      <c r="W535" s="46"/>
      <c r="X535" s="70"/>
      <c r="Y535" s="87"/>
      <c r="Z535" s="46"/>
      <c r="AA535" s="46"/>
      <c r="AB535" s="46"/>
      <c r="AC535" s="69"/>
      <c r="AD535" s="46"/>
      <c r="AE535" s="46"/>
      <c r="AF535" s="70"/>
      <c r="AG535" s="46"/>
      <c r="AH535" s="70"/>
      <c r="AI535" s="46"/>
      <c r="AJ535" s="46"/>
      <c r="AK535" s="46"/>
      <c r="AL535" s="46"/>
      <c r="AM535" s="46"/>
      <c r="AN535" s="46"/>
      <c r="AO535" s="46"/>
      <c r="AP535" s="46"/>
      <c r="AQ535" s="69"/>
      <c r="AR535" s="69"/>
      <c r="AS535" s="69"/>
      <c r="AT535" s="69"/>
      <c r="AU535" s="69"/>
      <c r="AV535" s="69"/>
      <c r="AW535" s="69"/>
      <c r="AX535" s="71"/>
      <c r="AY535" s="18"/>
      <c r="AZ535" s="18"/>
    </row>
    <row r="536" spans="2:52" ht="16.5" customHeight="1" thickBot="1" x14ac:dyDescent="0.3">
      <c r="B536" s="1" t="s">
        <v>3</v>
      </c>
      <c r="C536" s="10"/>
      <c r="D536" s="7">
        <f t="shared" si="58"/>
        <v>0</v>
      </c>
      <c r="F536" s="1" t="s">
        <v>3</v>
      </c>
      <c r="G536" s="88"/>
      <c r="H536" s="73"/>
      <c r="I536" s="73"/>
      <c r="J536" s="74"/>
      <c r="K536" s="72"/>
      <c r="L536" s="73"/>
      <c r="M536" s="73"/>
      <c r="N536" s="73"/>
      <c r="O536" s="72"/>
      <c r="P536" s="74"/>
      <c r="Q536" s="72"/>
      <c r="R536" s="73"/>
      <c r="S536" s="73"/>
      <c r="T536" s="73"/>
      <c r="U536" s="73"/>
      <c r="V536" s="73"/>
      <c r="W536" s="73"/>
      <c r="X536" s="74"/>
      <c r="Y536" s="88"/>
      <c r="Z536" s="73"/>
      <c r="AA536" s="73"/>
      <c r="AB536" s="73"/>
      <c r="AC536" s="72"/>
      <c r="AD536" s="73"/>
      <c r="AE536" s="73"/>
      <c r="AF536" s="74"/>
      <c r="AG536" s="73"/>
      <c r="AH536" s="74"/>
      <c r="AI536" s="73"/>
      <c r="AJ536" s="73"/>
      <c r="AK536" s="73"/>
      <c r="AL536" s="73"/>
      <c r="AM536" s="73"/>
      <c r="AN536" s="73"/>
      <c r="AO536" s="73"/>
      <c r="AP536" s="73"/>
      <c r="AQ536" s="72"/>
      <c r="AR536" s="72"/>
      <c r="AS536" s="72"/>
      <c r="AT536" s="72"/>
      <c r="AU536" s="72"/>
      <c r="AV536" s="72"/>
      <c r="AW536" s="72"/>
      <c r="AX536" s="75"/>
      <c r="AY536" s="19"/>
      <c r="AZ536" s="19"/>
    </row>
    <row r="537" spans="2:52" ht="21" customHeight="1" x14ac:dyDescent="0.25">
      <c r="B537" s="2"/>
      <c r="C537" s="3" t="s">
        <v>25</v>
      </c>
      <c r="D537" s="9">
        <f>SUM(D533:D536)</f>
        <v>0</v>
      </c>
      <c r="G537" s="85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85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</row>
    <row r="538" spans="2:52" x14ac:dyDescent="0.25"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</row>
    <row r="539" spans="2:52" ht="15.75" x14ac:dyDescent="0.25">
      <c r="G539" s="100" t="s">
        <v>22</v>
      </c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1" t="s">
        <v>21</v>
      </c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46"/>
      <c r="AR539" s="46"/>
      <c r="AS539" s="46"/>
      <c r="AT539" s="46"/>
      <c r="AU539" s="46"/>
      <c r="AV539" s="46"/>
      <c r="AW539" s="46"/>
      <c r="AX539" s="46"/>
    </row>
    <row r="540" spans="2:52" ht="32.25" thickBot="1" x14ac:dyDescent="0.3">
      <c r="G540" s="102" t="s">
        <v>14</v>
      </c>
      <c r="H540" s="102"/>
      <c r="I540" s="102"/>
      <c r="J540" s="102"/>
      <c r="K540" s="102" t="s">
        <v>15</v>
      </c>
      <c r="L540" s="102"/>
      <c r="M540" s="102"/>
      <c r="N540" s="102"/>
      <c r="O540" s="102" t="s">
        <v>59</v>
      </c>
      <c r="P540" s="102"/>
      <c r="Q540" s="102" t="s">
        <v>16</v>
      </c>
      <c r="R540" s="102"/>
      <c r="S540" s="102"/>
      <c r="T540" s="102"/>
      <c r="U540" s="102"/>
      <c r="V540" s="102"/>
      <c r="W540" s="102"/>
      <c r="X540" s="102"/>
      <c r="Y540" s="102" t="s">
        <v>14</v>
      </c>
      <c r="Z540" s="102"/>
      <c r="AA540" s="102"/>
      <c r="AB540" s="102"/>
      <c r="AC540" s="102" t="s">
        <v>15</v>
      </c>
      <c r="AD540" s="102"/>
      <c r="AE540" s="102"/>
      <c r="AF540" s="102"/>
      <c r="AG540" s="102" t="s">
        <v>59</v>
      </c>
      <c r="AH540" s="102"/>
      <c r="AI540" s="102" t="s">
        <v>16</v>
      </c>
      <c r="AJ540" s="102"/>
      <c r="AK540" s="102"/>
      <c r="AL540" s="102"/>
      <c r="AM540" s="102"/>
      <c r="AN540" s="102"/>
      <c r="AO540" s="102"/>
      <c r="AP540" s="102"/>
      <c r="AQ540" s="76" t="s">
        <v>60</v>
      </c>
      <c r="AR540" s="76" t="s">
        <v>70</v>
      </c>
      <c r="AS540" s="76" t="s">
        <v>65</v>
      </c>
      <c r="AT540" s="76" t="s">
        <v>61</v>
      </c>
      <c r="AU540" s="76" t="s">
        <v>62</v>
      </c>
      <c r="AV540" s="76" t="s">
        <v>27</v>
      </c>
      <c r="AW540" s="76" t="s">
        <v>64</v>
      </c>
      <c r="AX540" s="76" t="s">
        <v>63</v>
      </c>
      <c r="AY540" s="76" t="s">
        <v>66</v>
      </c>
      <c r="AZ540" s="76" t="s">
        <v>67</v>
      </c>
    </row>
    <row r="541" spans="2:52" ht="48" thickBot="1" x14ac:dyDescent="0.3">
      <c r="B541" s="20">
        <v>0.61458333333333404</v>
      </c>
      <c r="C541" s="14" t="s">
        <v>13</v>
      </c>
      <c r="D541" s="8" t="s">
        <v>6</v>
      </c>
      <c r="F541" s="13"/>
      <c r="G541" s="81" t="s">
        <v>20</v>
      </c>
      <c r="H541" s="64" t="s">
        <v>17</v>
      </c>
      <c r="I541" s="64" t="s">
        <v>19</v>
      </c>
      <c r="J541" s="64" t="s">
        <v>18</v>
      </c>
      <c r="K541" s="64" t="s">
        <v>52</v>
      </c>
      <c r="L541" s="64" t="s">
        <v>51</v>
      </c>
      <c r="M541" s="64" t="s">
        <v>53</v>
      </c>
      <c r="N541" s="64" t="s">
        <v>54</v>
      </c>
      <c r="O541" s="64" t="s">
        <v>20</v>
      </c>
      <c r="P541" s="64" t="s">
        <v>19</v>
      </c>
      <c r="Q541" s="64" t="s">
        <v>55</v>
      </c>
      <c r="R541" s="64" t="s">
        <v>56</v>
      </c>
      <c r="S541" s="64" t="s">
        <v>52</v>
      </c>
      <c r="T541" s="64" t="s">
        <v>51</v>
      </c>
      <c r="U541" s="64" t="s">
        <v>57</v>
      </c>
      <c r="V541" s="64" t="s">
        <v>58</v>
      </c>
      <c r="W541" s="64" t="s">
        <v>53</v>
      </c>
      <c r="X541" s="64" t="s">
        <v>54</v>
      </c>
      <c r="Y541" s="81" t="s">
        <v>20</v>
      </c>
      <c r="Z541" s="64" t="s">
        <v>17</v>
      </c>
      <c r="AA541" s="64" t="s">
        <v>19</v>
      </c>
      <c r="AB541" s="64" t="s">
        <v>18</v>
      </c>
      <c r="AC541" s="64" t="s">
        <v>52</v>
      </c>
      <c r="AD541" s="64" t="s">
        <v>51</v>
      </c>
      <c r="AE541" s="64" t="s">
        <v>53</v>
      </c>
      <c r="AF541" s="64" t="s">
        <v>54</v>
      </c>
      <c r="AG541" s="64" t="s">
        <v>20</v>
      </c>
      <c r="AH541" s="64" t="s">
        <v>19</v>
      </c>
      <c r="AI541" s="64" t="s">
        <v>55</v>
      </c>
      <c r="AJ541" s="64" t="s">
        <v>56</v>
      </c>
      <c r="AK541" s="64" t="s">
        <v>52</v>
      </c>
      <c r="AL541" s="64" t="s">
        <v>51</v>
      </c>
      <c r="AM541" s="64" t="s">
        <v>57</v>
      </c>
      <c r="AN541" s="64" t="s">
        <v>58</v>
      </c>
      <c r="AO541" s="64" t="s">
        <v>53</v>
      </c>
      <c r="AP541" s="64" t="s">
        <v>54</v>
      </c>
      <c r="AQ541" s="46"/>
      <c r="AR541" s="46"/>
      <c r="AS541" s="46"/>
      <c r="AT541" s="46"/>
      <c r="AU541" s="46"/>
      <c r="AV541" s="46"/>
      <c r="AW541" s="46"/>
      <c r="AX541" s="46"/>
    </row>
    <row r="542" spans="2:52" ht="16.5" customHeight="1" thickBot="1" x14ac:dyDescent="0.3">
      <c r="B542" s="1" t="s">
        <v>0</v>
      </c>
      <c r="C542" s="10">
        <v>6</v>
      </c>
      <c r="D542">
        <f>C542</f>
        <v>6</v>
      </c>
      <c r="F542" s="12" t="s">
        <v>0</v>
      </c>
      <c r="G542" s="86"/>
      <c r="H542" s="66"/>
      <c r="I542" s="66"/>
      <c r="J542" s="67"/>
      <c r="K542" s="65"/>
      <c r="L542" s="66"/>
      <c r="M542" s="66"/>
      <c r="N542" s="66"/>
      <c r="O542" s="65"/>
      <c r="P542" s="67"/>
      <c r="Q542" s="65">
        <v>4</v>
      </c>
      <c r="R542" s="66">
        <v>2</v>
      </c>
      <c r="S542" s="66"/>
      <c r="T542" s="66"/>
      <c r="U542" s="66"/>
      <c r="V542" s="66"/>
      <c r="W542" s="66"/>
      <c r="X542" s="67"/>
      <c r="Y542" s="86"/>
      <c r="Z542" s="66"/>
      <c r="AA542" s="66"/>
      <c r="AB542" s="66"/>
      <c r="AC542" s="65"/>
      <c r="AD542" s="66"/>
      <c r="AE542" s="66"/>
      <c r="AF542" s="67"/>
      <c r="AG542" s="66"/>
      <c r="AH542" s="67"/>
      <c r="AI542" s="66"/>
      <c r="AJ542" s="66"/>
      <c r="AK542" s="66">
        <v>2</v>
      </c>
      <c r="AL542" s="66"/>
      <c r="AM542" s="66"/>
      <c r="AN542" s="66">
        <v>2</v>
      </c>
      <c r="AO542" s="66">
        <v>2</v>
      </c>
      <c r="AP542" s="66"/>
      <c r="AQ542" s="65">
        <v>1</v>
      </c>
      <c r="AR542" s="65"/>
      <c r="AS542" s="65"/>
      <c r="AT542" s="65"/>
      <c r="AU542" s="65"/>
      <c r="AV542" s="65"/>
      <c r="AW542" s="65"/>
      <c r="AX542" s="68"/>
      <c r="AY542" s="17"/>
      <c r="AZ542" s="17"/>
    </row>
    <row r="543" spans="2:52" ht="16.5" customHeight="1" thickBot="1" x14ac:dyDescent="0.3">
      <c r="B543" s="1" t="s">
        <v>1</v>
      </c>
      <c r="C543" s="10"/>
      <c r="D543">
        <f t="shared" ref="D543:D545" si="59">C543</f>
        <v>0</v>
      </c>
      <c r="F543" s="1" t="s">
        <v>1</v>
      </c>
      <c r="G543" s="87"/>
      <c r="H543" s="46"/>
      <c r="I543" s="46"/>
      <c r="J543" s="70"/>
      <c r="K543" s="69"/>
      <c r="L543" s="46"/>
      <c r="M543" s="46"/>
      <c r="N543" s="46"/>
      <c r="O543" s="69"/>
      <c r="P543" s="70"/>
      <c r="Q543" s="69"/>
      <c r="R543" s="46"/>
      <c r="S543" s="46"/>
      <c r="T543" s="46"/>
      <c r="U543" s="46"/>
      <c r="V543" s="46"/>
      <c r="W543" s="46"/>
      <c r="X543" s="70"/>
      <c r="Y543" s="87"/>
      <c r="Z543" s="46"/>
      <c r="AA543" s="46"/>
      <c r="AB543" s="46"/>
      <c r="AC543" s="69"/>
      <c r="AD543" s="46"/>
      <c r="AE543" s="46"/>
      <c r="AF543" s="70"/>
      <c r="AG543" s="46"/>
      <c r="AH543" s="70"/>
      <c r="AI543" s="46"/>
      <c r="AJ543" s="46"/>
      <c r="AK543" s="46"/>
      <c r="AL543" s="46"/>
      <c r="AM543" s="46"/>
      <c r="AN543" s="46"/>
      <c r="AO543" s="46"/>
      <c r="AP543" s="46"/>
      <c r="AQ543" s="69"/>
      <c r="AR543" s="69"/>
      <c r="AS543" s="69"/>
      <c r="AT543" s="69"/>
      <c r="AU543" s="69"/>
      <c r="AV543" s="69"/>
      <c r="AW543" s="69"/>
      <c r="AX543" s="71"/>
      <c r="AY543" s="18"/>
      <c r="AZ543" s="18"/>
    </row>
    <row r="544" spans="2:52" ht="16.5" customHeight="1" thickBot="1" x14ac:dyDescent="0.3">
      <c r="B544" s="1" t="s">
        <v>2</v>
      </c>
      <c r="C544" s="10"/>
      <c r="D544">
        <f>C544</f>
        <v>0</v>
      </c>
      <c r="F544" s="1" t="s">
        <v>2</v>
      </c>
      <c r="G544" s="87"/>
      <c r="H544" s="46"/>
      <c r="I544" s="46"/>
      <c r="J544" s="70"/>
      <c r="K544" s="69"/>
      <c r="L544" s="46"/>
      <c r="M544" s="46"/>
      <c r="N544" s="46"/>
      <c r="O544" s="69"/>
      <c r="P544" s="70"/>
      <c r="Q544" s="69"/>
      <c r="R544" s="46"/>
      <c r="S544" s="46"/>
      <c r="T544" s="46"/>
      <c r="U544" s="46"/>
      <c r="V544" s="46"/>
      <c r="W544" s="46"/>
      <c r="X544" s="70"/>
      <c r="Y544" s="87"/>
      <c r="Z544" s="46"/>
      <c r="AA544" s="46"/>
      <c r="AB544" s="46"/>
      <c r="AC544" s="69"/>
      <c r="AD544" s="46"/>
      <c r="AE544" s="46"/>
      <c r="AF544" s="70"/>
      <c r="AG544" s="46"/>
      <c r="AH544" s="70"/>
      <c r="AI544" s="46"/>
      <c r="AJ544" s="46"/>
      <c r="AK544" s="46"/>
      <c r="AL544" s="46"/>
      <c r="AM544" s="46"/>
      <c r="AN544" s="46"/>
      <c r="AO544" s="46"/>
      <c r="AP544" s="46"/>
      <c r="AQ544" s="69"/>
      <c r="AR544" s="69"/>
      <c r="AS544" s="69"/>
      <c r="AT544" s="69"/>
      <c r="AU544" s="69"/>
      <c r="AV544" s="69"/>
      <c r="AW544" s="69"/>
      <c r="AX544" s="71"/>
      <c r="AY544" s="18"/>
      <c r="AZ544" s="18"/>
    </row>
    <row r="545" spans="2:53" ht="16.5" customHeight="1" thickBot="1" x14ac:dyDescent="0.3">
      <c r="B545" s="1" t="s">
        <v>3</v>
      </c>
      <c r="C545" s="10"/>
      <c r="D545" s="7">
        <f t="shared" si="59"/>
        <v>0</v>
      </c>
      <c r="F545" s="1" t="s">
        <v>3</v>
      </c>
      <c r="G545" s="88"/>
      <c r="H545" s="73"/>
      <c r="I545" s="73"/>
      <c r="J545" s="74"/>
      <c r="K545" s="72"/>
      <c r="L545" s="73"/>
      <c r="M545" s="73"/>
      <c r="N545" s="73"/>
      <c r="O545" s="72"/>
      <c r="P545" s="74"/>
      <c r="Q545" s="72"/>
      <c r="R545" s="73"/>
      <c r="S545" s="73"/>
      <c r="T545" s="73"/>
      <c r="U545" s="73"/>
      <c r="V545" s="73"/>
      <c r="W545" s="73"/>
      <c r="X545" s="74"/>
      <c r="Y545" s="88"/>
      <c r="Z545" s="73"/>
      <c r="AA545" s="73"/>
      <c r="AB545" s="73"/>
      <c r="AC545" s="72"/>
      <c r="AD545" s="73"/>
      <c r="AE545" s="73"/>
      <c r="AF545" s="74"/>
      <c r="AG545" s="73"/>
      <c r="AH545" s="74"/>
      <c r="AI545" s="73"/>
      <c r="AJ545" s="73"/>
      <c r="AK545" s="73"/>
      <c r="AL545" s="73"/>
      <c r="AM545" s="73"/>
      <c r="AN545" s="73"/>
      <c r="AO545" s="73"/>
      <c r="AP545" s="73"/>
      <c r="AQ545" s="72"/>
      <c r="AR545" s="72"/>
      <c r="AS545" s="72"/>
      <c r="AT545" s="72"/>
      <c r="AU545" s="72"/>
      <c r="AV545" s="72"/>
      <c r="AW545" s="72"/>
      <c r="AX545" s="75"/>
      <c r="AY545" s="19"/>
      <c r="AZ545" s="19"/>
    </row>
    <row r="546" spans="2:53" ht="21" customHeight="1" x14ac:dyDescent="0.25">
      <c r="B546" s="2"/>
      <c r="C546" s="3" t="s">
        <v>25</v>
      </c>
      <c r="D546" s="9">
        <f>SUM(D542:D545)</f>
        <v>6</v>
      </c>
      <c r="G546" s="85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85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</row>
    <row r="547" spans="2:53" x14ac:dyDescent="0.25"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</row>
    <row r="548" spans="2:53" ht="15.75" x14ac:dyDescent="0.25">
      <c r="G548" s="100" t="s">
        <v>22</v>
      </c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1" t="s">
        <v>21</v>
      </c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46"/>
      <c r="AR548" s="46"/>
      <c r="AS548" s="46"/>
      <c r="AT548" s="46"/>
      <c r="AU548" s="46"/>
      <c r="AV548" s="46"/>
      <c r="AW548" s="46"/>
      <c r="AX548" s="46"/>
    </row>
    <row r="549" spans="2:53" ht="32.25" thickBot="1" x14ac:dyDescent="0.3">
      <c r="G549" s="102" t="s">
        <v>14</v>
      </c>
      <c r="H549" s="102"/>
      <c r="I549" s="102"/>
      <c r="J549" s="102"/>
      <c r="K549" s="102" t="s">
        <v>15</v>
      </c>
      <c r="L549" s="102"/>
      <c r="M549" s="102"/>
      <c r="N549" s="102"/>
      <c r="O549" s="102" t="s">
        <v>59</v>
      </c>
      <c r="P549" s="102"/>
      <c r="Q549" s="102" t="s">
        <v>16</v>
      </c>
      <c r="R549" s="102"/>
      <c r="S549" s="102"/>
      <c r="T549" s="102"/>
      <c r="U549" s="102"/>
      <c r="V549" s="102"/>
      <c r="W549" s="102"/>
      <c r="X549" s="102"/>
      <c r="Y549" s="102" t="s">
        <v>14</v>
      </c>
      <c r="Z549" s="102"/>
      <c r="AA549" s="102"/>
      <c r="AB549" s="102"/>
      <c r="AC549" s="102" t="s">
        <v>15</v>
      </c>
      <c r="AD549" s="102"/>
      <c r="AE549" s="102"/>
      <c r="AF549" s="102"/>
      <c r="AG549" s="102" t="s">
        <v>59</v>
      </c>
      <c r="AH549" s="102"/>
      <c r="AI549" s="102" t="s">
        <v>16</v>
      </c>
      <c r="AJ549" s="102"/>
      <c r="AK549" s="102"/>
      <c r="AL549" s="102"/>
      <c r="AM549" s="102"/>
      <c r="AN549" s="102"/>
      <c r="AO549" s="102"/>
      <c r="AP549" s="102"/>
      <c r="AQ549" s="76" t="s">
        <v>60</v>
      </c>
      <c r="AR549" s="76" t="s">
        <v>70</v>
      </c>
      <c r="AS549" s="76" t="s">
        <v>65</v>
      </c>
      <c r="AT549" s="76" t="s">
        <v>61</v>
      </c>
      <c r="AU549" s="76" t="s">
        <v>62</v>
      </c>
      <c r="AV549" s="76" t="s">
        <v>27</v>
      </c>
      <c r="AW549" s="76" t="s">
        <v>64</v>
      </c>
      <c r="AX549" s="76" t="s">
        <v>63</v>
      </c>
      <c r="AY549" s="76" t="s">
        <v>66</v>
      </c>
      <c r="AZ549" s="76" t="s">
        <v>67</v>
      </c>
    </row>
    <row r="550" spans="2:53" ht="48" thickBot="1" x14ac:dyDescent="0.3">
      <c r="B550" s="21">
        <v>0.625000000000001</v>
      </c>
      <c r="C550" s="14" t="s">
        <v>13</v>
      </c>
      <c r="D550" s="8" t="s">
        <v>6</v>
      </c>
      <c r="F550" s="13"/>
      <c r="G550" s="81" t="s">
        <v>20</v>
      </c>
      <c r="H550" s="64" t="s">
        <v>17</v>
      </c>
      <c r="I550" s="64" t="s">
        <v>19</v>
      </c>
      <c r="J550" s="64" t="s">
        <v>18</v>
      </c>
      <c r="K550" s="64" t="s">
        <v>52</v>
      </c>
      <c r="L550" s="64" t="s">
        <v>51</v>
      </c>
      <c r="M550" s="64" t="s">
        <v>53</v>
      </c>
      <c r="N550" s="64" t="s">
        <v>54</v>
      </c>
      <c r="O550" s="64" t="s">
        <v>20</v>
      </c>
      <c r="P550" s="64" t="s">
        <v>19</v>
      </c>
      <c r="Q550" s="64" t="s">
        <v>55</v>
      </c>
      <c r="R550" s="64" t="s">
        <v>56</v>
      </c>
      <c r="S550" s="64" t="s">
        <v>52</v>
      </c>
      <c r="T550" s="64" t="s">
        <v>51</v>
      </c>
      <c r="U550" s="64" t="s">
        <v>57</v>
      </c>
      <c r="V550" s="64" t="s">
        <v>58</v>
      </c>
      <c r="W550" s="64" t="s">
        <v>53</v>
      </c>
      <c r="X550" s="64" t="s">
        <v>54</v>
      </c>
      <c r="Y550" s="81" t="s">
        <v>20</v>
      </c>
      <c r="Z550" s="64" t="s">
        <v>17</v>
      </c>
      <c r="AA550" s="64" t="s">
        <v>19</v>
      </c>
      <c r="AB550" s="64" t="s">
        <v>18</v>
      </c>
      <c r="AC550" s="64" t="s">
        <v>52</v>
      </c>
      <c r="AD550" s="64" t="s">
        <v>51</v>
      </c>
      <c r="AE550" s="64" t="s">
        <v>53</v>
      </c>
      <c r="AF550" s="64" t="s">
        <v>54</v>
      </c>
      <c r="AG550" s="64" t="s">
        <v>20</v>
      </c>
      <c r="AH550" s="64" t="s">
        <v>19</v>
      </c>
      <c r="AI550" s="64" t="s">
        <v>55</v>
      </c>
      <c r="AJ550" s="64" t="s">
        <v>56</v>
      </c>
      <c r="AK550" s="64" t="s">
        <v>52</v>
      </c>
      <c r="AL550" s="64" t="s">
        <v>51</v>
      </c>
      <c r="AM550" s="64" t="s">
        <v>57</v>
      </c>
      <c r="AN550" s="64" t="s">
        <v>58</v>
      </c>
      <c r="AO550" s="64" t="s">
        <v>53</v>
      </c>
      <c r="AP550" s="64" t="s">
        <v>54</v>
      </c>
      <c r="AQ550" s="46"/>
      <c r="AR550" s="46"/>
      <c r="AS550" s="46"/>
      <c r="AT550" s="46"/>
      <c r="AU550" s="46"/>
      <c r="AV550" s="46"/>
      <c r="AW550" s="46"/>
      <c r="AX550" s="46"/>
    </row>
    <row r="551" spans="2:53" ht="16.5" customHeight="1" thickBot="1" x14ac:dyDescent="0.3">
      <c r="B551" s="1" t="s">
        <v>0</v>
      </c>
      <c r="C551" s="10">
        <v>3</v>
      </c>
      <c r="D551">
        <f>C551</f>
        <v>3</v>
      </c>
      <c r="F551" s="12" t="s">
        <v>0</v>
      </c>
      <c r="G551" s="86"/>
      <c r="H551" s="66"/>
      <c r="I551" s="66"/>
      <c r="J551" s="67"/>
      <c r="K551" s="65"/>
      <c r="L551" s="66"/>
      <c r="M551" s="66"/>
      <c r="N551" s="66"/>
      <c r="O551" s="65"/>
      <c r="P551" s="67"/>
      <c r="Q551" s="65">
        <v>1</v>
      </c>
      <c r="R551" s="66"/>
      <c r="S551" s="66"/>
      <c r="T551" s="66"/>
      <c r="U551" s="66">
        <v>2</v>
      </c>
      <c r="V551" s="66"/>
      <c r="W551" s="66"/>
      <c r="X551" s="67"/>
      <c r="Y551" s="86"/>
      <c r="Z551" s="66"/>
      <c r="AA551" s="66"/>
      <c r="AB551" s="66"/>
      <c r="AC551" s="65"/>
      <c r="AD551" s="66"/>
      <c r="AE551" s="66"/>
      <c r="AF551" s="67"/>
      <c r="AG551" s="66"/>
      <c r="AH551" s="67"/>
      <c r="AI551" s="66"/>
      <c r="AJ551" s="66"/>
      <c r="AK551" s="66"/>
      <c r="AL551" s="66"/>
      <c r="AM551" s="66"/>
      <c r="AN551" s="66"/>
      <c r="AO551" s="66"/>
      <c r="AP551" s="66">
        <v>3</v>
      </c>
      <c r="AQ551" s="65"/>
      <c r="AR551" s="65">
        <v>1</v>
      </c>
      <c r="AS551" s="65"/>
      <c r="AT551" s="65"/>
      <c r="AU551" s="65"/>
      <c r="AV551" s="65"/>
      <c r="AW551" s="65"/>
      <c r="AX551" s="68"/>
      <c r="AY551" s="17"/>
      <c r="AZ551" s="17"/>
    </row>
    <row r="552" spans="2:53" ht="16.5" customHeight="1" thickBot="1" x14ac:dyDescent="0.3">
      <c r="B552" s="1" t="s">
        <v>1</v>
      </c>
      <c r="C552" s="10">
        <v>8</v>
      </c>
      <c r="D552">
        <f t="shared" ref="D552:D554" si="60">C552</f>
        <v>8</v>
      </c>
      <c r="F552" s="1" t="s">
        <v>1</v>
      </c>
      <c r="G552" s="87"/>
      <c r="H552" s="46"/>
      <c r="I552" s="46"/>
      <c r="J552" s="70"/>
      <c r="K552" s="69"/>
      <c r="L552" s="46"/>
      <c r="M552" s="46"/>
      <c r="N552" s="46"/>
      <c r="O552" s="69">
        <v>2</v>
      </c>
      <c r="P552" s="70">
        <v>3</v>
      </c>
      <c r="Q552" s="69"/>
      <c r="R552" s="46">
        <v>2</v>
      </c>
      <c r="S552" s="46">
        <v>1</v>
      </c>
      <c r="T552" s="46"/>
      <c r="U552" s="46"/>
      <c r="V552" s="46"/>
      <c r="W552" s="46"/>
      <c r="X552" s="70"/>
      <c r="Y552" s="87"/>
      <c r="Z552" s="46"/>
      <c r="AA552" s="46"/>
      <c r="AB552" s="46"/>
      <c r="AC552" s="69"/>
      <c r="AD552" s="46"/>
      <c r="AE552" s="46"/>
      <c r="AF552" s="70"/>
      <c r="AG552" s="46">
        <v>3</v>
      </c>
      <c r="AH552" s="70">
        <v>4</v>
      </c>
      <c r="AI552" s="46"/>
      <c r="AJ552" s="46"/>
      <c r="AK552" s="46"/>
      <c r="AL552" s="46"/>
      <c r="AM552" s="46">
        <v>1</v>
      </c>
      <c r="AN552" s="46"/>
      <c r="AO552" s="46"/>
      <c r="AP552" s="46"/>
      <c r="AQ552" s="69"/>
      <c r="AR552" s="69">
        <v>1</v>
      </c>
      <c r="AS552" s="69"/>
      <c r="AT552" s="69"/>
      <c r="AU552" s="69"/>
      <c r="AV552" s="69"/>
      <c r="AW552" s="69"/>
      <c r="AX552" s="71"/>
      <c r="AY552" s="18"/>
      <c r="AZ552" s="18">
        <v>5</v>
      </c>
    </row>
    <row r="553" spans="2:53" ht="16.5" customHeight="1" thickBot="1" x14ac:dyDescent="0.3">
      <c r="B553" s="1" t="s">
        <v>2</v>
      </c>
      <c r="C553" s="10"/>
      <c r="D553">
        <f>C553</f>
        <v>0</v>
      </c>
      <c r="F553" s="1" t="s">
        <v>2</v>
      </c>
      <c r="G553" s="87"/>
      <c r="H553" s="46"/>
      <c r="I553" s="46"/>
      <c r="J553" s="70"/>
      <c r="K553" s="69"/>
      <c r="L553" s="46"/>
      <c r="M553" s="46"/>
      <c r="N553" s="46"/>
      <c r="O553" s="69"/>
      <c r="P553" s="70"/>
      <c r="Q553" s="69"/>
      <c r="R553" s="46"/>
      <c r="S553" s="46"/>
      <c r="T553" s="46"/>
      <c r="U553" s="46"/>
      <c r="V553" s="46"/>
      <c r="W553" s="46"/>
      <c r="X553" s="70"/>
      <c r="Y553" s="87"/>
      <c r="Z553" s="46"/>
      <c r="AA553" s="46"/>
      <c r="AB553" s="46"/>
      <c r="AC553" s="69"/>
      <c r="AD553" s="46"/>
      <c r="AE553" s="46"/>
      <c r="AF553" s="70"/>
      <c r="AG553" s="46"/>
      <c r="AH553" s="70"/>
      <c r="AI553" s="46"/>
      <c r="AJ553" s="46"/>
      <c r="AK553" s="46"/>
      <c r="AL553" s="46"/>
      <c r="AM553" s="46"/>
      <c r="AN553" s="46"/>
      <c r="AO553" s="46"/>
      <c r="AP553" s="46"/>
      <c r="AQ553" s="69"/>
      <c r="AR553" s="69"/>
      <c r="AS553" s="69"/>
      <c r="AT553" s="69"/>
      <c r="AU553" s="69"/>
      <c r="AV553" s="69"/>
      <c r="AW553" s="69"/>
      <c r="AX553" s="71"/>
      <c r="AY553" s="18"/>
      <c r="AZ553" s="18"/>
    </row>
    <row r="554" spans="2:53" ht="16.5" customHeight="1" thickBot="1" x14ac:dyDescent="0.3">
      <c r="B554" s="1" t="s">
        <v>3</v>
      </c>
      <c r="C554" s="10"/>
      <c r="D554" s="7">
        <f t="shared" si="60"/>
        <v>0</v>
      </c>
      <c r="F554" s="1" t="s">
        <v>3</v>
      </c>
      <c r="G554" s="88"/>
      <c r="H554" s="73"/>
      <c r="I554" s="73"/>
      <c r="J554" s="74"/>
      <c r="K554" s="72"/>
      <c r="L554" s="73"/>
      <c r="M554" s="73"/>
      <c r="N554" s="73"/>
      <c r="O554" s="72"/>
      <c r="P554" s="74"/>
      <c r="Q554" s="72"/>
      <c r="R554" s="73"/>
      <c r="S554" s="73"/>
      <c r="T554" s="73"/>
      <c r="U554" s="73"/>
      <c r="V554" s="73"/>
      <c r="W554" s="73"/>
      <c r="X554" s="74"/>
      <c r="Y554" s="88"/>
      <c r="Z554" s="73"/>
      <c r="AA554" s="73"/>
      <c r="AB554" s="73"/>
      <c r="AC554" s="72"/>
      <c r="AD554" s="73"/>
      <c r="AE554" s="73"/>
      <c r="AF554" s="74"/>
      <c r="AG554" s="73"/>
      <c r="AH554" s="74"/>
      <c r="AI554" s="73"/>
      <c r="AJ554" s="73"/>
      <c r="AK554" s="73"/>
      <c r="AL554" s="73"/>
      <c r="AM554" s="73"/>
      <c r="AN554" s="73"/>
      <c r="AO554" s="73"/>
      <c r="AP554" s="73"/>
      <c r="AQ554" s="72"/>
      <c r="AR554" s="72"/>
      <c r="AS554" s="72"/>
      <c r="AT554" s="72"/>
      <c r="AU554" s="72"/>
      <c r="AV554" s="72"/>
      <c r="AW554" s="72"/>
      <c r="AX554" s="75"/>
      <c r="AY554" s="19"/>
      <c r="AZ554" s="19"/>
    </row>
    <row r="555" spans="2:53" ht="21" customHeight="1" x14ac:dyDescent="0.25">
      <c r="B555" s="2"/>
      <c r="C555" s="3" t="s">
        <v>25</v>
      </c>
      <c r="D555" s="9">
        <f>SUM(D551:D554)</f>
        <v>11</v>
      </c>
      <c r="G555" s="85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85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</row>
    <row r="556" spans="2:53" x14ac:dyDescent="0.25"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</row>
    <row r="557" spans="2:53" ht="15.75" x14ac:dyDescent="0.25">
      <c r="G557" s="100" t="s">
        <v>22</v>
      </c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1" t="s">
        <v>21</v>
      </c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46"/>
      <c r="AR557" s="46"/>
      <c r="AS557" s="46"/>
      <c r="AT557" s="46"/>
      <c r="AU557" s="46"/>
      <c r="AV557" s="46"/>
      <c r="AW557" s="46"/>
      <c r="AX557" s="46"/>
    </row>
    <row r="558" spans="2:53" ht="32.25" thickBot="1" x14ac:dyDescent="0.3">
      <c r="G558" s="102" t="s">
        <v>14</v>
      </c>
      <c r="H558" s="102"/>
      <c r="I558" s="102"/>
      <c r="J558" s="102"/>
      <c r="K558" s="102" t="s">
        <v>15</v>
      </c>
      <c r="L558" s="102"/>
      <c r="M558" s="102"/>
      <c r="N558" s="102"/>
      <c r="O558" s="102" t="s">
        <v>59</v>
      </c>
      <c r="P558" s="102"/>
      <c r="Q558" s="102" t="s">
        <v>16</v>
      </c>
      <c r="R558" s="102"/>
      <c r="S558" s="102"/>
      <c r="T558" s="102"/>
      <c r="U558" s="102"/>
      <c r="V558" s="102"/>
      <c r="W558" s="102"/>
      <c r="X558" s="102"/>
      <c r="Y558" s="102" t="s">
        <v>14</v>
      </c>
      <c r="Z558" s="102"/>
      <c r="AA558" s="102"/>
      <c r="AB558" s="102"/>
      <c r="AC558" s="102" t="s">
        <v>15</v>
      </c>
      <c r="AD558" s="102"/>
      <c r="AE558" s="102"/>
      <c r="AF558" s="102"/>
      <c r="AG558" s="102" t="s">
        <v>59</v>
      </c>
      <c r="AH558" s="102"/>
      <c r="AI558" s="102" t="s">
        <v>16</v>
      </c>
      <c r="AJ558" s="102"/>
      <c r="AK558" s="102"/>
      <c r="AL558" s="102"/>
      <c r="AM558" s="102"/>
      <c r="AN558" s="102"/>
      <c r="AO558" s="102"/>
      <c r="AP558" s="102"/>
      <c r="AQ558" s="76" t="s">
        <v>60</v>
      </c>
      <c r="AR558" s="76" t="s">
        <v>70</v>
      </c>
      <c r="AS558" s="76" t="s">
        <v>65</v>
      </c>
      <c r="AT558" s="76" t="s">
        <v>61</v>
      </c>
      <c r="AU558" s="76" t="s">
        <v>62</v>
      </c>
      <c r="AV558" s="76" t="s">
        <v>27</v>
      </c>
      <c r="AW558" s="76" t="s">
        <v>64</v>
      </c>
      <c r="AX558" s="76" t="s">
        <v>63</v>
      </c>
      <c r="AY558" s="76" t="s">
        <v>66</v>
      </c>
      <c r="AZ558" s="76" t="s">
        <v>67</v>
      </c>
    </row>
    <row r="559" spans="2:53" ht="48" thickBot="1" x14ac:dyDescent="0.3">
      <c r="B559" s="21">
        <v>0.63541666666666696</v>
      </c>
      <c r="C559" s="14" t="s">
        <v>13</v>
      </c>
      <c r="D559" s="8" t="s">
        <v>6</v>
      </c>
      <c r="F559" s="13"/>
      <c r="G559" s="81" t="s">
        <v>20</v>
      </c>
      <c r="H559" s="64" t="s">
        <v>17</v>
      </c>
      <c r="I559" s="64" t="s">
        <v>19</v>
      </c>
      <c r="J559" s="64" t="s">
        <v>18</v>
      </c>
      <c r="K559" s="64" t="s">
        <v>52</v>
      </c>
      <c r="L559" s="64" t="s">
        <v>51</v>
      </c>
      <c r="M559" s="64" t="s">
        <v>53</v>
      </c>
      <c r="N559" s="64" t="s">
        <v>54</v>
      </c>
      <c r="O559" s="64" t="s">
        <v>20</v>
      </c>
      <c r="P559" s="64" t="s">
        <v>19</v>
      </c>
      <c r="Q559" s="64" t="s">
        <v>55</v>
      </c>
      <c r="R559" s="64" t="s">
        <v>56</v>
      </c>
      <c r="S559" s="64" t="s">
        <v>52</v>
      </c>
      <c r="T559" s="64" t="s">
        <v>51</v>
      </c>
      <c r="U559" s="64" t="s">
        <v>57</v>
      </c>
      <c r="V559" s="64" t="s">
        <v>58</v>
      </c>
      <c r="W559" s="64" t="s">
        <v>53</v>
      </c>
      <c r="X559" s="64" t="s">
        <v>54</v>
      </c>
      <c r="Y559" s="81" t="s">
        <v>20</v>
      </c>
      <c r="Z559" s="64" t="s">
        <v>17</v>
      </c>
      <c r="AA559" s="64" t="s">
        <v>19</v>
      </c>
      <c r="AB559" s="64" t="s">
        <v>18</v>
      </c>
      <c r="AC559" s="64" t="s">
        <v>52</v>
      </c>
      <c r="AD559" s="64" t="s">
        <v>51</v>
      </c>
      <c r="AE559" s="64" t="s">
        <v>53</v>
      </c>
      <c r="AF559" s="64" t="s">
        <v>54</v>
      </c>
      <c r="AG559" s="64" t="s">
        <v>20</v>
      </c>
      <c r="AH559" s="64" t="s">
        <v>19</v>
      </c>
      <c r="AI559" s="64" t="s">
        <v>55</v>
      </c>
      <c r="AJ559" s="64" t="s">
        <v>56</v>
      </c>
      <c r="AK559" s="64" t="s">
        <v>52</v>
      </c>
      <c r="AL559" s="64" t="s">
        <v>51</v>
      </c>
      <c r="AM559" s="64" t="s">
        <v>57</v>
      </c>
      <c r="AN559" s="64" t="s">
        <v>58</v>
      </c>
      <c r="AO559" s="64" t="s">
        <v>53</v>
      </c>
      <c r="AP559" s="64" t="s">
        <v>54</v>
      </c>
      <c r="AQ559" s="46"/>
      <c r="AR559" s="46"/>
      <c r="AS559" s="46"/>
      <c r="AT559" s="46"/>
      <c r="AU559" s="46"/>
      <c r="AV559" s="46"/>
      <c r="AW559" s="46"/>
      <c r="AX559" s="46"/>
    </row>
    <row r="560" spans="2:53" ht="16.5" customHeight="1" thickBot="1" x14ac:dyDescent="0.3">
      <c r="B560" s="1" t="s">
        <v>0</v>
      </c>
      <c r="C560" s="10">
        <v>16</v>
      </c>
      <c r="D560">
        <f>C560</f>
        <v>16</v>
      </c>
      <c r="F560" s="12" t="s">
        <v>0</v>
      </c>
      <c r="G560" s="86"/>
      <c r="H560" s="66"/>
      <c r="I560" s="66"/>
      <c r="J560" s="67"/>
      <c r="K560" s="65"/>
      <c r="L560" s="66"/>
      <c r="M560" s="66"/>
      <c r="N560" s="66"/>
      <c r="O560" s="65"/>
      <c r="P560" s="67"/>
      <c r="Q560" s="65"/>
      <c r="R560" s="66"/>
      <c r="S560" s="66">
        <v>7</v>
      </c>
      <c r="T560" s="66">
        <v>3</v>
      </c>
      <c r="U560" s="66">
        <v>4</v>
      </c>
      <c r="V560" s="66">
        <v>2</v>
      </c>
      <c r="W560" s="66"/>
      <c r="X560" s="67"/>
      <c r="Y560" s="86"/>
      <c r="Z560" s="66"/>
      <c r="AA560" s="66"/>
      <c r="AB560" s="66"/>
      <c r="AC560" s="65"/>
      <c r="AD560" s="66"/>
      <c r="AE560" s="66"/>
      <c r="AF560" s="67"/>
      <c r="AG560" s="66"/>
      <c r="AH560" s="67"/>
      <c r="AI560" s="66"/>
      <c r="AJ560" s="66"/>
      <c r="AK560" s="66"/>
      <c r="AL560" s="66"/>
      <c r="AM560" s="66"/>
      <c r="AN560" s="66"/>
      <c r="AO560" s="66">
        <v>2</v>
      </c>
      <c r="AP560" s="66">
        <v>14</v>
      </c>
      <c r="AQ560" s="65"/>
      <c r="AR560" s="65">
        <v>5</v>
      </c>
      <c r="AS560" s="65"/>
      <c r="AT560" s="65"/>
      <c r="AU560" s="65"/>
      <c r="AV560" s="65"/>
      <c r="AW560" s="65">
        <v>3</v>
      </c>
      <c r="AX560" s="68"/>
      <c r="AY560" s="17"/>
      <c r="AZ560" s="17"/>
      <c r="BA560" t="s">
        <v>85</v>
      </c>
    </row>
    <row r="561" spans="2:53" ht="16.5" customHeight="1" thickBot="1" x14ac:dyDescent="0.3">
      <c r="B561" s="1" t="s">
        <v>1</v>
      </c>
      <c r="C561" s="10">
        <v>10</v>
      </c>
      <c r="D561">
        <f t="shared" ref="D561:D563" si="61">C561</f>
        <v>10</v>
      </c>
      <c r="F561" s="1" t="s">
        <v>1</v>
      </c>
      <c r="G561" s="87"/>
      <c r="H561" s="46"/>
      <c r="I561" s="46"/>
      <c r="J561" s="70"/>
      <c r="K561" s="69"/>
      <c r="L561" s="46"/>
      <c r="M561" s="46"/>
      <c r="N561" s="46"/>
      <c r="O561" s="69">
        <v>3</v>
      </c>
      <c r="P561" s="70">
        <v>2</v>
      </c>
      <c r="Q561" s="69"/>
      <c r="R561" s="46"/>
      <c r="S561" s="46">
        <v>2</v>
      </c>
      <c r="T561" s="46">
        <v>1</v>
      </c>
      <c r="U561" s="46">
        <v>1</v>
      </c>
      <c r="V561" s="46">
        <v>1</v>
      </c>
      <c r="W561" s="46"/>
      <c r="X561" s="70"/>
      <c r="Y561" s="87"/>
      <c r="Z561" s="46"/>
      <c r="AA561" s="46"/>
      <c r="AB561" s="46"/>
      <c r="AC561" s="69"/>
      <c r="AD561" s="46"/>
      <c r="AE561" s="46"/>
      <c r="AF561" s="70"/>
      <c r="AG561" s="46"/>
      <c r="AH561" s="70">
        <v>3</v>
      </c>
      <c r="AI561" s="46"/>
      <c r="AJ561" s="46"/>
      <c r="AK561" s="46"/>
      <c r="AL561" s="46"/>
      <c r="AM561" s="46"/>
      <c r="AN561" s="46"/>
      <c r="AO561" s="46">
        <v>1</v>
      </c>
      <c r="AP561" s="46">
        <v>6</v>
      </c>
      <c r="AQ561" s="69">
        <v>3</v>
      </c>
      <c r="AR561" s="69">
        <v>3</v>
      </c>
      <c r="AS561" s="69"/>
      <c r="AT561" s="69"/>
      <c r="AU561" s="69"/>
      <c r="AV561" s="69"/>
      <c r="AW561" s="69"/>
      <c r="AX561" s="71"/>
      <c r="AY561" s="18"/>
      <c r="AZ561" s="18"/>
      <c r="BA561" t="s">
        <v>86</v>
      </c>
    </row>
    <row r="562" spans="2:53" ht="16.5" customHeight="1" thickBot="1" x14ac:dyDescent="0.3">
      <c r="B562" s="1" t="s">
        <v>2</v>
      </c>
      <c r="C562" s="10">
        <v>3</v>
      </c>
      <c r="D562">
        <f>C562</f>
        <v>3</v>
      </c>
      <c r="F562" s="1" t="s">
        <v>2</v>
      </c>
      <c r="G562" s="87"/>
      <c r="H562" s="46"/>
      <c r="I562" s="46"/>
      <c r="J562" s="70"/>
      <c r="K562" s="69"/>
      <c r="L562" s="46"/>
      <c r="M562" s="46"/>
      <c r="N562" s="46"/>
      <c r="O562" s="69"/>
      <c r="P562" s="70">
        <v>2</v>
      </c>
      <c r="Q562" s="69"/>
      <c r="R562" s="46"/>
      <c r="S562" s="46"/>
      <c r="T562" s="46"/>
      <c r="U562" s="46"/>
      <c r="V562" s="46">
        <v>1</v>
      </c>
      <c r="W562" s="46"/>
      <c r="X562" s="70"/>
      <c r="Y562" s="87"/>
      <c r="Z562" s="46"/>
      <c r="AA562" s="46"/>
      <c r="AB562" s="46"/>
      <c r="AC562" s="69"/>
      <c r="AD562" s="46"/>
      <c r="AE562" s="46"/>
      <c r="AF562" s="70"/>
      <c r="AG562" s="46"/>
      <c r="AH562" s="70"/>
      <c r="AI562" s="46"/>
      <c r="AJ562" s="46"/>
      <c r="AK562" s="46"/>
      <c r="AL562" s="46"/>
      <c r="AM562" s="46"/>
      <c r="AN562" s="46"/>
      <c r="AO562" s="46">
        <v>1</v>
      </c>
      <c r="AP562" s="46">
        <v>2</v>
      </c>
      <c r="AQ562" s="69"/>
      <c r="AR562" s="69">
        <v>3</v>
      </c>
      <c r="AS562" s="69"/>
      <c r="AT562" s="69"/>
      <c r="AU562" s="69"/>
      <c r="AV562" s="69"/>
      <c r="AW562" s="69"/>
      <c r="AX562" s="71"/>
      <c r="AY562" s="18"/>
      <c r="AZ562" s="18"/>
    </row>
    <row r="563" spans="2:53" ht="16.5" customHeight="1" thickBot="1" x14ac:dyDescent="0.3">
      <c r="B563" s="1" t="s">
        <v>3</v>
      </c>
      <c r="C563" s="10"/>
      <c r="D563" s="7">
        <f t="shared" si="61"/>
        <v>0</v>
      </c>
      <c r="F563" s="1" t="s">
        <v>3</v>
      </c>
      <c r="G563" s="88"/>
      <c r="H563" s="73"/>
      <c r="I563" s="73"/>
      <c r="J563" s="74"/>
      <c r="K563" s="72"/>
      <c r="L563" s="73"/>
      <c r="M563" s="73"/>
      <c r="N563" s="73"/>
      <c r="O563" s="72"/>
      <c r="P563" s="74"/>
      <c r="Q563" s="72"/>
      <c r="R563" s="73"/>
      <c r="S563" s="73"/>
      <c r="T563" s="73"/>
      <c r="U563" s="73"/>
      <c r="V563" s="73"/>
      <c r="W563" s="73"/>
      <c r="X563" s="74"/>
      <c r="Y563" s="88"/>
      <c r="Z563" s="73"/>
      <c r="AA563" s="73"/>
      <c r="AB563" s="73"/>
      <c r="AC563" s="72"/>
      <c r="AD563" s="73"/>
      <c r="AE563" s="73"/>
      <c r="AF563" s="74"/>
      <c r="AG563" s="73"/>
      <c r="AH563" s="74"/>
      <c r="AI563" s="73"/>
      <c r="AJ563" s="73"/>
      <c r="AK563" s="73"/>
      <c r="AL563" s="73"/>
      <c r="AM563" s="73"/>
      <c r="AN563" s="73"/>
      <c r="AO563" s="73"/>
      <c r="AP563" s="73"/>
      <c r="AQ563" s="72"/>
      <c r="AR563" s="72"/>
      <c r="AS563" s="72"/>
      <c r="AT563" s="72"/>
      <c r="AU563" s="72"/>
      <c r="AV563" s="72"/>
      <c r="AW563" s="72"/>
      <c r="AX563" s="75"/>
      <c r="AY563" s="19"/>
      <c r="AZ563" s="19"/>
    </row>
    <row r="564" spans="2:53" ht="21" customHeight="1" x14ac:dyDescent="0.25">
      <c r="B564" s="2"/>
      <c r="C564" s="3" t="s">
        <v>25</v>
      </c>
      <c r="D564" s="9">
        <f>SUM(D560:D563)</f>
        <v>29</v>
      </c>
      <c r="G564" s="85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85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</row>
    <row r="565" spans="2:53" x14ac:dyDescent="0.25"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</row>
    <row r="566" spans="2:53" ht="15.75" x14ac:dyDescent="0.25">
      <c r="G566" s="100" t="s">
        <v>22</v>
      </c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1" t="s">
        <v>21</v>
      </c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46"/>
      <c r="AR566" s="46"/>
      <c r="AS566" s="46"/>
      <c r="AT566" s="46"/>
      <c r="AU566" s="46"/>
      <c r="AV566" s="46"/>
      <c r="AW566" s="46"/>
      <c r="AX566" s="46"/>
    </row>
    <row r="567" spans="2:53" ht="32.25" thickBot="1" x14ac:dyDescent="0.3">
      <c r="G567" s="102" t="s">
        <v>14</v>
      </c>
      <c r="H567" s="102"/>
      <c r="I567" s="102"/>
      <c r="J567" s="102"/>
      <c r="K567" s="102" t="s">
        <v>15</v>
      </c>
      <c r="L567" s="102"/>
      <c r="M567" s="102"/>
      <c r="N567" s="102"/>
      <c r="O567" s="102" t="s">
        <v>59</v>
      </c>
      <c r="P567" s="102"/>
      <c r="Q567" s="102" t="s">
        <v>16</v>
      </c>
      <c r="R567" s="102"/>
      <c r="S567" s="102"/>
      <c r="T567" s="102"/>
      <c r="U567" s="102"/>
      <c r="V567" s="102"/>
      <c r="W567" s="102"/>
      <c r="X567" s="102"/>
      <c r="Y567" s="102" t="s">
        <v>14</v>
      </c>
      <c r="Z567" s="102"/>
      <c r="AA567" s="102"/>
      <c r="AB567" s="102"/>
      <c r="AC567" s="102" t="s">
        <v>15</v>
      </c>
      <c r="AD567" s="102"/>
      <c r="AE567" s="102"/>
      <c r="AF567" s="102"/>
      <c r="AG567" s="102" t="s">
        <v>59</v>
      </c>
      <c r="AH567" s="102"/>
      <c r="AI567" s="102" t="s">
        <v>16</v>
      </c>
      <c r="AJ567" s="102"/>
      <c r="AK567" s="102"/>
      <c r="AL567" s="102"/>
      <c r="AM567" s="102"/>
      <c r="AN567" s="102"/>
      <c r="AO567" s="102"/>
      <c r="AP567" s="102"/>
      <c r="AQ567" s="76" t="s">
        <v>60</v>
      </c>
      <c r="AR567" s="76" t="s">
        <v>70</v>
      </c>
      <c r="AS567" s="76" t="s">
        <v>65</v>
      </c>
      <c r="AT567" s="76" t="s">
        <v>61</v>
      </c>
      <c r="AU567" s="76" t="s">
        <v>62</v>
      </c>
      <c r="AV567" s="76" t="s">
        <v>27</v>
      </c>
      <c r="AW567" s="76" t="s">
        <v>64</v>
      </c>
      <c r="AX567" s="76" t="s">
        <v>63</v>
      </c>
      <c r="AY567" s="76" t="s">
        <v>66</v>
      </c>
      <c r="AZ567" s="76" t="s">
        <v>67</v>
      </c>
      <c r="BA567" s="76" t="s">
        <v>88</v>
      </c>
    </row>
    <row r="568" spans="2:53" ht="48" thickBot="1" x14ac:dyDescent="0.3">
      <c r="B568" s="21">
        <v>0.64583333333333404</v>
      </c>
      <c r="C568" s="14" t="s">
        <v>13</v>
      </c>
      <c r="D568" s="8" t="s">
        <v>6</v>
      </c>
      <c r="F568" s="13"/>
      <c r="G568" s="81" t="s">
        <v>20</v>
      </c>
      <c r="H568" s="64" t="s">
        <v>17</v>
      </c>
      <c r="I568" s="64" t="s">
        <v>19</v>
      </c>
      <c r="J568" s="64" t="s">
        <v>18</v>
      </c>
      <c r="K568" s="64" t="s">
        <v>52</v>
      </c>
      <c r="L568" s="64" t="s">
        <v>51</v>
      </c>
      <c r="M568" s="64" t="s">
        <v>53</v>
      </c>
      <c r="N568" s="64" t="s">
        <v>54</v>
      </c>
      <c r="O568" s="64" t="s">
        <v>20</v>
      </c>
      <c r="P568" s="64" t="s">
        <v>19</v>
      </c>
      <c r="Q568" s="64" t="s">
        <v>55</v>
      </c>
      <c r="R568" s="64" t="s">
        <v>56</v>
      </c>
      <c r="S568" s="64" t="s">
        <v>52</v>
      </c>
      <c r="T568" s="64" t="s">
        <v>51</v>
      </c>
      <c r="U568" s="64" t="s">
        <v>57</v>
      </c>
      <c r="V568" s="64" t="s">
        <v>58</v>
      </c>
      <c r="W568" s="64" t="s">
        <v>53</v>
      </c>
      <c r="X568" s="64" t="s">
        <v>54</v>
      </c>
      <c r="Y568" s="81" t="s">
        <v>20</v>
      </c>
      <c r="Z568" s="64" t="s">
        <v>17</v>
      </c>
      <c r="AA568" s="64" t="s">
        <v>19</v>
      </c>
      <c r="AB568" s="64" t="s">
        <v>18</v>
      </c>
      <c r="AC568" s="64" t="s">
        <v>52</v>
      </c>
      <c r="AD568" s="64" t="s">
        <v>51</v>
      </c>
      <c r="AE568" s="64" t="s">
        <v>53</v>
      </c>
      <c r="AF568" s="64" t="s">
        <v>54</v>
      </c>
      <c r="AG568" s="64" t="s">
        <v>20</v>
      </c>
      <c r="AH568" s="64" t="s">
        <v>19</v>
      </c>
      <c r="AI568" s="64" t="s">
        <v>55</v>
      </c>
      <c r="AJ568" s="64" t="s">
        <v>56</v>
      </c>
      <c r="AK568" s="64" t="s">
        <v>52</v>
      </c>
      <c r="AL568" s="64" t="s">
        <v>51</v>
      </c>
      <c r="AM568" s="64" t="s">
        <v>57</v>
      </c>
      <c r="AN568" s="64" t="s">
        <v>58</v>
      </c>
      <c r="AO568" s="64" t="s">
        <v>53</v>
      </c>
      <c r="AP568" s="64" t="s">
        <v>54</v>
      </c>
      <c r="AQ568" s="46"/>
      <c r="AR568" s="46"/>
      <c r="AS568" s="46"/>
      <c r="AT568" s="46"/>
      <c r="AU568" s="46"/>
      <c r="AV568" s="46"/>
      <c r="AW568" s="46"/>
      <c r="AX568" s="46"/>
    </row>
    <row r="569" spans="2:53" ht="16.5" customHeight="1" thickBot="1" x14ac:dyDescent="0.3">
      <c r="B569" s="1" t="s">
        <v>0</v>
      </c>
      <c r="C569" s="10">
        <v>101</v>
      </c>
      <c r="D569">
        <f>C569</f>
        <v>101</v>
      </c>
      <c r="F569" s="12" t="s">
        <v>0</v>
      </c>
      <c r="G569" s="86"/>
      <c r="H569" s="66"/>
      <c r="I569" s="66"/>
      <c r="J569" s="67"/>
      <c r="K569" s="65">
        <v>1</v>
      </c>
      <c r="L569" s="66"/>
      <c r="M569" s="66"/>
      <c r="N569" s="66"/>
      <c r="O569" s="65"/>
      <c r="P569" s="67"/>
      <c r="Q569" s="65">
        <v>2</v>
      </c>
      <c r="R569" s="66"/>
      <c r="S569" s="66">
        <v>4</v>
      </c>
      <c r="T569" s="66">
        <v>4</v>
      </c>
      <c r="U569" s="66"/>
      <c r="V569" s="66">
        <v>1</v>
      </c>
      <c r="W569" s="66">
        <v>13</v>
      </c>
      <c r="X569" s="67">
        <v>76</v>
      </c>
      <c r="Y569" s="86"/>
      <c r="Z569" s="66"/>
      <c r="AA569" s="66"/>
      <c r="AB569" s="66"/>
      <c r="AC569" s="65"/>
      <c r="AD569" s="66"/>
      <c r="AE569" s="66"/>
      <c r="AF569" s="67"/>
      <c r="AG569" s="66"/>
      <c r="AH569" s="67"/>
      <c r="AI569" s="66"/>
      <c r="AJ569" s="66">
        <v>21</v>
      </c>
      <c r="AK569" s="66">
        <v>27</v>
      </c>
      <c r="AL569" s="66">
        <v>33</v>
      </c>
      <c r="AM569" s="66">
        <v>8</v>
      </c>
      <c r="AN569" s="66">
        <v>4</v>
      </c>
      <c r="AO569" s="66"/>
      <c r="AP569" s="66">
        <v>8</v>
      </c>
      <c r="AQ569" s="65"/>
      <c r="AR569" s="65"/>
      <c r="AS569" s="65"/>
      <c r="AT569" s="65">
        <v>66</v>
      </c>
      <c r="AU569" s="65"/>
      <c r="AV569" s="65"/>
      <c r="AW569" s="65">
        <v>6</v>
      </c>
      <c r="AX569" s="68"/>
      <c r="AY569" s="17"/>
      <c r="AZ569" s="17">
        <v>25</v>
      </c>
      <c r="BA569" s="17"/>
    </row>
    <row r="570" spans="2:53" ht="16.5" customHeight="1" thickBot="1" x14ac:dyDescent="0.3">
      <c r="B570" s="1" t="s">
        <v>1</v>
      </c>
      <c r="C570" s="10">
        <v>85</v>
      </c>
      <c r="D570">
        <f t="shared" ref="D570:D572" si="62">C570</f>
        <v>85</v>
      </c>
      <c r="F570" s="1" t="s">
        <v>1</v>
      </c>
      <c r="G570" s="87"/>
      <c r="H570" s="46"/>
      <c r="I570" s="46"/>
      <c r="J570" s="70"/>
      <c r="K570" s="69"/>
      <c r="L570" s="46"/>
      <c r="M570" s="46"/>
      <c r="N570" s="46"/>
      <c r="O570" s="69">
        <v>2</v>
      </c>
      <c r="P570" s="70"/>
      <c r="Q570" s="69"/>
      <c r="R570" s="46"/>
      <c r="S570" s="46">
        <v>1</v>
      </c>
      <c r="T570" s="46"/>
      <c r="U570" s="46"/>
      <c r="V570" s="46"/>
      <c r="W570" s="46">
        <v>6</v>
      </c>
      <c r="X570" s="70">
        <v>76</v>
      </c>
      <c r="Y570" s="87"/>
      <c r="Z570" s="46"/>
      <c r="AA570" s="46"/>
      <c r="AB570" s="46"/>
      <c r="AC570" s="69">
        <v>3</v>
      </c>
      <c r="AD570" s="46"/>
      <c r="AE570" s="46"/>
      <c r="AF570" s="70"/>
      <c r="AG570" s="46">
        <v>2</v>
      </c>
      <c r="AH570" s="70">
        <v>20</v>
      </c>
      <c r="AI570" s="46"/>
      <c r="AJ570" s="46">
        <v>2</v>
      </c>
      <c r="AK570" s="46">
        <v>31</v>
      </c>
      <c r="AL570" s="46">
        <v>15</v>
      </c>
      <c r="AM570" s="46">
        <v>6</v>
      </c>
      <c r="AN570" s="46">
        <v>5</v>
      </c>
      <c r="AO570" s="46"/>
      <c r="AP570" s="46">
        <v>1</v>
      </c>
      <c r="AQ570" s="69"/>
      <c r="AR570" s="69"/>
      <c r="AS570" s="69"/>
      <c r="AT570" s="69">
        <v>75</v>
      </c>
      <c r="AU570" s="69"/>
      <c r="AV570" s="69"/>
      <c r="AW570" s="69"/>
      <c r="AX570" s="71"/>
      <c r="AY570" s="18"/>
      <c r="AZ570" s="18">
        <v>33</v>
      </c>
      <c r="BA570" s="18">
        <v>1</v>
      </c>
    </row>
    <row r="571" spans="2:53" ht="16.5" customHeight="1" thickBot="1" x14ac:dyDescent="0.3">
      <c r="B571" s="1" t="s">
        <v>2</v>
      </c>
      <c r="C571" s="10">
        <v>39</v>
      </c>
      <c r="D571">
        <f>C571</f>
        <v>39</v>
      </c>
      <c r="F571" s="1" t="s">
        <v>2</v>
      </c>
      <c r="G571" s="87"/>
      <c r="H571" s="46"/>
      <c r="I571" s="46"/>
      <c r="J571" s="70"/>
      <c r="K571" s="69"/>
      <c r="L571" s="46"/>
      <c r="M571" s="46"/>
      <c r="N571" s="46"/>
      <c r="O571" s="69"/>
      <c r="P571" s="70"/>
      <c r="Q571" s="69"/>
      <c r="R571" s="46"/>
      <c r="S571" s="46">
        <v>1</v>
      </c>
      <c r="T571" s="46"/>
      <c r="U571" s="46"/>
      <c r="V571" s="46"/>
      <c r="W571" s="46">
        <v>4</v>
      </c>
      <c r="X571" s="70">
        <v>34</v>
      </c>
      <c r="Y571" s="87"/>
      <c r="Z571" s="46"/>
      <c r="AA571" s="46"/>
      <c r="AB571" s="46"/>
      <c r="AC571" s="69"/>
      <c r="AD571" s="46"/>
      <c r="AE571" s="46"/>
      <c r="AF571" s="70"/>
      <c r="AG571" s="46"/>
      <c r="AH571" s="70">
        <v>6</v>
      </c>
      <c r="AI571" s="46"/>
      <c r="AJ571" s="46">
        <v>5</v>
      </c>
      <c r="AK571" s="46">
        <v>8</v>
      </c>
      <c r="AL571" s="46">
        <v>5</v>
      </c>
      <c r="AM571" s="46">
        <v>11</v>
      </c>
      <c r="AN571" s="46">
        <v>4</v>
      </c>
      <c r="AO571" s="46"/>
      <c r="AP571" s="46"/>
      <c r="AQ571" s="69"/>
      <c r="AR571" s="69"/>
      <c r="AS571" s="69"/>
      <c r="AT571" s="69">
        <v>31</v>
      </c>
      <c r="AU571" s="69"/>
      <c r="AV571" s="69"/>
      <c r="AW571" s="69"/>
      <c r="AX571" s="71"/>
      <c r="AY571" s="18"/>
      <c r="AZ571" s="18">
        <v>13</v>
      </c>
      <c r="BA571" s="18"/>
    </row>
    <row r="572" spans="2:53" ht="16.5" customHeight="1" thickBot="1" x14ac:dyDescent="0.3">
      <c r="B572" s="1" t="s">
        <v>87</v>
      </c>
      <c r="C572" s="10">
        <v>1</v>
      </c>
      <c r="D572" s="7">
        <f t="shared" si="62"/>
        <v>1</v>
      </c>
      <c r="F572" s="1" t="s">
        <v>3</v>
      </c>
      <c r="G572" s="88"/>
      <c r="H572" s="73"/>
      <c r="I572" s="73"/>
      <c r="J572" s="74"/>
      <c r="K572" s="72"/>
      <c r="L572" s="73"/>
      <c r="M572" s="73"/>
      <c r="N572" s="73"/>
      <c r="O572" s="72"/>
      <c r="P572" s="74"/>
      <c r="Q572" s="72"/>
      <c r="R572" s="73"/>
      <c r="S572" s="73"/>
      <c r="T572" s="73"/>
      <c r="U572" s="73"/>
      <c r="V572" s="73"/>
      <c r="W572" s="73"/>
      <c r="X572" s="74">
        <v>1</v>
      </c>
      <c r="Y572" s="88"/>
      <c r="Z572" s="73"/>
      <c r="AA572" s="73"/>
      <c r="AB572" s="73"/>
      <c r="AC572" s="72">
        <v>1</v>
      </c>
      <c r="AD572" s="73"/>
      <c r="AE572" s="73"/>
      <c r="AF572" s="74"/>
      <c r="AG572" s="73"/>
      <c r="AH572" s="74"/>
      <c r="AI572" s="73"/>
      <c r="AJ572" s="73"/>
      <c r="AK572" s="73"/>
      <c r="AL572" s="73"/>
      <c r="AM572" s="73"/>
      <c r="AN572" s="73"/>
      <c r="AO572" s="73"/>
      <c r="AP572" s="73"/>
      <c r="AQ572" s="72"/>
      <c r="AR572" s="72"/>
      <c r="AS572" s="72"/>
      <c r="AT572" s="72">
        <v>1</v>
      </c>
      <c r="AU572" s="72"/>
      <c r="AV572" s="72"/>
      <c r="AW572" s="72"/>
      <c r="AX572" s="75"/>
      <c r="AY572" s="19"/>
      <c r="AZ572" s="19">
        <v>1</v>
      </c>
      <c r="BA572" s="19"/>
    </row>
    <row r="573" spans="2:53" ht="21" customHeight="1" x14ac:dyDescent="0.25">
      <c r="B573" s="2"/>
      <c r="C573" s="3" t="s">
        <v>25</v>
      </c>
      <c r="D573" s="9">
        <f>SUM(D569:D572)</f>
        <v>226</v>
      </c>
      <c r="G573" s="85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85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</row>
    <row r="574" spans="2:53" x14ac:dyDescent="0.25"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</row>
    <row r="575" spans="2:53" ht="15.75" x14ac:dyDescent="0.25">
      <c r="G575" s="100" t="s">
        <v>22</v>
      </c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1" t="s">
        <v>21</v>
      </c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46"/>
      <c r="AR575" s="46"/>
      <c r="AS575" s="46"/>
      <c r="AT575" s="46"/>
      <c r="AU575" s="46"/>
      <c r="AV575" s="46"/>
      <c r="AW575" s="46"/>
      <c r="AX575" s="46"/>
    </row>
    <row r="576" spans="2:53" ht="32.25" thickBot="1" x14ac:dyDescent="0.3">
      <c r="G576" s="102" t="s">
        <v>14</v>
      </c>
      <c r="H576" s="102"/>
      <c r="I576" s="102"/>
      <c r="J576" s="102"/>
      <c r="K576" s="102" t="s">
        <v>15</v>
      </c>
      <c r="L576" s="102"/>
      <c r="M576" s="102"/>
      <c r="N576" s="102"/>
      <c r="O576" s="102" t="s">
        <v>59</v>
      </c>
      <c r="P576" s="102"/>
      <c r="Q576" s="102" t="s">
        <v>16</v>
      </c>
      <c r="R576" s="102"/>
      <c r="S576" s="102"/>
      <c r="T576" s="102"/>
      <c r="U576" s="102"/>
      <c r="V576" s="102"/>
      <c r="W576" s="102"/>
      <c r="X576" s="102"/>
      <c r="Y576" s="102" t="s">
        <v>14</v>
      </c>
      <c r="Z576" s="102"/>
      <c r="AA576" s="102"/>
      <c r="AB576" s="102"/>
      <c r="AC576" s="102" t="s">
        <v>15</v>
      </c>
      <c r="AD576" s="102"/>
      <c r="AE576" s="102"/>
      <c r="AF576" s="102"/>
      <c r="AG576" s="102" t="s">
        <v>59</v>
      </c>
      <c r="AH576" s="102"/>
      <c r="AI576" s="102" t="s">
        <v>16</v>
      </c>
      <c r="AJ576" s="102"/>
      <c r="AK576" s="102"/>
      <c r="AL576" s="102"/>
      <c r="AM576" s="102"/>
      <c r="AN576" s="102"/>
      <c r="AO576" s="102"/>
      <c r="AP576" s="102"/>
      <c r="AQ576" s="76" t="s">
        <v>60</v>
      </c>
      <c r="AR576" s="76" t="s">
        <v>70</v>
      </c>
      <c r="AS576" s="76" t="s">
        <v>65</v>
      </c>
      <c r="AT576" s="76" t="s">
        <v>61</v>
      </c>
      <c r="AU576" s="76" t="s">
        <v>62</v>
      </c>
      <c r="AV576" s="76" t="s">
        <v>27</v>
      </c>
      <c r="AW576" s="76" t="s">
        <v>64</v>
      </c>
      <c r="AX576" s="76" t="s">
        <v>63</v>
      </c>
      <c r="AY576" s="76" t="s">
        <v>66</v>
      </c>
      <c r="AZ576" s="76" t="s">
        <v>67</v>
      </c>
    </row>
    <row r="577" spans="2:52" ht="48" thickBot="1" x14ac:dyDescent="0.3">
      <c r="B577" s="21">
        <v>0.656250000000001</v>
      </c>
      <c r="C577" s="14" t="s">
        <v>13</v>
      </c>
      <c r="D577" s="8" t="s">
        <v>6</v>
      </c>
      <c r="F577" s="13"/>
      <c r="G577" s="81" t="s">
        <v>20</v>
      </c>
      <c r="H577" s="64" t="s">
        <v>17</v>
      </c>
      <c r="I577" s="64" t="s">
        <v>19</v>
      </c>
      <c r="J577" s="64" t="s">
        <v>18</v>
      </c>
      <c r="K577" s="64" t="s">
        <v>52</v>
      </c>
      <c r="L577" s="64" t="s">
        <v>51</v>
      </c>
      <c r="M577" s="64" t="s">
        <v>53</v>
      </c>
      <c r="N577" s="64" t="s">
        <v>54</v>
      </c>
      <c r="O577" s="64" t="s">
        <v>20</v>
      </c>
      <c r="P577" s="64" t="s">
        <v>19</v>
      </c>
      <c r="Q577" s="64" t="s">
        <v>55</v>
      </c>
      <c r="R577" s="64" t="s">
        <v>56</v>
      </c>
      <c r="S577" s="64" t="s">
        <v>52</v>
      </c>
      <c r="T577" s="64" t="s">
        <v>51</v>
      </c>
      <c r="U577" s="64" t="s">
        <v>57</v>
      </c>
      <c r="V577" s="64" t="s">
        <v>58</v>
      </c>
      <c r="W577" s="64" t="s">
        <v>53</v>
      </c>
      <c r="X577" s="64" t="s">
        <v>54</v>
      </c>
      <c r="Y577" s="81" t="s">
        <v>20</v>
      </c>
      <c r="Z577" s="64" t="s">
        <v>17</v>
      </c>
      <c r="AA577" s="64" t="s">
        <v>19</v>
      </c>
      <c r="AB577" s="64" t="s">
        <v>18</v>
      </c>
      <c r="AC577" s="64" t="s">
        <v>52</v>
      </c>
      <c r="AD577" s="64" t="s">
        <v>51</v>
      </c>
      <c r="AE577" s="64" t="s">
        <v>53</v>
      </c>
      <c r="AF577" s="64" t="s">
        <v>54</v>
      </c>
      <c r="AG577" s="64" t="s">
        <v>20</v>
      </c>
      <c r="AH577" s="64" t="s">
        <v>19</v>
      </c>
      <c r="AI577" s="64" t="s">
        <v>55</v>
      </c>
      <c r="AJ577" s="64" t="s">
        <v>56</v>
      </c>
      <c r="AK577" s="64" t="s">
        <v>52</v>
      </c>
      <c r="AL577" s="64" t="s">
        <v>51</v>
      </c>
      <c r="AM577" s="64" t="s">
        <v>57</v>
      </c>
      <c r="AN577" s="64" t="s">
        <v>58</v>
      </c>
      <c r="AO577" s="64" t="s">
        <v>53</v>
      </c>
      <c r="AP577" s="64" t="s">
        <v>54</v>
      </c>
      <c r="AQ577" s="46"/>
      <c r="AR577" s="46"/>
      <c r="AS577" s="46"/>
      <c r="AT577" s="46"/>
      <c r="AU577" s="46"/>
      <c r="AV577" s="46"/>
      <c r="AW577" s="46"/>
      <c r="AX577" s="46"/>
    </row>
    <row r="578" spans="2:52" ht="16.5" customHeight="1" thickBot="1" x14ac:dyDescent="0.3">
      <c r="B578" s="1" t="s">
        <v>0</v>
      </c>
      <c r="C578" s="10">
        <v>2</v>
      </c>
      <c r="D578">
        <f>C578</f>
        <v>2</v>
      </c>
      <c r="F578" s="12" t="s">
        <v>0</v>
      </c>
      <c r="G578" s="86"/>
      <c r="H578" s="66"/>
      <c r="I578" s="66"/>
      <c r="J578" s="67"/>
      <c r="K578" s="65"/>
      <c r="L578" s="66"/>
      <c r="M578" s="66"/>
      <c r="N578" s="66"/>
      <c r="O578" s="65"/>
      <c r="P578" s="67"/>
      <c r="Q578" s="65"/>
      <c r="R578" s="66"/>
      <c r="S578" s="66"/>
      <c r="T578" s="66"/>
      <c r="U578" s="66"/>
      <c r="V578" s="66"/>
      <c r="W578" s="66"/>
      <c r="X578" s="67">
        <v>2</v>
      </c>
      <c r="Y578" s="86"/>
      <c r="Z578" s="66"/>
      <c r="AA578" s="66"/>
      <c r="AB578" s="66"/>
      <c r="AC578" s="65"/>
      <c r="AD578" s="66"/>
      <c r="AE578" s="66"/>
      <c r="AF578" s="67"/>
      <c r="AG578" s="66"/>
      <c r="AH578" s="67"/>
      <c r="AI578" s="66"/>
      <c r="AJ578" s="66"/>
      <c r="AK578" s="66">
        <v>2</v>
      </c>
      <c r="AL578" s="66"/>
      <c r="AM578" s="66"/>
      <c r="AN578" s="66"/>
      <c r="AO578" s="66"/>
      <c r="AP578" s="66"/>
      <c r="AQ578" s="65"/>
      <c r="AR578" s="65"/>
      <c r="AS578" s="65"/>
      <c r="AT578" s="65">
        <v>2</v>
      </c>
      <c r="AU578" s="65"/>
      <c r="AV578" s="65"/>
      <c r="AW578" s="65"/>
      <c r="AX578" s="68"/>
      <c r="AY578" s="17"/>
      <c r="AZ578" s="17"/>
    </row>
    <row r="579" spans="2:52" ht="16.5" customHeight="1" thickBot="1" x14ac:dyDescent="0.3">
      <c r="B579" s="1" t="s">
        <v>1</v>
      </c>
      <c r="C579" s="10">
        <v>5</v>
      </c>
      <c r="D579">
        <f t="shared" ref="D579:D581" si="63">C579</f>
        <v>5</v>
      </c>
      <c r="F579" s="1" t="s">
        <v>1</v>
      </c>
      <c r="G579" s="87"/>
      <c r="H579" s="46"/>
      <c r="I579" s="46"/>
      <c r="J579" s="70"/>
      <c r="K579" s="69"/>
      <c r="L579" s="46"/>
      <c r="M579" s="46">
        <v>2</v>
      </c>
      <c r="N579" s="46"/>
      <c r="O579" s="69"/>
      <c r="P579" s="70"/>
      <c r="Q579" s="69"/>
      <c r="R579" s="46"/>
      <c r="S579" s="46"/>
      <c r="T579" s="46"/>
      <c r="U579" s="46"/>
      <c r="V579" s="46"/>
      <c r="W579" s="46">
        <v>2</v>
      </c>
      <c r="X579" s="70">
        <v>1</v>
      </c>
      <c r="Y579" s="87"/>
      <c r="Z579" s="46"/>
      <c r="AA579" s="46"/>
      <c r="AB579" s="46"/>
      <c r="AC579" s="69"/>
      <c r="AD579" s="46"/>
      <c r="AE579" s="46"/>
      <c r="AF579" s="70"/>
      <c r="AG579" s="46"/>
      <c r="AH579" s="70">
        <v>2</v>
      </c>
      <c r="AI579" s="46"/>
      <c r="AJ579" s="46"/>
      <c r="AK579" s="46">
        <v>1</v>
      </c>
      <c r="AL579" s="46"/>
      <c r="AM579" s="46"/>
      <c r="AN579" s="46">
        <v>2</v>
      </c>
      <c r="AO579" s="46"/>
      <c r="AP579" s="46"/>
      <c r="AQ579" s="69"/>
      <c r="AR579" s="69">
        <v>2</v>
      </c>
      <c r="AS579" s="69"/>
      <c r="AT579" s="69">
        <v>5</v>
      </c>
      <c r="AU579" s="69"/>
      <c r="AV579" s="69"/>
      <c r="AW579" s="69"/>
      <c r="AX579" s="71"/>
      <c r="AY579" s="18"/>
      <c r="AZ579" s="18"/>
    </row>
    <row r="580" spans="2:52" ht="16.5" customHeight="1" thickBot="1" x14ac:dyDescent="0.3">
      <c r="B580" s="1" t="s">
        <v>2</v>
      </c>
      <c r="C580" s="10"/>
      <c r="D580">
        <f>C580</f>
        <v>0</v>
      </c>
      <c r="F580" s="1" t="s">
        <v>2</v>
      </c>
      <c r="G580" s="87"/>
      <c r="H580" s="46"/>
      <c r="I580" s="46"/>
      <c r="J580" s="70"/>
      <c r="K580" s="69"/>
      <c r="L580" s="46"/>
      <c r="M580" s="46"/>
      <c r="N580" s="46"/>
      <c r="O580" s="69"/>
      <c r="P580" s="70"/>
      <c r="Q580" s="69"/>
      <c r="R580" s="46"/>
      <c r="S580" s="46"/>
      <c r="T580" s="46"/>
      <c r="U580" s="46"/>
      <c r="V580" s="46"/>
      <c r="W580" s="46"/>
      <c r="X580" s="70"/>
      <c r="Y580" s="87"/>
      <c r="Z580" s="46"/>
      <c r="AA580" s="46"/>
      <c r="AB580" s="46"/>
      <c r="AC580" s="69"/>
      <c r="AD580" s="46"/>
      <c r="AE580" s="46"/>
      <c r="AF580" s="70"/>
      <c r="AG580" s="46"/>
      <c r="AH580" s="70"/>
      <c r="AI580" s="46"/>
      <c r="AJ580" s="46"/>
      <c r="AK580" s="46"/>
      <c r="AL580" s="46"/>
      <c r="AM580" s="46"/>
      <c r="AN580" s="46"/>
      <c r="AO580" s="46"/>
      <c r="AP580" s="46"/>
      <c r="AQ580" s="69"/>
      <c r="AR580" s="69"/>
      <c r="AS580" s="69"/>
      <c r="AT580" s="69"/>
      <c r="AU580" s="69"/>
      <c r="AV580" s="69"/>
      <c r="AW580" s="69"/>
      <c r="AX580" s="71"/>
      <c r="AY580" s="18"/>
      <c r="AZ580" s="18"/>
    </row>
    <row r="581" spans="2:52" ht="16.5" customHeight="1" thickBot="1" x14ac:dyDescent="0.3">
      <c r="B581" s="1" t="s">
        <v>3</v>
      </c>
      <c r="C581" s="10"/>
      <c r="D581" s="7">
        <f t="shared" si="63"/>
        <v>0</v>
      </c>
      <c r="F581" s="1" t="s">
        <v>3</v>
      </c>
      <c r="G581" s="88"/>
      <c r="H581" s="73"/>
      <c r="I581" s="73"/>
      <c r="J581" s="74"/>
      <c r="K581" s="72"/>
      <c r="L581" s="73"/>
      <c r="M581" s="73"/>
      <c r="N581" s="73"/>
      <c r="O581" s="72"/>
      <c r="P581" s="74"/>
      <c r="Q581" s="72"/>
      <c r="R581" s="73"/>
      <c r="S581" s="73"/>
      <c r="T581" s="73"/>
      <c r="U581" s="73"/>
      <c r="V581" s="73"/>
      <c r="W581" s="73"/>
      <c r="X581" s="74"/>
      <c r="Y581" s="88"/>
      <c r="Z581" s="73"/>
      <c r="AA581" s="73"/>
      <c r="AB581" s="73"/>
      <c r="AC581" s="72"/>
      <c r="AD581" s="73"/>
      <c r="AE581" s="73"/>
      <c r="AF581" s="74"/>
      <c r="AG581" s="73"/>
      <c r="AH581" s="74"/>
      <c r="AI581" s="73"/>
      <c r="AJ581" s="73"/>
      <c r="AK581" s="73"/>
      <c r="AL581" s="73"/>
      <c r="AM581" s="73"/>
      <c r="AN581" s="73"/>
      <c r="AO581" s="73"/>
      <c r="AP581" s="73"/>
      <c r="AQ581" s="72"/>
      <c r="AR581" s="72"/>
      <c r="AS581" s="72"/>
      <c r="AT581" s="72"/>
      <c r="AU581" s="72"/>
      <c r="AV581" s="72"/>
      <c r="AW581" s="72"/>
      <c r="AX581" s="75"/>
      <c r="AY581" s="19"/>
      <c r="AZ581" s="19"/>
    </row>
    <row r="582" spans="2:52" ht="21" customHeight="1" x14ac:dyDescent="0.25">
      <c r="B582" s="2"/>
      <c r="C582" s="3" t="s">
        <v>25</v>
      </c>
      <c r="D582" s="9">
        <f>SUM(D578:D581)</f>
        <v>7</v>
      </c>
      <c r="G582" s="85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85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</row>
    <row r="583" spans="2:52" x14ac:dyDescent="0.25"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</row>
    <row r="584" spans="2:52" ht="15.75" x14ac:dyDescent="0.25">
      <c r="G584" s="100" t="s">
        <v>22</v>
      </c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1" t="s">
        <v>21</v>
      </c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46"/>
      <c r="AR584" s="46"/>
      <c r="AS584" s="46"/>
      <c r="AT584" s="46"/>
      <c r="AU584" s="46"/>
      <c r="AV584" s="46"/>
      <c r="AW584" s="46"/>
      <c r="AX584" s="46"/>
    </row>
    <row r="585" spans="2:52" ht="32.25" thickBot="1" x14ac:dyDescent="0.3">
      <c r="G585" s="102" t="s">
        <v>14</v>
      </c>
      <c r="H585" s="102"/>
      <c r="I585" s="102"/>
      <c r="J585" s="102"/>
      <c r="K585" s="102" t="s">
        <v>15</v>
      </c>
      <c r="L585" s="102"/>
      <c r="M585" s="102"/>
      <c r="N585" s="102"/>
      <c r="O585" s="102" t="s">
        <v>59</v>
      </c>
      <c r="P585" s="102"/>
      <c r="Q585" s="102" t="s">
        <v>16</v>
      </c>
      <c r="R585" s="102"/>
      <c r="S585" s="102"/>
      <c r="T585" s="102"/>
      <c r="U585" s="102"/>
      <c r="V585" s="102"/>
      <c r="W585" s="102"/>
      <c r="X585" s="102"/>
      <c r="Y585" s="102" t="s">
        <v>14</v>
      </c>
      <c r="Z585" s="102"/>
      <c r="AA585" s="102"/>
      <c r="AB585" s="102"/>
      <c r="AC585" s="102" t="s">
        <v>15</v>
      </c>
      <c r="AD585" s="102"/>
      <c r="AE585" s="102"/>
      <c r="AF585" s="102"/>
      <c r="AG585" s="102" t="s">
        <v>59</v>
      </c>
      <c r="AH585" s="102"/>
      <c r="AI585" s="102" t="s">
        <v>16</v>
      </c>
      <c r="AJ585" s="102"/>
      <c r="AK585" s="102"/>
      <c r="AL585" s="102"/>
      <c r="AM585" s="102"/>
      <c r="AN585" s="102"/>
      <c r="AO585" s="102"/>
      <c r="AP585" s="102"/>
      <c r="AQ585" s="76" t="s">
        <v>60</v>
      </c>
      <c r="AR585" s="76" t="s">
        <v>70</v>
      </c>
      <c r="AS585" s="76" t="s">
        <v>65</v>
      </c>
      <c r="AT585" s="76" t="s">
        <v>61</v>
      </c>
      <c r="AU585" s="76" t="s">
        <v>62</v>
      </c>
      <c r="AV585" s="76" t="s">
        <v>27</v>
      </c>
      <c r="AW585" s="76" t="s">
        <v>64</v>
      </c>
      <c r="AX585" s="76" t="s">
        <v>63</v>
      </c>
      <c r="AY585" s="76" t="s">
        <v>66</v>
      </c>
      <c r="AZ585" s="76" t="s">
        <v>67</v>
      </c>
    </row>
    <row r="586" spans="2:52" ht="48" thickBot="1" x14ac:dyDescent="0.3">
      <c r="B586" s="20">
        <v>0.66666666666666796</v>
      </c>
      <c r="C586" s="14" t="s">
        <v>13</v>
      </c>
      <c r="D586" s="8" t="s">
        <v>6</v>
      </c>
      <c r="F586" s="13"/>
      <c r="G586" s="81" t="s">
        <v>20</v>
      </c>
      <c r="H586" s="64" t="s">
        <v>17</v>
      </c>
      <c r="I586" s="64" t="s">
        <v>19</v>
      </c>
      <c r="J586" s="64" t="s">
        <v>18</v>
      </c>
      <c r="K586" s="64" t="s">
        <v>52</v>
      </c>
      <c r="L586" s="64" t="s">
        <v>51</v>
      </c>
      <c r="M586" s="64" t="s">
        <v>53</v>
      </c>
      <c r="N586" s="64" t="s">
        <v>54</v>
      </c>
      <c r="O586" s="64" t="s">
        <v>20</v>
      </c>
      <c r="P586" s="64" t="s">
        <v>19</v>
      </c>
      <c r="Q586" s="64" t="s">
        <v>55</v>
      </c>
      <c r="R586" s="64" t="s">
        <v>56</v>
      </c>
      <c r="S586" s="64" t="s">
        <v>52</v>
      </c>
      <c r="T586" s="64" t="s">
        <v>51</v>
      </c>
      <c r="U586" s="64" t="s">
        <v>57</v>
      </c>
      <c r="V586" s="64" t="s">
        <v>58</v>
      </c>
      <c r="W586" s="64" t="s">
        <v>53</v>
      </c>
      <c r="X586" s="64" t="s">
        <v>54</v>
      </c>
      <c r="Y586" s="81" t="s">
        <v>20</v>
      </c>
      <c r="Z586" s="64" t="s">
        <v>17</v>
      </c>
      <c r="AA586" s="64" t="s">
        <v>19</v>
      </c>
      <c r="AB586" s="64" t="s">
        <v>18</v>
      </c>
      <c r="AC586" s="64" t="s">
        <v>52</v>
      </c>
      <c r="AD586" s="64" t="s">
        <v>51</v>
      </c>
      <c r="AE586" s="64" t="s">
        <v>53</v>
      </c>
      <c r="AF586" s="64" t="s">
        <v>54</v>
      </c>
      <c r="AG586" s="64" t="s">
        <v>20</v>
      </c>
      <c r="AH586" s="64" t="s">
        <v>19</v>
      </c>
      <c r="AI586" s="64" t="s">
        <v>55</v>
      </c>
      <c r="AJ586" s="64" t="s">
        <v>56</v>
      </c>
      <c r="AK586" s="64" t="s">
        <v>52</v>
      </c>
      <c r="AL586" s="64" t="s">
        <v>51</v>
      </c>
      <c r="AM586" s="64" t="s">
        <v>57</v>
      </c>
      <c r="AN586" s="64" t="s">
        <v>58</v>
      </c>
      <c r="AO586" s="64" t="s">
        <v>53</v>
      </c>
      <c r="AP586" s="64" t="s">
        <v>54</v>
      </c>
      <c r="AQ586" s="46"/>
      <c r="AR586" s="46"/>
      <c r="AS586" s="46"/>
      <c r="AT586" s="46"/>
      <c r="AU586" s="46"/>
      <c r="AV586" s="46"/>
      <c r="AW586" s="46"/>
      <c r="AX586" s="46"/>
    </row>
    <row r="587" spans="2:52" ht="16.5" customHeight="1" thickBot="1" x14ac:dyDescent="0.3">
      <c r="B587" s="1" t="s">
        <v>0</v>
      </c>
      <c r="C587" s="10"/>
      <c r="D587">
        <f>C587</f>
        <v>0</v>
      </c>
      <c r="F587" s="12" t="s">
        <v>0</v>
      </c>
      <c r="G587" s="86"/>
      <c r="H587" s="66"/>
      <c r="I587" s="66"/>
      <c r="J587" s="67"/>
      <c r="K587" s="65"/>
      <c r="L587" s="66"/>
      <c r="M587" s="66"/>
      <c r="N587" s="66"/>
      <c r="O587" s="65"/>
      <c r="P587" s="67"/>
      <c r="Q587" s="65"/>
      <c r="R587" s="66"/>
      <c r="S587" s="66"/>
      <c r="T587" s="66"/>
      <c r="U587" s="66"/>
      <c r="V587" s="66"/>
      <c r="W587" s="66"/>
      <c r="X587" s="67"/>
      <c r="Y587" s="86"/>
      <c r="Z587" s="66"/>
      <c r="AA587" s="66"/>
      <c r="AB587" s="66"/>
      <c r="AC587" s="65"/>
      <c r="AD587" s="66"/>
      <c r="AE587" s="66"/>
      <c r="AF587" s="67"/>
      <c r="AG587" s="66"/>
      <c r="AH587" s="67"/>
      <c r="AI587" s="66"/>
      <c r="AJ587" s="66"/>
      <c r="AK587" s="66"/>
      <c r="AL587" s="66"/>
      <c r="AM587" s="66"/>
      <c r="AN587" s="66"/>
      <c r="AO587" s="66"/>
      <c r="AP587" s="66"/>
      <c r="AQ587" s="65"/>
      <c r="AR587" s="65"/>
      <c r="AS587" s="65"/>
      <c r="AT587" s="65"/>
      <c r="AU587" s="65"/>
      <c r="AV587" s="65"/>
      <c r="AW587" s="65"/>
      <c r="AX587" s="68"/>
      <c r="AY587" s="17"/>
      <c r="AZ587" s="17"/>
    </row>
    <row r="588" spans="2:52" ht="16.5" customHeight="1" thickBot="1" x14ac:dyDescent="0.3">
      <c r="B588" s="1" t="s">
        <v>1</v>
      </c>
      <c r="C588" s="10"/>
      <c r="D588">
        <f t="shared" ref="D588:D590" si="64">C588</f>
        <v>0</v>
      </c>
      <c r="F588" s="1" t="s">
        <v>1</v>
      </c>
      <c r="G588" s="87"/>
      <c r="H588" s="46"/>
      <c r="I588" s="46"/>
      <c r="J588" s="70"/>
      <c r="K588" s="69"/>
      <c r="L588" s="46"/>
      <c r="M588" s="46"/>
      <c r="N588" s="46"/>
      <c r="O588" s="69"/>
      <c r="P588" s="70"/>
      <c r="Q588" s="69"/>
      <c r="R588" s="46"/>
      <c r="S588" s="46"/>
      <c r="T588" s="46"/>
      <c r="U588" s="46"/>
      <c r="V588" s="46"/>
      <c r="W588" s="46"/>
      <c r="X588" s="70"/>
      <c r="Y588" s="87"/>
      <c r="Z588" s="46"/>
      <c r="AA588" s="46"/>
      <c r="AB588" s="46"/>
      <c r="AC588" s="69"/>
      <c r="AD588" s="46"/>
      <c r="AE588" s="46"/>
      <c r="AF588" s="70"/>
      <c r="AG588" s="46"/>
      <c r="AH588" s="70"/>
      <c r="AI588" s="46"/>
      <c r="AJ588" s="46"/>
      <c r="AK588" s="46"/>
      <c r="AL588" s="46"/>
      <c r="AM588" s="46"/>
      <c r="AN588" s="46"/>
      <c r="AO588" s="46"/>
      <c r="AP588" s="46"/>
      <c r="AQ588" s="69"/>
      <c r="AR588" s="69"/>
      <c r="AS588" s="69"/>
      <c r="AT588" s="69"/>
      <c r="AU588" s="69"/>
      <c r="AV588" s="69"/>
      <c r="AW588" s="69"/>
      <c r="AX588" s="71"/>
      <c r="AY588" s="18"/>
      <c r="AZ588" s="18"/>
    </row>
    <row r="589" spans="2:52" ht="16.5" customHeight="1" thickBot="1" x14ac:dyDescent="0.3">
      <c r="B589" s="1" t="s">
        <v>2</v>
      </c>
      <c r="C589" s="10"/>
      <c r="D589">
        <f>C589</f>
        <v>0</v>
      </c>
      <c r="F589" s="1" t="s">
        <v>2</v>
      </c>
      <c r="G589" s="87"/>
      <c r="H589" s="46"/>
      <c r="I589" s="46"/>
      <c r="J589" s="70"/>
      <c r="K589" s="69"/>
      <c r="L589" s="46"/>
      <c r="M589" s="46"/>
      <c r="N589" s="46"/>
      <c r="O589" s="69"/>
      <c r="P589" s="70"/>
      <c r="Q589" s="69"/>
      <c r="R589" s="46"/>
      <c r="S589" s="46"/>
      <c r="T589" s="46"/>
      <c r="U589" s="46"/>
      <c r="V589" s="46"/>
      <c r="W589" s="46"/>
      <c r="X589" s="70"/>
      <c r="Y589" s="87"/>
      <c r="Z589" s="46"/>
      <c r="AA589" s="46"/>
      <c r="AB589" s="46"/>
      <c r="AC589" s="69"/>
      <c r="AD589" s="46"/>
      <c r="AE589" s="46"/>
      <c r="AF589" s="70"/>
      <c r="AG589" s="46"/>
      <c r="AH589" s="70"/>
      <c r="AI589" s="46"/>
      <c r="AJ589" s="46"/>
      <c r="AK589" s="46"/>
      <c r="AL589" s="46"/>
      <c r="AM589" s="46"/>
      <c r="AN589" s="46"/>
      <c r="AO589" s="46"/>
      <c r="AP589" s="46"/>
      <c r="AQ589" s="69"/>
      <c r="AR589" s="69"/>
      <c r="AS589" s="69"/>
      <c r="AT589" s="69"/>
      <c r="AU589" s="69"/>
      <c r="AV589" s="69"/>
      <c r="AW589" s="69"/>
      <c r="AX589" s="71"/>
      <c r="AY589" s="18"/>
      <c r="AZ589" s="18"/>
    </row>
    <row r="590" spans="2:52" ht="16.5" customHeight="1" thickBot="1" x14ac:dyDescent="0.3">
      <c r="B590" s="1" t="s">
        <v>29</v>
      </c>
      <c r="C590" s="10"/>
      <c r="D590" s="7">
        <f t="shared" si="64"/>
        <v>0</v>
      </c>
      <c r="F590" s="1" t="s">
        <v>3</v>
      </c>
      <c r="G590" s="88"/>
      <c r="H590" s="73"/>
      <c r="I590" s="73"/>
      <c r="J590" s="74"/>
      <c r="K590" s="72"/>
      <c r="L590" s="73"/>
      <c r="M590" s="73"/>
      <c r="N590" s="73"/>
      <c r="O590" s="72"/>
      <c r="P590" s="74"/>
      <c r="Q590" s="72"/>
      <c r="R590" s="73"/>
      <c r="S590" s="73"/>
      <c r="T590" s="73"/>
      <c r="U590" s="73"/>
      <c r="V590" s="73"/>
      <c r="W590" s="73"/>
      <c r="X590" s="74"/>
      <c r="Y590" s="88"/>
      <c r="Z590" s="73"/>
      <c r="AA590" s="73"/>
      <c r="AB590" s="73"/>
      <c r="AC590" s="72"/>
      <c r="AD590" s="73"/>
      <c r="AE590" s="73"/>
      <c r="AF590" s="74"/>
      <c r="AG590" s="73"/>
      <c r="AH590" s="74"/>
      <c r="AI590" s="73"/>
      <c r="AJ590" s="73"/>
      <c r="AK590" s="73"/>
      <c r="AL590" s="73"/>
      <c r="AM590" s="73"/>
      <c r="AN590" s="73"/>
      <c r="AO590" s="73"/>
      <c r="AP590" s="73"/>
      <c r="AQ590" s="72"/>
      <c r="AR590" s="72"/>
      <c r="AS590" s="72"/>
      <c r="AT590" s="72"/>
      <c r="AU590" s="72"/>
      <c r="AV590" s="72"/>
      <c r="AW590" s="72"/>
      <c r="AX590" s="75"/>
      <c r="AY590" s="19"/>
      <c r="AZ590" s="19"/>
    </row>
    <row r="591" spans="2:52" ht="21" customHeight="1" x14ac:dyDescent="0.25">
      <c r="B591" s="2"/>
      <c r="C591" s="3" t="s">
        <v>25</v>
      </c>
      <c r="D591" s="9">
        <f>SUM(D587:D590)</f>
        <v>0</v>
      </c>
      <c r="G591" s="85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85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</row>
    <row r="592" spans="2:52" x14ac:dyDescent="0.25"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</row>
    <row r="593" spans="2:53" ht="15.75" x14ac:dyDescent="0.25">
      <c r="G593" s="100" t="s">
        <v>22</v>
      </c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1" t="s">
        <v>21</v>
      </c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46"/>
      <c r="AR593" s="46"/>
      <c r="AS593" s="46"/>
      <c r="AT593" s="46"/>
      <c r="AU593" s="46"/>
      <c r="AV593" s="46"/>
      <c r="AW593" s="46"/>
      <c r="AX593" s="46"/>
    </row>
    <row r="594" spans="2:53" ht="32.25" thickBot="1" x14ac:dyDescent="0.3">
      <c r="G594" s="102" t="s">
        <v>14</v>
      </c>
      <c r="H594" s="102"/>
      <c r="I594" s="102"/>
      <c r="J594" s="102"/>
      <c r="K594" s="102" t="s">
        <v>15</v>
      </c>
      <c r="L594" s="102"/>
      <c r="M594" s="102"/>
      <c r="N594" s="102"/>
      <c r="O594" s="102" t="s">
        <v>59</v>
      </c>
      <c r="P594" s="102"/>
      <c r="Q594" s="102" t="s">
        <v>16</v>
      </c>
      <c r="R594" s="102"/>
      <c r="S594" s="102"/>
      <c r="T594" s="102"/>
      <c r="U594" s="102"/>
      <c r="V594" s="102"/>
      <c r="W594" s="102"/>
      <c r="X594" s="102"/>
      <c r="Y594" s="102" t="s">
        <v>14</v>
      </c>
      <c r="Z594" s="102"/>
      <c r="AA594" s="102"/>
      <c r="AB594" s="102"/>
      <c r="AC594" s="102" t="s">
        <v>15</v>
      </c>
      <c r="AD594" s="102"/>
      <c r="AE594" s="102"/>
      <c r="AF594" s="102"/>
      <c r="AG594" s="102" t="s">
        <v>59</v>
      </c>
      <c r="AH594" s="102"/>
      <c r="AI594" s="102" t="s">
        <v>16</v>
      </c>
      <c r="AJ594" s="102"/>
      <c r="AK594" s="102"/>
      <c r="AL594" s="102"/>
      <c r="AM594" s="102"/>
      <c r="AN594" s="102"/>
      <c r="AO594" s="102"/>
      <c r="AP594" s="102"/>
      <c r="AQ594" s="76" t="s">
        <v>60</v>
      </c>
      <c r="AR594" s="76" t="s">
        <v>70</v>
      </c>
      <c r="AS594" s="76" t="s">
        <v>65</v>
      </c>
      <c r="AT594" s="76" t="s">
        <v>61</v>
      </c>
      <c r="AU594" s="76" t="s">
        <v>62</v>
      </c>
      <c r="AV594" s="76" t="s">
        <v>27</v>
      </c>
      <c r="AW594" s="76" t="s">
        <v>64</v>
      </c>
      <c r="AX594" s="76" t="s">
        <v>63</v>
      </c>
      <c r="AY594" s="76" t="s">
        <v>66</v>
      </c>
      <c r="AZ594" s="76" t="s">
        <v>67</v>
      </c>
    </row>
    <row r="595" spans="2:53" ht="48" thickBot="1" x14ac:dyDescent="0.3">
      <c r="B595" s="20">
        <v>0.67708333333333504</v>
      </c>
      <c r="C595" s="14" t="s">
        <v>13</v>
      </c>
      <c r="D595" s="8" t="s">
        <v>6</v>
      </c>
      <c r="F595" s="13"/>
      <c r="G595" s="81" t="s">
        <v>20</v>
      </c>
      <c r="H595" s="64" t="s">
        <v>17</v>
      </c>
      <c r="I595" s="64" t="s">
        <v>19</v>
      </c>
      <c r="J595" s="64" t="s">
        <v>18</v>
      </c>
      <c r="K595" s="64" t="s">
        <v>52</v>
      </c>
      <c r="L595" s="64" t="s">
        <v>51</v>
      </c>
      <c r="M595" s="64" t="s">
        <v>53</v>
      </c>
      <c r="N595" s="64" t="s">
        <v>54</v>
      </c>
      <c r="O595" s="64" t="s">
        <v>20</v>
      </c>
      <c r="P595" s="64" t="s">
        <v>19</v>
      </c>
      <c r="Q595" s="64" t="s">
        <v>55</v>
      </c>
      <c r="R595" s="64" t="s">
        <v>56</v>
      </c>
      <c r="S595" s="64" t="s">
        <v>52</v>
      </c>
      <c r="T595" s="64" t="s">
        <v>51</v>
      </c>
      <c r="U595" s="64" t="s">
        <v>57</v>
      </c>
      <c r="V595" s="64" t="s">
        <v>58</v>
      </c>
      <c r="W595" s="64" t="s">
        <v>53</v>
      </c>
      <c r="X595" s="64" t="s">
        <v>54</v>
      </c>
      <c r="Y595" s="81" t="s">
        <v>20</v>
      </c>
      <c r="Z595" s="64" t="s">
        <v>17</v>
      </c>
      <c r="AA595" s="64" t="s">
        <v>19</v>
      </c>
      <c r="AB595" s="64" t="s">
        <v>18</v>
      </c>
      <c r="AC595" s="64" t="s">
        <v>52</v>
      </c>
      <c r="AD595" s="64" t="s">
        <v>51</v>
      </c>
      <c r="AE595" s="64" t="s">
        <v>53</v>
      </c>
      <c r="AF595" s="64" t="s">
        <v>54</v>
      </c>
      <c r="AG595" s="64" t="s">
        <v>20</v>
      </c>
      <c r="AH595" s="64" t="s">
        <v>19</v>
      </c>
      <c r="AI595" s="64" t="s">
        <v>55</v>
      </c>
      <c r="AJ595" s="64" t="s">
        <v>56</v>
      </c>
      <c r="AK595" s="64" t="s">
        <v>52</v>
      </c>
      <c r="AL595" s="64" t="s">
        <v>51</v>
      </c>
      <c r="AM595" s="64" t="s">
        <v>57</v>
      </c>
      <c r="AN595" s="64" t="s">
        <v>58</v>
      </c>
      <c r="AO595" s="64" t="s">
        <v>53</v>
      </c>
      <c r="AP595" s="64" t="s">
        <v>54</v>
      </c>
      <c r="AQ595" s="46"/>
      <c r="AR595" s="46"/>
      <c r="AS595" s="46"/>
      <c r="AT595" s="46"/>
      <c r="AU595" s="46"/>
      <c r="AV595" s="46"/>
      <c r="AW595" s="46"/>
      <c r="AX595" s="46"/>
    </row>
    <row r="596" spans="2:53" ht="16.5" customHeight="1" thickBot="1" x14ac:dyDescent="0.3">
      <c r="B596" s="1" t="s">
        <v>0</v>
      </c>
      <c r="C596" s="10">
        <v>1</v>
      </c>
      <c r="D596">
        <f>C596</f>
        <v>1</v>
      </c>
      <c r="F596" s="12" t="s">
        <v>0</v>
      </c>
      <c r="G596" s="86"/>
      <c r="H596" s="66"/>
      <c r="I596" s="66"/>
      <c r="J596" s="67"/>
      <c r="K596" s="65"/>
      <c r="L596" s="66"/>
      <c r="M596" s="66"/>
      <c r="N596" s="66"/>
      <c r="O596" s="65"/>
      <c r="P596" s="67"/>
      <c r="Q596" s="65"/>
      <c r="R596" s="66"/>
      <c r="S596" s="66"/>
      <c r="T596" s="66"/>
      <c r="U596" s="66">
        <v>1</v>
      </c>
      <c r="V596" s="66"/>
      <c r="W596" s="66"/>
      <c r="X596" s="67"/>
      <c r="Y596" s="86"/>
      <c r="Z596" s="66"/>
      <c r="AA596" s="66"/>
      <c r="AB596" s="66"/>
      <c r="AC596" s="65"/>
      <c r="AD596" s="66"/>
      <c r="AE596" s="66"/>
      <c r="AF596" s="67"/>
      <c r="AG596" s="66"/>
      <c r="AH596" s="67"/>
      <c r="AI596" s="66">
        <v>1</v>
      </c>
      <c r="AJ596" s="66"/>
      <c r="AK596" s="66"/>
      <c r="AL596" s="66"/>
      <c r="AM596" s="66"/>
      <c r="AN596" s="66"/>
      <c r="AO596" s="66"/>
      <c r="AP596" s="66"/>
      <c r="AQ596" s="65"/>
      <c r="AR596" s="65"/>
      <c r="AS596" s="65"/>
      <c r="AT596" s="65"/>
      <c r="AU596" s="65"/>
      <c r="AV596" s="65">
        <v>1</v>
      </c>
      <c r="AW596" s="65"/>
      <c r="AX596" s="68">
        <v>1</v>
      </c>
      <c r="AY596" s="17"/>
      <c r="AZ596" s="17"/>
    </row>
    <row r="597" spans="2:53" ht="16.5" customHeight="1" thickBot="1" x14ac:dyDescent="0.3">
      <c r="B597" s="1" t="s">
        <v>1</v>
      </c>
      <c r="C597" s="10"/>
      <c r="D597">
        <f t="shared" ref="D597:D599" si="65">C597</f>
        <v>0</v>
      </c>
      <c r="F597" s="1" t="s">
        <v>1</v>
      </c>
      <c r="G597" s="87"/>
      <c r="H597" s="46"/>
      <c r="I597" s="46"/>
      <c r="J597" s="70"/>
      <c r="K597" s="69"/>
      <c r="L597" s="46"/>
      <c r="M597" s="46"/>
      <c r="N597" s="46"/>
      <c r="O597" s="69"/>
      <c r="P597" s="70"/>
      <c r="Q597" s="69"/>
      <c r="R597" s="46"/>
      <c r="S597" s="46"/>
      <c r="T597" s="46"/>
      <c r="U597" s="46"/>
      <c r="V597" s="46"/>
      <c r="W597" s="46"/>
      <c r="X597" s="70"/>
      <c r="Y597" s="87"/>
      <c r="Z597" s="46"/>
      <c r="AA597" s="46"/>
      <c r="AB597" s="46"/>
      <c r="AC597" s="69"/>
      <c r="AD597" s="46"/>
      <c r="AE597" s="46"/>
      <c r="AF597" s="70"/>
      <c r="AG597" s="46"/>
      <c r="AH597" s="70"/>
      <c r="AI597" s="46"/>
      <c r="AJ597" s="46"/>
      <c r="AK597" s="46"/>
      <c r="AL597" s="46"/>
      <c r="AM597" s="46"/>
      <c r="AN597" s="46"/>
      <c r="AO597" s="46"/>
      <c r="AP597" s="46"/>
      <c r="AQ597" s="69"/>
      <c r="AR597" s="69"/>
      <c r="AS597" s="69"/>
      <c r="AT597" s="69"/>
      <c r="AU597" s="69"/>
      <c r="AV597" s="69"/>
      <c r="AW597" s="69"/>
      <c r="AX597" s="71"/>
      <c r="AY597" s="18"/>
      <c r="AZ597" s="18"/>
    </row>
    <row r="598" spans="2:53" ht="16.5" customHeight="1" thickBot="1" x14ac:dyDescent="0.3">
      <c r="B598" s="1" t="s">
        <v>2</v>
      </c>
      <c r="C598" s="10">
        <v>3</v>
      </c>
      <c r="D598">
        <f>C598</f>
        <v>3</v>
      </c>
      <c r="F598" s="1" t="s">
        <v>2</v>
      </c>
      <c r="G598" s="87"/>
      <c r="H598" s="46"/>
      <c r="I598" s="46"/>
      <c r="J598" s="70"/>
      <c r="K598" s="69"/>
      <c r="L598" s="46"/>
      <c r="M598" s="46"/>
      <c r="N598" s="46"/>
      <c r="O598" s="69"/>
      <c r="P598" s="70"/>
      <c r="Q598" s="69">
        <v>1</v>
      </c>
      <c r="R598" s="46"/>
      <c r="S598" s="46"/>
      <c r="T598" s="46"/>
      <c r="U598" s="46"/>
      <c r="V598" s="46">
        <v>1</v>
      </c>
      <c r="W598" s="46"/>
      <c r="X598" s="70">
        <v>1</v>
      </c>
      <c r="Y598" s="87"/>
      <c r="Z598" s="46"/>
      <c r="AA598" s="46"/>
      <c r="AB598" s="46"/>
      <c r="AC598" s="69"/>
      <c r="AD598" s="46"/>
      <c r="AE598" s="46"/>
      <c r="AF598" s="70"/>
      <c r="AG598" s="46"/>
      <c r="AH598" s="70"/>
      <c r="AI598" s="46">
        <v>1</v>
      </c>
      <c r="AJ598" s="46"/>
      <c r="AK598" s="46"/>
      <c r="AL598" s="46"/>
      <c r="AM598" s="46">
        <v>1</v>
      </c>
      <c r="AN598" s="46">
        <v>1</v>
      </c>
      <c r="AO598" s="46"/>
      <c r="AP598" s="46"/>
      <c r="AQ598" s="69"/>
      <c r="AR598" s="69"/>
      <c r="AS598" s="69"/>
      <c r="AT598" s="69"/>
      <c r="AU598" s="69"/>
      <c r="AV598" s="69"/>
      <c r="AW598" s="69"/>
      <c r="AX598" s="71"/>
      <c r="AY598" s="18"/>
      <c r="AZ598" s="18"/>
    </row>
    <row r="599" spans="2:53" ht="16.5" customHeight="1" thickBot="1" x14ac:dyDescent="0.3">
      <c r="B599" s="1" t="s">
        <v>3</v>
      </c>
      <c r="C599" s="10"/>
      <c r="D599" s="7">
        <f t="shared" si="65"/>
        <v>0</v>
      </c>
      <c r="F599" s="1" t="s">
        <v>3</v>
      </c>
      <c r="G599" s="88"/>
      <c r="H599" s="73"/>
      <c r="I599" s="73"/>
      <c r="J599" s="74"/>
      <c r="K599" s="72"/>
      <c r="L599" s="73"/>
      <c r="M599" s="73"/>
      <c r="N599" s="73"/>
      <c r="O599" s="72"/>
      <c r="P599" s="74"/>
      <c r="Q599" s="72"/>
      <c r="R599" s="73"/>
      <c r="S599" s="73"/>
      <c r="T599" s="73"/>
      <c r="U599" s="73"/>
      <c r="V599" s="73"/>
      <c r="W599" s="73"/>
      <c r="X599" s="74"/>
      <c r="Y599" s="88"/>
      <c r="Z599" s="73"/>
      <c r="AA599" s="73"/>
      <c r="AB599" s="73"/>
      <c r="AC599" s="72"/>
      <c r="AD599" s="73"/>
      <c r="AE599" s="73"/>
      <c r="AF599" s="74"/>
      <c r="AG599" s="73"/>
      <c r="AH599" s="74"/>
      <c r="AI599" s="73"/>
      <c r="AJ599" s="73"/>
      <c r="AK599" s="73"/>
      <c r="AL599" s="73"/>
      <c r="AM599" s="73"/>
      <c r="AN599" s="73"/>
      <c r="AO599" s="73"/>
      <c r="AP599" s="73"/>
      <c r="AQ599" s="72"/>
      <c r="AR599" s="72"/>
      <c r="AS599" s="72"/>
      <c r="AT599" s="72"/>
      <c r="AU599" s="72"/>
      <c r="AV599" s="72"/>
      <c r="AW599" s="72"/>
      <c r="AX599" s="75"/>
      <c r="AY599" s="19"/>
      <c r="AZ599" s="19"/>
    </row>
    <row r="600" spans="2:53" ht="21" customHeight="1" x14ac:dyDescent="0.25">
      <c r="B600" s="2"/>
      <c r="C600" s="3" t="s">
        <v>25</v>
      </c>
      <c r="D600" s="9">
        <f>SUM(D596:D599)</f>
        <v>4</v>
      </c>
      <c r="G600" s="85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85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</row>
    <row r="601" spans="2:53" x14ac:dyDescent="0.25"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</row>
    <row r="602" spans="2:53" ht="15.75" x14ac:dyDescent="0.25">
      <c r="G602" s="100" t="s">
        <v>22</v>
      </c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1" t="s">
        <v>21</v>
      </c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46"/>
      <c r="AR602" s="46"/>
      <c r="AS602" s="46"/>
      <c r="AT602" s="46"/>
      <c r="AU602" s="46"/>
      <c r="AV602" s="46"/>
      <c r="AW602" s="46"/>
      <c r="AX602" s="46"/>
    </row>
    <row r="603" spans="2:53" ht="32.25" thickBot="1" x14ac:dyDescent="0.3">
      <c r="G603" s="102" t="s">
        <v>14</v>
      </c>
      <c r="H603" s="102"/>
      <c r="I603" s="102"/>
      <c r="J603" s="102"/>
      <c r="K603" s="102" t="s">
        <v>15</v>
      </c>
      <c r="L603" s="102"/>
      <c r="M603" s="102"/>
      <c r="N603" s="102"/>
      <c r="O603" s="102" t="s">
        <v>59</v>
      </c>
      <c r="P603" s="102"/>
      <c r="Q603" s="102" t="s">
        <v>16</v>
      </c>
      <c r="R603" s="102"/>
      <c r="S603" s="102"/>
      <c r="T603" s="102"/>
      <c r="U603" s="102"/>
      <c r="V603" s="102"/>
      <c r="W603" s="102"/>
      <c r="X603" s="102"/>
      <c r="Y603" s="102" t="s">
        <v>14</v>
      </c>
      <c r="Z603" s="102"/>
      <c r="AA603" s="102"/>
      <c r="AB603" s="102"/>
      <c r="AC603" s="102" t="s">
        <v>15</v>
      </c>
      <c r="AD603" s="102"/>
      <c r="AE603" s="102"/>
      <c r="AF603" s="102"/>
      <c r="AG603" s="102" t="s">
        <v>59</v>
      </c>
      <c r="AH603" s="102"/>
      <c r="AI603" s="102" t="s">
        <v>16</v>
      </c>
      <c r="AJ603" s="102"/>
      <c r="AK603" s="102"/>
      <c r="AL603" s="102"/>
      <c r="AM603" s="102"/>
      <c r="AN603" s="102"/>
      <c r="AO603" s="102"/>
      <c r="AP603" s="102"/>
      <c r="AQ603" s="76" t="s">
        <v>60</v>
      </c>
      <c r="AR603" s="76" t="s">
        <v>70</v>
      </c>
      <c r="AS603" s="76" t="s">
        <v>65</v>
      </c>
      <c r="AT603" s="76" t="s">
        <v>61</v>
      </c>
      <c r="AU603" s="76" t="s">
        <v>62</v>
      </c>
      <c r="AV603" s="76" t="s">
        <v>27</v>
      </c>
      <c r="AW603" s="76" t="s">
        <v>64</v>
      </c>
      <c r="AX603" s="76" t="s">
        <v>63</v>
      </c>
      <c r="AY603" s="76" t="s">
        <v>66</v>
      </c>
      <c r="AZ603" s="76" t="s">
        <v>67</v>
      </c>
      <c r="BA603" s="76" t="s">
        <v>88</v>
      </c>
    </row>
    <row r="604" spans="2:53" ht="48" thickBot="1" x14ac:dyDescent="0.3">
      <c r="B604" s="20">
        <v>0.687500000000001</v>
      </c>
      <c r="C604" s="14" t="s">
        <v>13</v>
      </c>
      <c r="D604" s="8" t="s">
        <v>6</v>
      </c>
      <c r="F604" s="13"/>
      <c r="G604" s="81" t="s">
        <v>20</v>
      </c>
      <c r="H604" s="64" t="s">
        <v>17</v>
      </c>
      <c r="I604" s="64" t="s">
        <v>19</v>
      </c>
      <c r="J604" s="64" t="s">
        <v>18</v>
      </c>
      <c r="K604" s="64" t="s">
        <v>52</v>
      </c>
      <c r="L604" s="64" t="s">
        <v>51</v>
      </c>
      <c r="M604" s="64" t="s">
        <v>53</v>
      </c>
      <c r="N604" s="64" t="s">
        <v>54</v>
      </c>
      <c r="O604" s="64" t="s">
        <v>20</v>
      </c>
      <c r="P604" s="64" t="s">
        <v>19</v>
      </c>
      <c r="Q604" s="64" t="s">
        <v>55</v>
      </c>
      <c r="R604" s="64" t="s">
        <v>56</v>
      </c>
      <c r="S604" s="64" t="s">
        <v>52</v>
      </c>
      <c r="T604" s="64" t="s">
        <v>51</v>
      </c>
      <c r="U604" s="64" t="s">
        <v>57</v>
      </c>
      <c r="V604" s="64" t="s">
        <v>58</v>
      </c>
      <c r="W604" s="64" t="s">
        <v>53</v>
      </c>
      <c r="X604" s="64" t="s">
        <v>54</v>
      </c>
      <c r="Y604" s="81" t="s">
        <v>20</v>
      </c>
      <c r="Z604" s="64" t="s">
        <v>17</v>
      </c>
      <c r="AA604" s="64" t="s">
        <v>19</v>
      </c>
      <c r="AB604" s="64" t="s">
        <v>18</v>
      </c>
      <c r="AC604" s="64" t="s">
        <v>52</v>
      </c>
      <c r="AD604" s="64" t="s">
        <v>51</v>
      </c>
      <c r="AE604" s="64" t="s">
        <v>53</v>
      </c>
      <c r="AF604" s="64" t="s">
        <v>54</v>
      </c>
      <c r="AG604" s="64" t="s">
        <v>20</v>
      </c>
      <c r="AH604" s="64" t="s">
        <v>19</v>
      </c>
      <c r="AI604" s="64" t="s">
        <v>55</v>
      </c>
      <c r="AJ604" s="64" t="s">
        <v>56</v>
      </c>
      <c r="AK604" s="64" t="s">
        <v>52</v>
      </c>
      <c r="AL604" s="64" t="s">
        <v>51</v>
      </c>
      <c r="AM604" s="64" t="s">
        <v>57</v>
      </c>
      <c r="AN604" s="64" t="s">
        <v>58</v>
      </c>
      <c r="AO604" s="64" t="s">
        <v>53</v>
      </c>
      <c r="AP604" s="64" t="s">
        <v>54</v>
      </c>
      <c r="AQ604" s="46"/>
      <c r="AR604" s="46"/>
      <c r="AS604" s="46"/>
      <c r="AT604" s="46"/>
      <c r="AU604" s="46"/>
      <c r="AV604" s="46"/>
      <c r="AW604" s="46"/>
      <c r="AX604" s="46"/>
    </row>
    <row r="605" spans="2:53" ht="16.5" customHeight="1" thickBot="1" x14ac:dyDescent="0.3">
      <c r="B605" s="1" t="s">
        <v>0</v>
      </c>
      <c r="C605" s="10">
        <v>5</v>
      </c>
      <c r="D605">
        <f>C605</f>
        <v>5</v>
      </c>
      <c r="F605" s="12" t="s">
        <v>0</v>
      </c>
      <c r="G605" s="86"/>
      <c r="H605" s="66"/>
      <c r="I605" s="66"/>
      <c r="J605" s="67"/>
      <c r="K605" s="65"/>
      <c r="L605" s="66"/>
      <c r="M605" s="66"/>
      <c r="N605" s="66"/>
      <c r="O605" s="65"/>
      <c r="P605" s="67"/>
      <c r="Q605" s="65">
        <v>2</v>
      </c>
      <c r="R605" s="66">
        <v>2</v>
      </c>
      <c r="S605" s="66"/>
      <c r="T605" s="66"/>
      <c r="U605" s="66"/>
      <c r="V605" s="66">
        <v>1</v>
      </c>
      <c r="W605" s="66"/>
      <c r="X605" s="67"/>
      <c r="Y605" s="86"/>
      <c r="Z605" s="66"/>
      <c r="AA605" s="66"/>
      <c r="AB605" s="66"/>
      <c r="AC605" s="65"/>
      <c r="AD605" s="66"/>
      <c r="AE605" s="66"/>
      <c r="AF605" s="67"/>
      <c r="AG605" s="66"/>
      <c r="AH605" s="67"/>
      <c r="AI605" s="66"/>
      <c r="AJ605" s="66"/>
      <c r="AK605" s="66">
        <v>3</v>
      </c>
      <c r="AL605" s="66"/>
      <c r="AM605" s="66"/>
      <c r="AN605" s="66">
        <v>1</v>
      </c>
      <c r="AO605" s="66">
        <v>1</v>
      </c>
      <c r="AP605" s="66"/>
      <c r="AQ605" s="65">
        <v>1</v>
      </c>
      <c r="AR605" s="65"/>
      <c r="AS605" s="65"/>
      <c r="AT605" s="65"/>
      <c r="AU605" s="65"/>
      <c r="AV605" s="65"/>
      <c r="AW605" s="65"/>
      <c r="AX605" s="68">
        <v>1</v>
      </c>
      <c r="AY605" s="17"/>
      <c r="AZ605" s="17">
        <v>1</v>
      </c>
      <c r="BA605" s="17"/>
    </row>
    <row r="606" spans="2:53" ht="16.5" customHeight="1" thickBot="1" x14ac:dyDescent="0.3">
      <c r="B606" s="1" t="s">
        <v>1</v>
      </c>
      <c r="C606" s="10">
        <v>4</v>
      </c>
      <c r="D606">
        <f t="shared" ref="D606:D608" si="66">C606</f>
        <v>4</v>
      </c>
      <c r="F606" s="1" t="s">
        <v>1</v>
      </c>
      <c r="G606" s="87">
        <v>1</v>
      </c>
      <c r="H606" s="46"/>
      <c r="I606" s="46"/>
      <c r="J606" s="70"/>
      <c r="K606" s="69"/>
      <c r="L606" s="46"/>
      <c r="M606" s="46"/>
      <c r="N606" s="46"/>
      <c r="O606" s="69">
        <v>1</v>
      </c>
      <c r="P606" s="70">
        <v>2</v>
      </c>
      <c r="Q606" s="69"/>
      <c r="R606" s="46"/>
      <c r="S606" s="46"/>
      <c r="T606" s="46"/>
      <c r="U606" s="46"/>
      <c r="V606" s="46"/>
      <c r="W606" s="46"/>
      <c r="X606" s="70"/>
      <c r="Y606" s="87"/>
      <c r="Z606" s="46"/>
      <c r="AA606" s="46">
        <v>1</v>
      </c>
      <c r="AB606" s="46"/>
      <c r="AC606" s="69"/>
      <c r="AD606" s="46"/>
      <c r="AE606" s="46"/>
      <c r="AF606" s="70"/>
      <c r="AG606" s="46">
        <v>2</v>
      </c>
      <c r="AH606" s="70">
        <v>1</v>
      </c>
      <c r="AI606" s="46"/>
      <c r="AJ606" s="46"/>
      <c r="AK606" s="46"/>
      <c r="AL606" s="46"/>
      <c r="AM606" s="46"/>
      <c r="AN606" s="46"/>
      <c r="AO606" s="46"/>
      <c r="AP606" s="46"/>
      <c r="AQ606" s="69"/>
      <c r="AR606" s="69">
        <v>2</v>
      </c>
      <c r="AS606" s="69"/>
      <c r="AT606" s="69"/>
      <c r="AU606" s="69"/>
      <c r="AV606" s="69"/>
      <c r="AW606" s="69"/>
      <c r="AX606" s="71"/>
      <c r="AY606" s="18"/>
      <c r="AZ606" s="18"/>
      <c r="BA606" s="18">
        <v>1</v>
      </c>
    </row>
    <row r="607" spans="2:53" ht="16.5" customHeight="1" thickBot="1" x14ac:dyDescent="0.3">
      <c r="B607" s="1" t="s">
        <v>2</v>
      </c>
      <c r="C607" s="10">
        <v>1</v>
      </c>
      <c r="D607">
        <f>C607</f>
        <v>1</v>
      </c>
      <c r="F607" s="1" t="s">
        <v>2</v>
      </c>
      <c r="G607" s="87"/>
      <c r="H607" s="46"/>
      <c r="I607" s="46"/>
      <c r="J607" s="70"/>
      <c r="K607" s="69"/>
      <c r="L607" s="46"/>
      <c r="M607" s="46"/>
      <c r="N607" s="46"/>
      <c r="O607" s="69">
        <v>1</v>
      </c>
      <c r="P607" s="70"/>
      <c r="Q607" s="69"/>
      <c r="R607" s="46"/>
      <c r="S607" s="46"/>
      <c r="T607" s="46"/>
      <c r="U607" s="46"/>
      <c r="V607" s="46"/>
      <c r="W607" s="46"/>
      <c r="X607" s="70"/>
      <c r="Y607" s="87"/>
      <c r="Z607" s="46"/>
      <c r="AA607" s="46"/>
      <c r="AB607" s="46"/>
      <c r="AC607" s="69"/>
      <c r="AD607" s="46"/>
      <c r="AE607" s="46"/>
      <c r="AF607" s="70"/>
      <c r="AG607" s="46"/>
      <c r="AH607" s="70">
        <v>1</v>
      </c>
      <c r="AI607" s="46"/>
      <c r="AJ607" s="46"/>
      <c r="AK607" s="46"/>
      <c r="AL607" s="46"/>
      <c r="AM607" s="46"/>
      <c r="AN607" s="46"/>
      <c r="AO607" s="46"/>
      <c r="AP607" s="46"/>
      <c r="AQ607" s="69"/>
      <c r="AR607" s="69"/>
      <c r="AS607" s="69"/>
      <c r="AT607" s="69"/>
      <c r="AU607" s="69"/>
      <c r="AV607" s="69"/>
      <c r="AW607" s="69"/>
      <c r="AX607" s="71"/>
      <c r="AY607" s="18"/>
      <c r="AZ607" s="18"/>
      <c r="BA607" s="18"/>
    </row>
    <row r="608" spans="2:53" ht="16.5" customHeight="1" thickBot="1" x14ac:dyDescent="0.3">
      <c r="B608" s="1" t="s">
        <v>3</v>
      </c>
      <c r="C608" s="10"/>
      <c r="D608" s="7">
        <f t="shared" si="66"/>
        <v>0</v>
      </c>
      <c r="F608" s="1" t="s">
        <v>3</v>
      </c>
      <c r="G608" s="88"/>
      <c r="H608" s="73"/>
      <c r="I608" s="73"/>
      <c r="J608" s="74"/>
      <c r="K608" s="72"/>
      <c r="L608" s="73"/>
      <c r="M608" s="73"/>
      <c r="N608" s="73"/>
      <c r="O608" s="72"/>
      <c r="P608" s="74"/>
      <c r="Q608" s="72"/>
      <c r="R608" s="73"/>
      <c r="S608" s="73"/>
      <c r="T608" s="73"/>
      <c r="U608" s="73"/>
      <c r="V608" s="73"/>
      <c r="W608" s="73"/>
      <c r="X608" s="74"/>
      <c r="Y608" s="88"/>
      <c r="Z608" s="73"/>
      <c r="AA608" s="73"/>
      <c r="AB608" s="73"/>
      <c r="AC608" s="72"/>
      <c r="AD608" s="73"/>
      <c r="AE608" s="73"/>
      <c r="AF608" s="74"/>
      <c r="AG608" s="73"/>
      <c r="AH608" s="74"/>
      <c r="AI608" s="73"/>
      <c r="AJ608" s="73"/>
      <c r="AK608" s="73"/>
      <c r="AL608" s="73"/>
      <c r="AM608" s="73"/>
      <c r="AN608" s="73"/>
      <c r="AO608" s="73"/>
      <c r="AP608" s="73"/>
      <c r="AQ608" s="72"/>
      <c r="AR608" s="72"/>
      <c r="AS608" s="72"/>
      <c r="AT608" s="72"/>
      <c r="AU608" s="72"/>
      <c r="AV608" s="72"/>
      <c r="AW608" s="72"/>
      <c r="AX608" s="75"/>
      <c r="AY608" s="19"/>
      <c r="AZ608" s="19"/>
      <c r="BA608" s="19"/>
    </row>
    <row r="609" spans="2:52" ht="21" customHeight="1" x14ac:dyDescent="0.25">
      <c r="B609" s="2"/>
      <c r="C609" s="3" t="s">
        <v>25</v>
      </c>
      <c r="D609" s="9">
        <f>SUM(D605:D608)</f>
        <v>10</v>
      </c>
      <c r="G609" s="85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85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</row>
    <row r="610" spans="2:52" x14ac:dyDescent="0.25"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</row>
    <row r="611" spans="2:52" ht="15.75" x14ac:dyDescent="0.25">
      <c r="G611" s="100" t="s">
        <v>22</v>
      </c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1" t="s">
        <v>21</v>
      </c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46"/>
      <c r="AR611" s="46"/>
      <c r="AS611" s="46"/>
      <c r="AT611" s="46"/>
      <c r="AU611" s="46"/>
      <c r="AV611" s="46"/>
      <c r="AW611" s="46"/>
      <c r="AX611" s="46"/>
    </row>
    <row r="612" spans="2:52" ht="32.25" thickBot="1" x14ac:dyDescent="0.3">
      <c r="G612" s="102" t="s">
        <v>14</v>
      </c>
      <c r="H612" s="102"/>
      <c r="I612" s="102"/>
      <c r="J612" s="102"/>
      <c r="K612" s="102" t="s">
        <v>15</v>
      </c>
      <c r="L612" s="102"/>
      <c r="M612" s="102"/>
      <c r="N612" s="102"/>
      <c r="O612" s="102" t="s">
        <v>59</v>
      </c>
      <c r="P612" s="102"/>
      <c r="Q612" s="102" t="s">
        <v>16</v>
      </c>
      <c r="R612" s="102"/>
      <c r="S612" s="102"/>
      <c r="T612" s="102"/>
      <c r="U612" s="102"/>
      <c r="V612" s="102"/>
      <c r="W612" s="102"/>
      <c r="X612" s="102"/>
      <c r="Y612" s="102" t="s">
        <v>14</v>
      </c>
      <c r="Z612" s="102"/>
      <c r="AA612" s="102"/>
      <c r="AB612" s="102"/>
      <c r="AC612" s="102" t="s">
        <v>15</v>
      </c>
      <c r="AD612" s="102"/>
      <c r="AE612" s="102"/>
      <c r="AF612" s="102"/>
      <c r="AG612" s="102" t="s">
        <v>59</v>
      </c>
      <c r="AH612" s="102"/>
      <c r="AI612" s="102" t="s">
        <v>16</v>
      </c>
      <c r="AJ612" s="102"/>
      <c r="AK612" s="102"/>
      <c r="AL612" s="102"/>
      <c r="AM612" s="102"/>
      <c r="AN612" s="102"/>
      <c r="AO612" s="102"/>
      <c r="AP612" s="102"/>
      <c r="AQ612" s="76" t="s">
        <v>60</v>
      </c>
      <c r="AR612" s="76" t="s">
        <v>70</v>
      </c>
      <c r="AS612" s="76" t="s">
        <v>65</v>
      </c>
      <c r="AT612" s="76" t="s">
        <v>61</v>
      </c>
      <c r="AU612" s="76" t="s">
        <v>62</v>
      </c>
      <c r="AV612" s="76" t="s">
        <v>27</v>
      </c>
      <c r="AW612" s="76" t="s">
        <v>64</v>
      </c>
      <c r="AX612" s="76" t="s">
        <v>63</v>
      </c>
      <c r="AY612" s="76" t="s">
        <v>66</v>
      </c>
      <c r="AZ612" s="76" t="s">
        <v>67</v>
      </c>
    </row>
    <row r="613" spans="2:52" ht="48" thickBot="1" x14ac:dyDescent="0.3">
      <c r="B613" s="20">
        <v>0.69791666666666796</v>
      </c>
      <c r="C613" s="14" t="s">
        <v>13</v>
      </c>
      <c r="D613" s="8" t="s">
        <v>6</v>
      </c>
      <c r="F613" s="13"/>
      <c r="G613" s="81" t="s">
        <v>20</v>
      </c>
      <c r="H613" s="64" t="s">
        <v>17</v>
      </c>
      <c r="I613" s="64" t="s">
        <v>19</v>
      </c>
      <c r="J613" s="64" t="s">
        <v>18</v>
      </c>
      <c r="K613" s="64" t="s">
        <v>52</v>
      </c>
      <c r="L613" s="64" t="s">
        <v>51</v>
      </c>
      <c r="M613" s="64" t="s">
        <v>53</v>
      </c>
      <c r="N613" s="64" t="s">
        <v>54</v>
      </c>
      <c r="O613" s="64" t="s">
        <v>20</v>
      </c>
      <c r="P613" s="64" t="s">
        <v>19</v>
      </c>
      <c r="Q613" s="64" t="s">
        <v>55</v>
      </c>
      <c r="R613" s="64" t="s">
        <v>56</v>
      </c>
      <c r="S613" s="64" t="s">
        <v>52</v>
      </c>
      <c r="T613" s="64" t="s">
        <v>51</v>
      </c>
      <c r="U613" s="64" t="s">
        <v>57</v>
      </c>
      <c r="V613" s="64" t="s">
        <v>58</v>
      </c>
      <c r="W613" s="64" t="s">
        <v>53</v>
      </c>
      <c r="X613" s="64" t="s">
        <v>54</v>
      </c>
      <c r="Y613" s="81" t="s">
        <v>20</v>
      </c>
      <c r="Z613" s="64" t="s">
        <v>17</v>
      </c>
      <c r="AA613" s="64" t="s">
        <v>19</v>
      </c>
      <c r="AB613" s="64" t="s">
        <v>18</v>
      </c>
      <c r="AC613" s="64" t="s">
        <v>52</v>
      </c>
      <c r="AD613" s="64" t="s">
        <v>51</v>
      </c>
      <c r="AE613" s="64" t="s">
        <v>53</v>
      </c>
      <c r="AF613" s="64" t="s">
        <v>54</v>
      </c>
      <c r="AG613" s="64" t="s">
        <v>20</v>
      </c>
      <c r="AH613" s="64" t="s">
        <v>19</v>
      </c>
      <c r="AI613" s="64" t="s">
        <v>55</v>
      </c>
      <c r="AJ613" s="64" t="s">
        <v>56</v>
      </c>
      <c r="AK613" s="64" t="s">
        <v>52</v>
      </c>
      <c r="AL613" s="64" t="s">
        <v>51</v>
      </c>
      <c r="AM613" s="64" t="s">
        <v>57</v>
      </c>
      <c r="AN613" s="64" t="s">
        <v>58</v>
      </c>
      <c r="AO613" s="64" t="s">
        <v>53</v>
      </c>
      <c r="AP613" s="64" t="s">
        <v>54</v>
      </c>
      <c r="AQ613" s="46"/>
      <c r="AR613" s="46"/>
      <c r="AS613" s="46"/>
      <c r="AT613" s="46"/>
      <c r="AU613" s="46"/>
      <c r="AV613" s="46"/>
      <c r="AW613" s="46"/>
      <c r="AX613" s="46"/>
    </row>
    <row r="614" spans="2:52" ht="16.5" customHeight="1" thickBot="1" x14ac:dyDescent="0.3">
      <c r="B614" s="1" t="s">
        <v>0</v>
      </c>
      <c r="C614" s="10"/>
      <c r="D614">
        <f>C614</f>
        <v>0</v>
      </c>
      <c r="F614" s="12" t="s">
        <v>0</v>
      </c>
      <c r="G614" s="86"/>
      <c r="H614" s="66"/>
      <c r="I614" s="66"/>
      <c r="J614" s="67"/>
      <c r="K614" s="65"/>
      <c r="L614" s="66"/>
      <c r="M614" s="66"/>
      <c r="N614" s="66"/>
      <c r="O614" s="65"/>
      <c r="P614" s="67"/>
      <c r="Q614" s="65"/>
      <c r="R614" s="66"/>
      <c r="S614" s="66"/>
      <c r="T614" s="66"/>
      <c r="U614" s="66"/>
      <c r="V614" s="66"/>
      <c r="W614" s="66"/>
      <c r="X614" s="67"/>
      <c r="Y614" s="86"/>
      <c r="Z614" s="66"/>
      <c r="AA614" s="66"/>
      <c r="AB614" s="66"/>
      <c r="AC614" s="65"/>
      <c r="AD614" s="66"/>
      <c r="AE614" s="66"/>
      <c r="AF614" s="67"/>
      <c r="AG614" s="66"/>
      <c r="AH614" s="67"/>
      <c r="AI614" s="66"/>
      <c r="AJ614" s="66"/>
      <c r="AK614" s="66"/>
      <c r="AL614" s="66"/>
      <c r="AM614" s="66"/>
      <c r="AN614" s="66"/>
      <c r="AO614" s="66"/>
      <c r="AP614" s="66"/>
      <c r="AQ614" s="65"/>
      <c r="AR614" s="65"/>
      <c r="AS614" s="65"/>
      <c r="AT614" s="65"/>
      <c r="AU614" s="65"/>
      <c r="AV614" s="65"/>
      <c r="AW614" s="65"/>
      <c r="AX614" s="68"/>
      <c r="AY614" s="17"/>
      <c r="AZ614" s="17"/>
    </row>
    <row r="615" spans="2:52" ht="16.5" customHeight="1" thickBot="1" x14ac:dyDescent="0.3">
      <c r="B615" s="1" t="s">
        <v>1</v>
      </c>
      <c r="C615" s="10"/>
      <c r="D615">
        <f t="shared" ref="D615:D617" si="67">C615</f>
        <v>0</v>
      </c>
      <c r="F615" s="1" t="s">
        <v>1</v>
      </c>
      <c r="G615" s="87"/>
      <c r="H615" s="46"/>
      <c r="I615" s="46"/>
      <c r="J615" s="70"/>
      <c r="K615" s="69"/>
      <c r="L615" s="46"/>
      <c r="M615" s="46"/>
      <c r="N615" s="46"/>
      <c r="O615" s="69"/>
      <c r="P615" s="70"/>
      <c r="Q615" s="69"/>
      <c r="R615" s="46"/>
      <c r="S615" s="46"/>
      <c r="T615" s="46"/>
      <c r="U615" s="46"/>
      <c r="V615" s="46"/>
      <c r="W615" s="46"/>
      <c r="X615" s="70"/>
      <c r="Y615" s="87"/>
      <c r="Z615" s="46"/>
      <c r="AA615" s="46"/>
      <c r="AB615" s="46"/>
      <c r="AC615" s="69"/>
      <c r="AD615" s="46"/>
      <c r="AE615" s="46"/>
      <c r="AF615" s="70"/>
      <c r="AG615" s="46"/>
      <c r="AH615" s="70"/>
      <c r="AI615" s="46"/>
      <c r="AJ615" s="46"/>
      <c r="AK615" s="46"/>
      <c r="AL615" s="46"/>
      <c r="AM615" s="46"/>
      <c r="AN615" s="46"/>
      <c r="AO615" s="46"/>
      <c r="AP615" s="46"/>
      <c r="AQ615" s="69"/>
      <c r="AR615" s="69"/>
      <c r="AS615" s="69"/>
      <c r="AT615" s="69"/>
      <c r="AU615" s="69"/>
      <c r="AV615" s="69"/>
      <c r="AW615" s="69"/>
      <c r="AX615" s="71"/>
      <c r="AY615" s="18"/>
      <c r="AZ615" s="18"/>
    </row>
    <row r="616" spans="2:52" ht="16.5" customHeight="1" thickBot="1" x14ac:dyDescent="0.3">
      <c r="B616" s="1" t="s">
        <v>2</v>
      </c>
      <c r="C616" s="10">
        <v>1</v>
      </c>
      <c r="D616">
        <f>C616</f>
        <v>1</v>
      </c>
      <c r="F616" s="1" t="s">
        <v>2</v>
      </c>
      <c r="G616" s="87"/>
      <c r="H616" s="46"/>
      <c r="I616" s="46"/>
      <c r="J616" s="70"/>
      <c r="K616" s="69">
        <v>1</v>
      </c>
      <c r="L616" s="46"/>
      <c r="M616" s="46"/>
      <c r="N616" s="46"/>
      <c r="O616" s="69"/>
      <c r="P616" s="70"/>
      <c r="Q616" s="69"/>
      <c r="R616" s="46"/>
      <c r="S616" s="46"/>
      <c r="T616" s="46"/>
      <c r="U616" s="46"/>
      <c r="V616" s="46"/>
      <c r="W616" s="46"/>
      <c r="X616" s="70"/>
      <c r="Y616" s="87"/>
      <c r="Z616" s="46"/>
      <c r="AA616" s="46"/>
      <c r="AB616" s="46"/>
      <c r="AC616" s="69"/>
      <c r="AD616" s="46"/>
      <c r="AE616" s="46"/>
      <c r="AF616" s="70">
        <v>1</v>
      </c>
      <c r="AG616" s="46"/>
      <c r="AH616" s="70"/>
      <c r="AI616" s="46"/>
      <c r="AJ616" s="46"/>
      <c r="AK616" s="46"/>
      <c r="AL616" s="46"/>
      <c r="AM616" s="46"/>
      <c r="AN616" s="46"/>
      <c r="AO616" s="46"/>
      <c r="AP616" s="46"/>
      <c r="AQ616" s="69"/>
      <c r="AR616" s="69"/>
      <c r="AS616" s="69"/>
      <c r="AT616" s="69"/>
      <c r="AU616" s="69"/>
      <c r="AV616" s="69"/>
      <c r="AW616" s="69"/>
      <c r="AX616" s="71"/>
      <c r="AY616" s="18"/>
      <c r="AZ616" s="18"/>
    </row>
    <row r="617" spans="2:52" ht="16.5" customHeight="1" thickBot="1" x14ac:dyDescent="0.3">
      <c r="B617" s="1" t="s">
        <v>3</v>
      </c>
      <c r="C617" s="10"/>
      <c r="D617" s="7">
        <f t="shared" si="67"/>
        <v>0</v>
      </c>
      <c r="F617" s="1" t="s">
        <v>3</v>
      </c>
      <c r="G617" s="88"/>
      <c r="H617" s="73"/>
      <c r="I617" s="73"/>
      <c r="J617" s="74"/>
      <c r="K617" s="72"/>
      <c r="L617" s="73"/>
      <c r="M617" s="73"/>
      <c r="N617" s="73"/>
      <c r="O617" s="72"/>
      <c r="P617" s="74"/>
      <c r="Q617" s="72"/>
      <c r="R617" s="73"/>
      <c r="S617" s="73"/>
      <c r="T617" s="73"/>
      <c r="U617" s="73"/>
      <c r="V617" s="73"/>
      <c r="W617" s="73"/>
      <c r="X617" s="74"/>
      <c r="Y617" s="88"/>
      <c r="Z617" s="73"/>
      <c r="AA617" s="73"/>
      <c r="AB617" s="73"/>
      <c r="AC617" s="72"/>
      <c r="AD617" s="73"/>
      <c r="AE617" s="73"/>
      <c r="AF617" s="74"/>
      <c r="AG617" s="73"/>
      <c r="AH617" s="74"/>
      <c r="AI617" s="73"/>
      <c r="AJ617" s="73"/>
      <c r="AK617" s="73"/>
      <c r="AL617" s="73"/>
      <c r="AM617" s="73"/>
      <c r="AN617" s="73"/>
      <c r="AO617" s="73"/>
      <c r="AP617" s="73"/>
      <c r="AQ617" s="72"/>
      <c r="AR617" s="72"/>
      <c r="AS617" s="72"/>
      <c r="AT617" s="72"/>
      <c r="AU617" s="72"/>
      <c r="AV617" s="72"/>
      <c r="AW617" s="72"/>
      <c r="AX617" s="75"/>
      <c r="AY617" s="19"/>
      <c r="AZ617" s="19"/>
    </row>
    <row r="618" spans="2:52" ht="21" customHeight="1" x14ac:dyDescent="0.25">
      <c r="B618" s="2"/>
      <c r="C618" s="3" t="s">
        <v>25</v>
      </c>
      <c r="D618" s="9">
        <f>SUM(D614:D617)</f>
        <v>1</v>
      </c>
      <c r="G618" s="85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85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</row>
    <row r="619" spans="2:52" x14ac:dyDescent="0.25"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</row>
    <row r="620" spans="2:52" ht="15.75" x14ac:dyDescent="0.25">
      <c r="G620" s="100" t="s">
        <v>22</v>
      </c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1" t="s">
        <v>21</v>
      </c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46"/>
      <c r="AR620" s="46"/>
      <c r="AS620" s="46"/>
      <c r="AT620" s="46"/>
      <c r="AU620" s="46"/>
      <c r="AV620" s="46"/>
      <c r="AW620" s="46"/>
      <c r="AX620" s="46"/>
    </row>
    <row r="621" spans="2:52" ht="32.25" thickBot="1" x14ac:dyDescent="0.3">
      <c r="G621" s="102" t="s">
        <v>14</v>
      </c>
      <c r="H621" s="102"/>
      <c r="I621" s="102"/>
      <c r="J621" s="102"/>
      <c r="K621" s="102" t="s">
        <v>15</v>
      </c>
      <c r="L621" s="102"/>
      <c r="M621" s="102"/>
      <c r="N621" s="102"/>
      <c r="O621" s="102" t="s">
        <v>59</v>
      </c>
      <c r="P621" s="102"/>
      <c r="Q621" s="102" t="s">
        <v>16</v>
      </c>
      <c r="R621" s="102"/>
      <c r="S621" s="102"/>
      <c r="T621" s="102"/>
      <c r="U621" s="102"/>
      <c r="V621" s="102"/>
      <c r="W621" s="102"/>
      <c r="X621" s="102"/>
      <c r="Y621" s="102" t="s">
        <v>14</v>
      </c>
      <c r="Z621" s="102"/>
      <c r="AA621" s="102"/>
      <c r="AB621" s="102"/>
      <c r="AC621" s="102" t="s">
        <v>15</v>
      </c>
      <c r="AD621" s="102"/>
      <c r="AE621" s="102"/>
      <c r="AF621" s="102"/>
      <c r="AG621" s="102" t="s">
        <v>59</v>
      </c>
      <c r="AH621" s="102"/>
      <c r="AI621" s="102" t="s">
        <v>16</v>
      </c>
      <c r="AJ621" s="102"/>
      <c r="AK621" s="102"/>
      <c r="AL621" s="102"/>
      <c r="AM621" s="102"/>
      <c r="AN621" s="102"/>
      <c r="AO621" s="102"/>
      <c r="AP621" s="102"/>
      <c r="AQ621" s="76" t="s">
        <v>60</v>
      </c>
      <c r="AR621" s="76" t="s">
        <v>70</v>
      </c>
      <c r="AS621" s="76" t="s">
        <v>65</v>
      </c>
      <c r="AT621" s="76" t="s">
        <v>61</v>
      </c>
      <c r="AU621" s="76" t="s">
        <v>62</v>
      </c>
      <c r="AV621" s="76" t="s">
        <v>27</v>
      </c>
      <c r="AW621" s="76" t="s">
        <v>64</v>
      </c>
      <c r="AX621" s="76" t="s">
        <v>63</v>
      </c>
      <c r="AY621" s="76" t="s">
        <v>66</v>
      </c>
      <c r="AZ621" s="76" t="s">
        <v>67</v>
      </c>
    </row>
    <row r="622" spans="2:52" ht="48" thickBot="1" x14ac:dyDescent="0.3">
      <c r="B622" s="21">
        <v>0.70833333333333504</v>
      </c>
      <c r="C622" s="14" t="s">
        <v>13</v>
      </c>
      <c r="D622" s="8" t="s">
        <v>6</v>
      </c>
      <c r="F622" s="13"/>
      <c r="G622" s="81" t="s">
        <v>20</v>
      </c>
      <c r="H622" s="64" t="s">
        <v>17</v>
      </c>
      <c r="I622" s="64" t="s">
        <v>19</v>
      </c>
      <c r="J622" s="64" t="s">
        <v>18</v>
      </c>
      <c r="K622" s="64" t="s">
        <v>52</v>
      </c>
      <c r="L622" s="64" t="s">
        <v>51</v>
      </c>
      <c r="M622" s="64" t="s">
        <v>53</v>
      </c>
      <c r="N622" s="64" t="s">
        <v>54</v>
      </c>
      <c r="O622" s="64" t="s">
        <v>20</v>
      </c>
      <c r="P622" s="64" t="s">
        <v>19</v>
      </c>
      <c r="Q622" s="64" t="s">
        <v>55</v>
      </c>
      <c r="R622" s="64" t="s">
        <v>56</v>
      </c>
      <c r="S622" s="64" t="s">
        <v>52</v>
      </c>
      <c r="T622" s="64" t="s">
        <v>51</v>
      </c>
      <c r="U622" s="64" t="s">
        <v>57</v>
      </c>
      <c r="V622" s="64" t="s">
        <v>58</v>
      </c>
      <c r="W622" s="64" t="s">
        <v>53</v>
      </c>
      <c r="X622" s="64" t="s">
        <v>54</v>
      </c>
      <c r="Y622" s="81" t="s">
        <v>20</v>
      </c>
      <c r="Z622" s="64" t="s">
        <v>17</v>
      </c>
      <c r="AA622" s="64" t="s">
        <v>19</v>
      </c>
      <c r="AB622" s="64" t="s">
        <v>18</v>
      </c>
      <c r="AC622" s="64" t="s">
        <v>52</v>
      </c>
      <c r="AD622" s="64" t="s">
        <v>51</v>
      </c>
      <c r="AE622" s="64" t="s">
        <v>53</v>
      </c>
      <c r="AF622" s="64" t="s">
        <v>54</v>
      </c>
      <c r="AG622" s="64" t="s">
        <v>20</v>
      </c>
      <c r="AH622" s="64" t="s">
        <v>19</v>
      </c>
      <c r="AI622" s="64" t="s">
        <v>55</v>
      </c>
      <c r="AJ622" s="64" t="s">
        <v>56</v>
      </c>
      <c r="AK622" s="64" t="s">
        <v>52</v>
      </c>
      <c r="AL622" s="64" t="s">
        <v>51</v>
      </c>
      <c r="AM622" s="64" t="s">
        <v>57</v>
      </c>
      <c r="AN622" s="64" t="s">
        <v>58</v>
      </c>
      <c r="AO622" s="64" t="s">
        <v>53</v>
      </c>
      <c r="AP622" s="64" t="s">
        <v>54</v>
      </c>
      <c r="AQ622" s="46"/>
      <c r="AR622" s="46"/>
      <c r="AS622" s="46"/>
      <c r="AT622" s="46"/>
      <c r="AU622" s="46"/>
      <c r="AV622" s="46"/>
      <c r="AW622" s="46"/>
      <c r="AX622" s="46"/>
    </row>
    <row r="623" spans="2:52" ht="16.5" customHeight="1" thickBot="1" x14ac:dyDescent="0.3">
      <c r="B623" s="1" t="s">
        <v>0</v>
      </c>
      <c r="C623" s="10">
        <v>5</v>
      </c>
      <c r="D623">
        <f>C623</f>
        <v>5</v>
      </c>
      <c r="F623" s="12" t="s">
        <v>0</v>
      </c>
      <c r="G623" s="86"/>
      <c r="H623" s="66"/>
      <c r="I623" s="66"/>
      <c r="J623" s="67"/>
      <c r="K623" s="65"/>
      <c r="L623" s="66"/>
      <c r="M623" s="66"/>
      <c r="N623" s="66"/>
      <c r="O623" s="65"/>
      <c r="P623" s="67"/>
      <c r="Q623" s="65"/>
      <c r="R623" s="66"/>
      <c r="S623" s="66"/>
      <c r="T623" s="66"/>
      <c r="U623" s="66">
        <v>1</v>
      </c>
      <c r="V623" s="66">
        <v>2</v>
      </c>
      <c r="W623" s="66">
        <v>2</v>
      </c>
      <c r="X623" s="67"/>
      <c r="Y623" s="86"/>
      <c r="Z623" s="66"/>
      <c r="AA623" s="66"/>
      <c r="AB623" s="66"/>
      <c r="AC623" s="65"/>
      <c r="AD623" s="66"/>
      <c r="AE623" s="66"/>
      <c r="AF623" s="67"/>
      <c r="AG623" s="66"/>
      <c r="AH623" s="67"/>
      <c r="AI623" s="66"/>
      <c r="AJ623" s="66"/>
      <c r="AK623" s="66"/>
      <c r="AL623" s="66">
        <v>1</v>
      </c>
      <c r="AM623" s="66"/>
      <c r="AN623" s="66">
        <v>2</v>
      </c>
      <c r="AO623" s="66">
        <v>2</v>
      </c>
      <c r="AP623" s="66"/>
      <c r="AQ623" s="65"/>
      <c r="AR623" s="65"/>
      <c r="AS623" s="65"/>
      <c r="AT623" s="65"/>
      <c r="AU623" s="65"/>
      <c r="AV623" s="65"/>
      <c r="AW623" s="65"/>
      <c r="AX623" s="68">
        <v>1</v>
      </c>
      <c r="AY623" s="17">
        <v>2</v>
      </c>
      <c r="AZ623" s="17"/>
    </row>
    <row r="624" spans="2:52" ht="16.5" customHeight="1" thickBot="1" x14ac:dyDescent="0.3">
      <c r="B624" s="1" t="s">
        <v>1</v>
      </c>
      <c r="C624" s="10"/>
      <c r="D624">
        <f t="shared" ref="D624:D626" si="68">C624</f>
        <v>0</v>
      </c>
      <c r="F624" s="1" t="s">
        <v>1</v>
      </c>
      <c r="G624" s="87"/>
      <c r="H624" s="46"/>
      <c r="I624" s="46"/>
      <c r="J624" s="70"/>
      <c r="K624" s="69"/>
      <c r="L624" s="46"/>
      <c r="M624" s="46"/>
      <c r="N624" s="46"/>
      <c r="O624" s="69"/>
      <c r="P624" s="70"/>
      <c r="Q624" s="69"/>
      <c r="R624" s="46"/>
      <c r="S624" s="46"/>
      <c r="T624" s="46"/>
      <c r="U624" s="46"/>
      <c r="V624" s="46"/>
      <c r="W624" s="46"/>
      <c r="X624" s="70"/>
      <c r="Y624" s="87"/>
      <c r="Z624" s="46"/>
      <c r="AA624" s="46"/>
      <c r="AB624" s="46"/>
      <c r="AC624" s="69"/>
      <c r="AD624" s="46"/>
      <c r="AE624" s="46"/>
      <c r="AF624" s="70"/>
      <c r="AG624" s="46"/>
      <c r="AH624" s="70"/>
      <c r="AI624" s="46"/>
      <c r="AJ624" s="46"/>
      <c r="AK624" s="46"/>
      <c r="AL624" s="46"/>
      <c r="AM624" s="46"/>
      <c r="AN624" s="46"/>
      <c r="AO624" s="46"/>
      <c r="AP624" s="46"/>
      <c r="AQ624" s="69"/>
      <c r="AR624" s="69"/>
      <c r="AS624" s="69"/>
      <c r="AT624" s="69"/>
      <c r="AU624" s="69"/>
      <c r="AV624" s="69"/>
      <c r="AW624" s="69"/>
      <c r="AX624" s="71"/>
      <c r="AY624" s="18"/>
      <c r="AZ624" s="18"/>
    </row>
    <row r="625" spans="2:52" ht="16.5" customHeight="1" thickBot="1" x14ac:dyDescent="0.3">
      <c r="B625" s="1" t="s">
        <v>2</v>
      </c>
      <c r="C625" s="10"/>
      <c r="D625">
        <f>C625</f>
        <v>0</v>
      </c>
      <c r="F625" s="1" t="s">
        <v>2</v>
      </c>
      <c r="G625" s="87"/>
      <c r="H625" s="46"/>
      <c r="I625" s="46"/>
      <c r="J625" s="70"/>
      <c r="K625" s="69"/>
      <c r="L625" s="46"/>
      <c r="M625" s="46"/>
      <c r="N625" s="46"/>
      <c r="O625" s="69"/>
      <c r="P625" s="70"/>
      <c r="Q625" s="69"/>
      <c r="R625" s="46"/>
      <c r="S625" s="46"/>
      <c r="T625" s="46"/>
      <c r="U625" s="46"/>
      <c r="V625" s="46"/>
      <c r="W625" s="46"/>
      <c r="X625" s="70"/>
      <c r="Y625" s="87"/>
      <c r="Z625" s="46"/>
      <c r="AA625" s="46"/>
      <c r="AB625" s="46"/>
      <c r="AC625" s="69"/>
      <c r="AD625" s="46"/>
      <c r="AE625" s="46"/>
      <c r="AF625" s="70"/>
      <c r="AG625" s="46"/>
      <c r="AH625" s="70"/>
      <c r="AI625" s="46"/>
      <c r="AJ625" s="46"/>
      <c r="AK625" s="46"/>
      <c r="AL625" s="46"/>
      <c r="AM625" s="46"/>
      <c r="AN625" s="46"/>
      <c r="AO625" s="46"/>
      <c r="AP625" s="46"/>
      <c r="AQ625" s="69"/>
      <c r="AR625" s="69"/>
      <c r="AS625" s="69"/>
      <c r="AT625" s="69"/>
      <c r="AU625" s="69"/>
      <c r="AV625" s="69"/>
      <c r="AW625" s="69"/>
      <c r="AX625" s="71"/>
      <c r="AY625" s="18"/>
      <c r="AZ625" s="18"/>
    </row>
    <row r="626" spans="2:52" ht="16.5" customHeight="1" thickBot="1" x14ac:dyDescent="0.3">
      <c r="B626" s="1" t="s">
        <v>3</v>
      </c>
      <c r="C626" s="10"/>
      <c r="D626" s="7">
        <f t="shared" si="68"/>
        <v>0</v>
      </c>
      <c r="F626" s="1" t="s">
        <v>3</v>
      </c>
      <c r="G626" s="88"/>
      <c r="H626" s="73"/>
      <c r="I626" s="73"/>
      <c r="J626" s="74"/>
      <c r="K626" s="72"/>
      <c r="L626" s="73"/>
      <c r="M626" s="73"/>
      <c r="N626" s="73"/>
      <c r="O626" s="72"/>
      <c r="P626" s="74"/>
      <c r="Q626" s="72"/>
      <c r="R626" s="73"/>
      <c r="S626" s="73"/>
      <c r="T626" s="73"/>
      <c r="U626" s="73"/>
      <c r="V626" s="73"/>
      <c r="W626" s="73"/>
      <c r="X626" s="74"/>
      <c r="Y626" s="88"/>
      <c r="Z626" s="73"/>
      <c r="AA626" s="73"/>
      <c r="AB626" s="73"/>
      <c r="AC626" s="72"/>
      <c r="AD626" s="73"/>
      <c r="AE626" s="73"/>
      <c r="AF626" s="74"/>
      <c r="AG626" s="73"/>
      <c r="AH626" s="74"/>
      <c r="AI626" s="73"/>
      <c r="AJ626" s="73"/>
      <c r="AK626" s="73"/>
      <c r="AL626" s="73"/>
      <c r="AM626" s="73"/>
      <c r="AN626" s="73"/>
      <c r="AO626" s="73"/>
      <c r="AP626" s="73"/>
      <c r="AQ626" s="72"/>
      <c r="AR626" s="72"/>
      <c r="AS626" s="72"/>
      <c r="AT626" s="72"/>
      <c r="AU626" s="72"/>
      <c r="AV626" s="72"/>
      <c r="AW626" s="72"/>
      <c r="AX626" s="75"/>
      <c r="AY626" s="19"/>
      <c r="AZ626" s="19"/>
    </row>
    <row r="627" spans="2:52" ht="21" customHeight="1" x14ac:dyDescent="0.25">
      <c r="B627" s="2"/>
      <c r="C627" s="3" t="s">
        <v>25</v>
      </c>
      <c r="D627" s="9">
        <f>SUM(D623:D626)</f>
        <v>5</v>
      </c>
      <c r="G627" s="85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85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</row>
    <row r="628" spans="2:52" x14ac:dyDescent="0.25"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</row>
    <row r="629" spans="2:52" ht="15.75" x14ac:dyDescent="0.25">
      <c r="G629" s="100" t="s">
        <v>22</v>
      </c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1" t="s">
        <v>21</v>
      </c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46"/>
      <c r="AR629" s="46"/>
      <c r="AS629" s="46"/>
      <c r="AT629" s="46"/>
      <c r="AU629" s="46"/>
      <c r="AV629" s="46"/>
      <c r="AW629" s="46"/>
      <c r="AX629" s="46"/>
    </row>
    <row r="630" spans="2:52" ht="32.25" thickBot="1" x14ac:dyDescent="0.3">
      <c r="G630" s="102" t="s">
        <v>14</v>
      </c>
      <c r="H630" s="102"/>
      <c r="I630" s="102"/>
      <c r="J630" s="102"/>
      <c r="K630" s="102" t="s">
        <v>15</v>
      </c>
      <c r="L630" s="102"/>
      <c r="M630" s="102"/>
      <c r="N630" s="102"/>
      <c r="O630" s="102" t="s">
        <v>59</v>
      </c>
      <c r="P630" s="102"/>
      <c r="Q630" s="102" t="s">
        <v>16</v>
      </c>
      <c r="R630" s="102"/>
      <c r="S630" s="102"/>
      <c r="T630" s="102"/>
      <c r="U630" s="102"/>
      <c r="V630" s="102"/>
      <c r="W630" s="102"/>
      <c r="X630" s="102"/>
      <c r="Y630" s="102" t="s">
        <v>14</v>
      </c>
      <c r="Z630" s="102"/>
      <c r="AA630" s="102"/>
      <c r="AB630" s="102"/>
      <c r="AC630" s="102" t="s">
        <v>15</v>
      </c>
      <c r="AD630" s="102"/>
      <c r="AE630" s="102"/>
      <c r="AF630" s="102"/>
      <c r="AG630" s="102" t="s">
        <v>59</v>
      </c>
      <c r="AH630" s="102"/>
      <c r="AI630" s="102" t="s">
        <v>16</v>
      </c>
      <c r="AJ630" s="102"/>
      <c r="AK630" s="102"/>
      <c r="AL630" s="102"/>
      <c r="AM630" s="102"/>
      <c r="AN630" s="102"/>
      <c r="AO630" s="102"/>
      <c r="AP630" s="102"/>
      <c r="AQ630" s="76" t="s">
        <v>60</v>
      </c>
      <c r="AR630" s="76" t="s">
        <v>70</v>
      </c>
      <c r="AS630" s="76" t="s">
        <v>65</v>
      </c>
      <c r="AT630" s="76" t="s">
        <v>61</v>
      </c>
      <c r="AU630" s="76" t="s">
        <v>62</v>
      </c>
      <c r="AV630" s="76" t="s">
        <v>27</v>
      </c>
      <c r="AW630" s="76" t="s">
        <v>64</v>
      </c>
      <c r="AX630" s="76" t="s">
        <v>63</v>
      </c>
      <c r="AY630" s="76" t="s">
        <v>66</v>
      </c>
      <c r="AZ630" s="76" t="s">
        <v>67</v>
      </c>
    </row>
    <row r="631" spans="2:52" ht="48" thickBot="1" x14ac:dyDescent="0.3">
      <c r="B631" s="21">
        <v>0.718750000000002</v>
      </c>
      <c r="C631" s="14" t="s">
        <v>13</v>
      </c>
      <c r="D631" s="8" t="s">
        <v>6</v>
      </c>
      <c r="F631" s="13"/>
      <c r="G631" s="81" t="s">
        <v>20</v>
      </c>
      <c r="H631" s="64" t="s">
        <v>17</v>
      </c>
      <c r="I631" s="64" t="s">
        <v>19</v>
      </c>
      <c r="J631" s="64" t="s">
        <v>18</v>
      </c>
      <c r="K631" s="64" t="s">
        <v>52</v>
      </c>
      <c r="L631" s="64" t="s">
        <v>51</v>
      </c>
      <c r="M631" s="64" t="s">
        <v>53</v>
      </c>
      <c r="N631" s="64" t="s">
        <v>54</v>
      </c>
      <c r="O631" s="64" t="s">
        <v>20</v>
      </c>
      <c r="P631" s="64" t="s">
        <v>19</v>
      </c>
      <c r="Q631" s="64" t="s">
        <v>55</v>
      </c>
      <c r="R631" s="64" t="s">
        <v>56</v>
      </c>
      <c r="S631" s="64" t="s">
        <v>52</v>
      </c>
      <c r="T631" s="64" t="s">
        <v>51</v>
      </c>
      <c r="U631" s="64" t="s">
        <v>57</v>
      </c>
      <c r="V631" s="64" t="s">
        <v>58</v>
      </c>
      <c r="W631" s="64" t="s">
        <v>53</v>
      </c>
      <c r="X631" s="64" t="s">
        <v>54</v>
      </c>
      <c r="Y631" s="81" t="s">
        <v>20</v>
      </c>
      <c r="Z631" s="64" t="s">
        <v>17</v>
      </c>
      <c r="AA631" s="64" t="s">
        <v>19</v>
      </c>
      <c r="AB631" s="64" t="s">
        <v>18</v>
      </c>
      <c r="AC631" s="64" t="s">
        <v>52</v>
      </c>
      <c r="AD631" s="64" t="s">
        <v>51</v>
      </c>
      <c r="AE631" s="64" t="s">
        <v>53</v>
      </c>
      <c r="AF631" s="64" t="s">
        <v>54</v>
      </c>
      <c r="AG631" s="64" t="s">
        <v>20</v>
      </c>
      <c r="AH631" s="64" t="s">
        <v>19</v>
      </c>
      <c r="AI631" s="64" t="s">
        <v>55</v>
      </c>
      <c r="AJ631" s="64" t="s">
        <v>56</v>
      </c>
      <c r="AK631" s="64" t="s">
        <v>52</v>
      </c>
      <c r="AL631" s="64" t="s">
        <v>51</v>
      </c>
      <c r="AM631" s="64" t="s">
        <v>57</v>
      </c>
      <c r="AN631" s="64" t="s">
        <v>58</v>
      </c>
      <c r="AO631" s="64" t="s">
        <v>53</v>
      </c>
      <c r="AP631" s="64" t="s">
        <v>54</v>
      </c>
      <c r="AQ631" s="46"/>
      <c r="AR631" s="46"/>
      <c r="AS631" s="46"/>
      <c r="AT631" s="46"/>
      <c r="AU631" s="46"/>
      <c r="AV631" s="46"/>
      <c r="AW631" s="46"/>
      <c r="AX631" s="46"/>
    </row>
    <row r="632" spans="2:52" ht="16.5" customHeight="1" thickBot="1" x14ac:dyDescent="0.3">
      <c r="B632" s="1" t="s">
        <v>0</v>
      </c>
      <c r="C632" s="10"/>
      <c r="D632">
        <f>C632</f>
        <v>0</v>
      </c>
      <c r="F632" s="12" t="s">
        <v>0</v>
      </c>
      <c r="G632" s="86"/>
      <c r="H632" s="66"/>
      <c r="I632" s="66"/>
      <c r="J632" s="67"/>
      <c r="K632" s="65"/>
      <c r="L632" s="66"/>
      <c r="M632" s="66"/>
      <c r="N632" s="66"/>
      <c r="O632" s="65"/>
      <c r="P632" s="67"/>
      <c r="Q632" s="65"/>
      <c r="R632" s="66"/>
      <c r="S632" s="66"/>
      <c r="T632" s="66"/>
      <c r="U632" s="66"/>
      <c r="V632" s="66"/>
      <c r="W632" s="66"/>
      <c r="X632" s="67"/>
      <c r="Y632" s="86"/>
      <c r="Z632" s="66"/>
      <c r="AA632" s="66"/>
      <c r="AB632" s="66"/>
      <c r="AC632" s="65"/>
      <c r="AD632" s="66"/>
      <c r="AE632" s="66"/>
      <c r="AF632" s="67"/>
      <c r="AG632" s="66"/>
      <c r="AH632" s="67"/>
      <c r="AI632" s="66"/>
      <c r="AJ632" s="66"/>
      <c r="AK632" s="66"/>
      <c r="AL632" s="66"/>
      <c r="AM632" s="66"/>
      <c r="AN632" s="66"/>
      <c r="AO632" s="66"/>
      <c r="AP632" s="66"/>
      <c r="AQ632" s="65"/>
      <c r="AR632" s="65"/>
      <c r="AS632" s="65"/>
      <c r="AT632" s="65"/>
      <c r="AU632" s="65"/>
      <c r="AV632" s="65"/>
      <c r="AW632" s="65"/>
      <c r="AX632" s="68"/>
      <c r="AY632" s="17"/>
      <c r="AZ632" s="17"/>
    </row>
    <row r="633" spans="2:52" ht="16.5" customHeight="1" thickBot="1" x14ac:dyDescent="0.3">
      <c r="B633" s="1" t="s">
        <v>1</v>
      </c>
      <c r="C633" s="10">
        <v>2</v>
      </c>
      <c r="D633">
        <f t="shared" ref="D633:D635" si="69">C633</f>
        <v>2</v>
      </c>
      <c r="F633" s="1" t="s">
        <v>1</v>
      </c>
      <c r="G633" s="87"/>
      <c r="H633" s="46"/>
      <c r="I633" s="46"/>
      <c r="J633" s="70"/>
      <c r="K633" s="69"/>
      <c r="L633" s="46"/>
      <c r="M633" s="46"/>
      <c r="N633" s="46"/>
      <c r="O633" s="69"/>
      <c r="P633" s="70">
        <v>2</v>
      </c>
      <c r="Q633" s="69"/>
      <c r="R633" s="46"/>
      <c r="S633" s="46"/>
      <c r="T633" s="46"/>
      <c r="U633" s="46"/>
      <c r="V633" s="46"/>
      <c r="W633" s="46"/>
      <c r="X633" s="70"/>
      <c r="Y633" s="87"/>
      <c r="Z633" s="46"/>
      <c r="AA633" s="46"/>
      <c r="AB633" s="46"/>
      <c r="AC633" s="69"/>
      <c r="AD633" s="46"/>
      <c r="AE633" s="46"/>
      <c r="AF633" s="70"/>
      <c r="AG633" s="46">
        <v>2</v>
      </c>
      <c r="AH633" s="70"/>
      <c r="AI633" s="46"/>
      <c r="AJ633" s="46"/>
      <c r="AK633" s="46"/>
      <c r="AL633" s="46"/>
      <c r="AM633" s="46"/>
      <c r="AN633" s="46"/>
      <c r="AO633" s="46"/>
      <c r="AP633" s="46"/>
      <c r="AQ633" s="69"/>
      <c r="AR633" s="69"/>
      <c r="AS633" s="69"/>
      <c r="AT633" s="69"/>
      <c r="AU633" s="69"/>
      <c r="AV633" s="69"/>
      <c r="AW633" s="69"/>
      <c r="AX633" s="71"/>
      <c r="AY633" s="18"/>
      <c r="AZ633" s="18"/>
    </row>
    <row r="634" spans="2:52" ht="16.5" customHeight="1" thickBot="1" x14ac:dyDescent="0.3">
      <c r="B634" s="1" t="s">
        <v>2</v>
      </c>
      <c r="C634" s="10"/>
      <c r="D634">
        <f>C634</f>
        <v>0</v>
      </c>
      <c r="F634" s="1" t="s">
        <v>2</v>
      </c>
      <c r="G634" s="87"/>
      <c r="H634" s="46"/>
      <c r="I634" s="46"/>
      <c r="J634" s="70"/>
      <c r="K634" s="69"/>
      <c r="L634" s="46"/>
      <c r="M634" s="46"/>
      <c r="N634" s="46"/>
      <c r="O634" s="69"/>
      <c r="P634" s="70"/>
      <c r="Q634" s="69"/>
      <c r="R634" s="46"/>
      <c r="S634" s="46"/>
      <c r="T634" s="46"/>
      <c r="U634" s="46"/>
      <c r="V634" s="46"/>
      <c r="W634" s="46"/>
      <c r="X634" s="70"/>
      <c r="Y634" s="87"/>
      <c r="Z634" s="46"/>
      <c r="AA634" s="46"/>
      <c r="AB634" s="46"/>
      <c r="AC634" s="69"/>
      <c r="AD634" s="46"/>
      <c r="AE634" s="46"/>
      <c r="AF634" s="70"/>
      <c r="AG634" s="46"/>
      <c r="AH634" s="70"/>
      <c r="AI634" s="46"/>
      <c r="AJ634" s="46"/>
      <c r="AK634" s="46"/>
      <c r="AL634" s="46"/>
      <c r="AM634" s="46"/>
      <c r="AN634" s="46"/>
      <c r="AO634" s="46"/>
      <c r="AP634" s="46"/>
      <c r="AQ634" s="69"/>
      <c r="AR634" s="69"/>
      <c r="AS634" s="69"/>
      <c r="AT634" s="69"/>
      <c r="AU634" s="69"/>
      <c r="AV634" s="69"/>
      <c r="AW634" s="69"/>
      <c r="AX634" s="71"/>
      <c r="AY634" s="18"/>
      <c r="AZ634" s="18"/>
    </row>
    <row r="635" spans="2:52" ht="16.5" customHeight="1" thickBot="1" x14ac:dyDescent="0.3">
      <c r="B635" s="1" t="s">
        <v>3</v>
      </c>
      <c r="C635" s="10"/>
      <c r="D635" s="7">
        <f t="shared" si="69"/>
        <v>0</v>
      </c>
      <c r="F635" s="1" t="s">
        <v>3</v>
      </c>
      <c r="G635" s="88"/>
      <c r="H635" s="73"/>
      <c r="I635" s="73"/>
      <c r="J635" s="74"/>
      <c r="K635" s="72"/>
      <c r="L635" s="73"/>
      <c r="M635" s="73"/>
      <c r="N635" s="73"/>
      <c r="O635" s="72"/>
      <c r="P635" s="74"/>
      <c r="Q635" s="72"/>
      <c r="R635" s="73"/>
      <c r="S635" s="73"/>
      <c r="T635" s="73"/>
      <c r="U635" s="73"/>
      <c r="V635" s="73"/>
      <c r="W635" s="73"/>
      <c r="X635" s="74"/>
      <c r="Y635" s="88"/>
      <c r="Z635" s="73"/>
      <c r="AA635" s="73"/>
      <c r="AB635" s="73"/>
      <c r="AC635" s="72"/>
      <c r="AD635" s="73"/>
      <c r="AE635" s="73"/>
      <c r="AF635" s="74"/>
      <c r="AG635" s="73"/>
      <c r="AH635" s="74"/>
      <c r="AI635" s="73"/>
      <c r="AJ635" s="73"/>
      <c r="AK635" s="73"/>
      <c r="AL635" s="73"/>
      <c r="AM635" s="73"/>
      <c r="AN635" s="73"/>
      <c r="AO635" s="73"/>
      <c r="AP635" s="73"/>
      <c r="AQ635" s="72"/>
      <c r="AR635" s="72"/>
      <c r="AS635" s="72"/>
      <c r="AT635" s="72"/>
      <c r="AU635" s="72"/>
      <c r="AV635" s="72"/>
      <c r="AW635" s="72"/>
      <c r="AX635" s="75"/>
      <c r="AY635" s="19"/>
      <c r="AZ635" s="19"/>
    </row>
    <row r="636" spans="2:52" ht="21" customHeight="1" x14ac:dyDescent="0.25">
      <c r="B636" s="2"/>
      <c r="C636" s="3" t="s">
        <v>25</v>
      </c>
      <c r="D636" s="9">
        <f>SUM(D632:D635)</f>
        <v>2</v>
      </c>
      <c r="G636" s="85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85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</row>
    <row r="637" spans="2:52" x14ac:dyDescent="0.25"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</row>
    <row r="638" spans="2:52" ht="15.75" x14ac:dyDescent="0.25">
      <c r="G638" s="100" t="s">
        <v>22</v>
      </c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1" t="s">
        <v>21</v>
      </c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46"/>
      <c r="AR638" s="46"/>
      <c r="AS638" s="46"/>
      <c r="AT638" s="46"/>
      <c r="AU638" s="46"/>
      <c r="AV638" s="46"/>
      <c r="AW638" s="46"/>
      <c r="AX638" s="46"/>
    </row>
    <row r="639" spans="2:52" ht="32.25" thickBot="1" x14ac:dyDescent="0.3">
      <c r="G639" s="102" t="s">
        <v>14</v>
      </c>
      <c r="H639" s="102"/>
      <c r="I639" s="102"/>
      <c r="J639" s="102"/>
      <c r="K639" s="102" t="s">
        <v>15</v>
      </c>
      <c r="L639" s="102"/>
      <c r="M639" s="102"/>
      <c r="N639" s="102"/>
      <c r="O639" s="102" t="s">
        <v>59</v>
      </c>
      <c r="P639" s="102"/>
      <c r="Q639" s="102" t="s">
        <v>16</v>
      </c>
      <c r="R639" s="102"/>
      <c r="S639" s="102"/>
      <c r="T639" s="102"/>
      <c r="U639" s="102"/>
      <c r="V639" s="102"/>
      <c r="W639" s="102"/>
      <c r="X639" s="102"/>
      <c r="Y639" s="102" t="s">
        <v>14</v>
      </c>
      <c r="Z639" s="102"/>
      <c r="AA639" s="102"/>
      <c r="AB639" s="102"/>
      <c r="AC639" s="102" t="s">
        <v>15</v>
      </c>
      <c r="AD639" s="102"/>
      <c r="AE639" s="102"/>
      <c r="AF639" s="102"/>
      <c r="AG639" s="102" t="s">
        <v>59</v>
      </c>
      <c r="AH639" s="102"/>
      <c r="AI639" s="102" t="s">
        <v>16</v>
      </c>
      <c r="AJ639" s="102"/>
      <c r="AK639" s="102"/>
      <c r="AL639" s="102"/>
      <c r="AM639" s="102"/>
      <c r="AN639" s="102"/>
      <c r="AO639" s="102"/>
      <c r="AP639" s="102"/>
      <c r="AQ639" s="76" t="s">
        <v>60</v>
      </c>
      <c r="AR639" s="76" t="s">
        <v>70</v>
      </c>
      <c r="AS639" s="76" t="s">
        <v>65</v>
      </c>
      <c r="AT639" s="76" t="s">
        <v>61</v>
      </c>
      <c r="AU639" s="76" t="s">
        <v>62</v>
      </c>
      <c r="AV639" s="76" t="s">
        <v>27</v>
      </c>
      <c r="AW639" s="76" t="s">
        <v>64</v>
      </c>
      <c r="AX639" s="76" t="s">
        <v>63</v>
      </c>
      <c r="AY639" s="76" t="s">
        <v>66</v>
      </c>
      <c r="AZ639" s="76" t="s">
        <v>67</v>
      </c>
    </row>
    <row r="640" spans="2:52" ht="48" thickBot="1" x14ac:dyDescent="0.3">
      <c r="B640" s="21">
        <v>0.72916666666666796</v>
      </c>
      <c r="C640" s="14" t="s">
        <v>13</v>
      </c>
      <c r="D640" s="8" t="s">
        <v>6</v>
      </c>
      <c r="F640" s="13"/>
      <c r="G640" s="81" t="s">
        <v>20</v>
      </c>
      <c r="H640" s="64" t="s">
        <v>17</v>
      </c>
      <c r="I640" s="64" t="s">
        <v>19</v>
      </c>
      <c r="J640" s="64" t="s">
        <v>18</v>
      </c>
      <c r="K640" s="64" t="s">
        <v>52</v>
      </c>
      <c r="L640" s="64" t="s">
        <v>51</v>
      </c>
      <c r="M640" s="64" t="s">
        <v>53</v>
      </c>
      <c r="N640" s="64" t="s">
        <v>54</v>
      </c>
      <c r="O640" s="64" t="s">
        <v>20</v>
      </c>
      <c r="P640" s="64" t="s">
        <v>19</v>
      </c>
      <c r="Q640" s="64" t="s">
        <v>55</v>
      </c>
      <c r="R640" s="64" t="s">
        <v>56</v>
      </c>
      <c r="S640" s="64" t="s">
        <v>52</v>
      </c>
      <c r="T640" s="64" t="s">
        <v>51</v>
      </c>
      <c r="U640" s="64" t="s">
        <v>57</v>
      </c>
      <c r="V640" s="64" t="s">
        <v>58</v>
      </c>
      <c r="W640" s="64" t="s">
        <v>53</v>
      </c>
      <c r="X640" s="64" t="s">
        <v>54</v>
      </c>
      <c r="Y640" s="81" t="s">
        <v>20</v>
      </c>
      <c r="Z640" s="64" t="s">
        <v>17</v>
      </c>
      <c r="AA640" s="64" t="s">
        <v>19</v>
      </c>
      <c r="AB640" s="64" t="s">
        <v>18</v>
      </c>
      <c r="AC640" s="64" t="s">
        <v>52</v>
      </c>
      <c r="AD640" s="64" t="s">
        <v>51</v>
      </c>
      <c r="AE640" s="64" t="s">
        <v>53</v>
      </c>
      <c r="AF640" s="64" t="s">
        <v>54</v>
      </c>
      <c r="AG640" s="64" t="s">
        <v>20</v>
      </c>
      <c r="AH640" s="64" t="s">
        <v>19</v>
      </c>
      <c r="AI640" s="64" t="s">
        <v>55</v>
      </c>
      <c r="AJ640" s="64" t="s">
        <v>56</v>
      </c>
      <c r="AK640" s="64" t="s">
        <v>52</v>
      </c>
      <c r="AL640" s="64" t="s">
        <v>51</v>
      </c>
      <c r="AM640" s="64" t="s">
        <v>57</v>
      </c>
      <c r="AN640" s="64" t="s">
        <v>58</v>
      </c>
      <c r="AO640" s="64" t="s">
        <v>53</v>
      </c>
      <c r="AP640" s="64" t="s">
        <v>54</v>
      </c>
      <c r="AQ640" s="46"/>
      <c r="AR640" s="46"/>
      <c r="AS640" s="46"/>
      <c r="AT640" s="46"/>
      <c r="AU640" s="46"/>
      <c r="AV640" s="46"/>
      <c r="AW640" s="46"/>
      <c r="AX640" s="46"/>
    </row>
    <row r="641" spans="2:52" ht="16.5" customHeight="1" thickBot="1" x14ac:dyDescent="0.3">
      <c r="B641" s="1" t="s">
        <v>0</v>
      </c>
      <c r="C641" s="10"/>
      <c r="D641">
        <f>C641</f>
        <v>0</v>
      </c>
      <c r="F641" s="12" t="s">
        <v>0</v>
      </c>
      <c r="G641" s="86"/>
      <c r="H641" s="66"/>
      <c r="I641" s="66"/>
      <c r="J641" s="67"/>
      <c r="K641" s="65"/>
      <c r="L641" s="66"/>
      <c r="M641" s="66"/>
      <c r="N641" s="66"/>
      <c r="O641" s="65"/>
      <c r="P641" s="67"/>
      <c r="Q641" s="65"/>
      <c r="R641" s="66"/>
      <c r="S641" s="66"/>
      <c r="T641" s="66"/>
      <c r="U641" s="66"/>
      <c r="V641" s="66"/>
      <c r="W641" s="66"/>
      <c r="X641" s="67"/>
      <c r="Y641" s="86"/>
      <c r="Z641" s="66"/>
      <c r="AA641" s="66"/>
      <c r="AB641" s="66"/>
      <c r="AC641" s="65"/>
      <c r="AD641" s="66"/>
      <c r="AE641" s="66"/>
      <c r="AF641" s="67"/>
      <c r="AG641" s="66"/>
      <c r="AH641" s="67"/>
      <c r="AI641" s="66"/>
      <c r="AJ641" s="66"/>
      <c r="AK641" s="66"/>
      <c r="AL641" s="66"/>
      <c r="AM641" s="66"/>
      <c r="AN641" s="66"/>
      <c r="AO641" s="66"/>
      <c r="AP641" s="66"/>
      <c r="AQ641" s="65"/>
      <c r="AR641" s="65"/>
      <c r="AS641" s="65"/>
      <c r="AT641" s="65"/>
      <c r="AU641" s="65"/>
      <c r="AV641" s="65"/>
      <c r="AW641" s="65"/>
      <c r="AX641" s="68"/>
      <c r="AY641" s="17"/>
      <c r="AZ641" s="17"/>
    </row>
    <row r="642" spans="2:52" ht="16.5" customHeight="1" thickBot="1" x14ac:dyDescent="0.3">
      <c r="B642" s="1" t="s">
        <v>1</v>
      </c>
      <c r="C642" s="10">
        <v>1</v>
      </c>
      <c r="D642">
        <f t="shared" ref="D642:D644" si="70">C642</f>
        <v>1</v>
      </c>
      <c r="F642" s="1" t="s">
        <v>1</v>
      </c>
      <c r="G642" s="87"/>
      <c r="H642" s="46"/>
      <c r="I642" s="46"/>
      <c r="J642" s="70"/>
      <c r="K642" s="69"/>
      <c r="L642" s="46"/>
      <c r="M642" s="46"/>
      <c r="N642" s="46"/>
      <c r="O642" s="69"/>
      <c r="P642" s="70"/>
      <c r="Q642" s="69"/>
      <c r="R642" s="46"/>
      <c r="S642" s="46"/>
      <c r="T642" s="46"/>
      <c r="U642" s="46"/>
      <c r="V642" s="46">
        <v>1</v>
      </c>
      <c r="W642" s="46"/>
      <c r="X642" s="70"/>
      <c r="Y642" s="87"/>
      <c r="Z642" s="46"/>
      <c r="AA642" s="46"/>
      <c r="AB642" s="46"/>
      <c r="AC642" s="69"/>
      <c r="AD642" s="46"/>
      <c r="AE642" s="46"/>
      <c r="AF642" s="70"/>
      <c r="AG642" s="46"/>
      <c r="AH642" s="70"/>
      <c r="AI642" s="46"/>
      <c r="AJ642" s="46">
        <v>1</v>
      </c>
      <c r="AK642" s="46"/>
      <c r="AL642" s="46"/>
      <c r="AM642" s="46"/>
      <c r="AN642" s="46"/>
      <c r="AO642" s="46"/>
      <c r="AP642" s="46"/>
      <c r="AQ642" s="69"/>
      <c r="AR642" s="69"/>
      <c r="AS642" s="69"/>
      <c r="AT642" s="69"/>
      <c r="AU642" s="69"/>
      <c r="AV642" s="69"/>
      <c r="AW642" s="69"/>
      <c r="AX642" s="71"/>
      <c r="AY642" s="18"/>
      <c r="AZ642" s="18"/>
    </row>
    <row r="643" spans="2:52" ht="16.5" customHeight="1" thickBot="1" x14ac:dyDescent="0.3">
      <c r="B643" s="1" t="s">
        <v>2</v>
      </c>
      <c r="C643" s="10">
        <v>1</v>
      </c>
      <c r="D643">
        <f>C643</f>
        <v>1</v>
      </c>
      <c r="F643" s="1" t="s">
        <v>2</v>
      </c>
      <c r="G643" s="87"/>
      <c r="H643" s="46"/>
      <c r="I643" s="46"/>
      <c r="J643" s="70"/>
      <c r="K643" s="69"/>
      <c r="L643" s="46"/>
      <c r="M643" s="46"/>
      <c r="N643" s="46"/>
      <c r="O643" s="69"/>
      <c r="P643" s="70"/>
      <c r="Q643" s="69"/>
      <c r="R643" s="46"/>
      <c r="S643" s="46"/>
      <c r="T643" s="46"/>
      <c r="U643" s="46"/>
      <c r="V643" s="46">
        <v>1</v>
      </c>
      <c r="W643" s="46"/>
      <c r="X643" s="70"/>
      <c r="Y643" s="87"/>
      <c r="Z643" s="46"/>
      <c r="AA643" s="46"/>
      <c r="AB643" s="46"/>
      <c r="AC643" s="69"/>
      <c r="AD643" s="46"/>
      <c r="AE643" s="46"/>
      <c r="AF643" s="70"/>
      <c r="AG643" s="46">
        <v>1</v>
      </c>
      <c r="AH643" s="70"/>
      <c r="AI643" s="46"/>
      <c r="AJ643" s="46"/>
      <c r="AK643" s="46"/>
      <c r="AL643" s="46"/>
      <c r="AM643" s="46"/>
      <c r="AN643" s="46"/>
      <c r="AO643" s="46"/>
      <c r="AP643" s="46"/>
      <c r="AQ643" s="69"/>
      <c r="AR643" s="69"/>
      <c r="AS643" s="69"/>
      <c r="AT643" s="69"/>
      <c r="AU643" s="69"/>
      <c r="AV643" s="69"/>
      <c r="AW643" s="69"/>
      <c r="AX643" s="71"/>
      <c r="AY643" s="18"/>
      <c r="AZ643" s="18"/>
    </row>
    <row r="644" spans="2:52" ht="16.5" customHeight="1" thickBot="1" x14ac:dyDescent="0.3">
      <c r="B644" s="1" t="s">
        <v>3</v>
      </c>
      <c r="C644" s="10"/>
      <c r="D644" s="7">
        <f t="shared" si="70"/>
        <v>0</v>
      </c>
      <c r="F644" s="1" t="s">
        <v>3</v>
      </c>
      <c r="G644" s="88"/>
      <c r="H644" s="73"/>
      <c r="I644" s="73"/>
      <c r="J644" s="74"/>
      <c r="K644" s="72"/>
      <c r="L644" s="73"/>
      <c r="M644" s="73"/>
      <c r="N644" s="73"/>
      <c r="O644" s="72"/>
      <c r="P644" s="74"/>
      <c r="Q644" s="72"/>
      <c r="R644" s="73"/>
      <c r="S644" s="73"/>
      <c r="T644" s="73"/>
      <c r="U644" s="73"/>
      <c r="V644" s="73"/>
      <c r="W644" s="73"/>
      <c r="X644" s="74"/>
      <c r="Y644" s="88"/>
      <c r="Z644" s="73"/>
      <c r="AA644" s="73"/>
      <c r="AB644" s="73"/>
      <c r="AC644" s="72"/>
      <c r="AD644" s="73"/>
      <c r="AE644" s="73"/>
      <c r="AF644" s="74"/>
      <c r="AG644" s="73"/>
      <c r="AH644" s="74"/>
      <c r="AI644" s="73"/>
      <c r="AJ644" s="73"/>
      <c r="AK644" s="73"/>
      <c r="AL644" s="73"/>
      <c r="AM644" s="73"/>
      <c r="AN644" s="73"/>
      <c r="AO644" s="73"/>
      <c r="AP644" s="73"/>
      <c r="AQ644" s="72"/>
      <c r="AR644" s="72"/>
      <c r="AS644" s="72"/>
      <c r="AT644" s="72"/>
      <c r="AU644" s="72"/>
      <c r="AV644" s="72"/>
      <c r="AW644" s="72"/>
      <c r="AX644" s="75"/>
      <c r="AY644" s="19"/>
      <c r="AZ644" s="19"/>
    </row>
    <row r="645" spans="2:52" ht="21" customHeight="1" x14ac:dyDescent="0.25">
      <c r="B645" s="2"/>
      <c r="C645" s="3" t="s">
        <v>25</v>
      </c>
      <c r="D645" s="9">
        <f>SUM(D641:D644)</f>
        <v>2</v>
      </c>
      <c r="G645" s="85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85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</row>
    <row r="646" spans="2:52" x14ac:dyDescent="0.25"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</row>
    <row r="647" spans="2:52" ht="15.75" x14ac:dyDescent="0.25">
      <c r="G647" s="100" t="s">
        <v>22</v>
      </c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1" t="s">
        <v>21</v>
      </c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46"/>
      <c r="AR647" s="46"/>
      <c r="AS647" s="46"/>
      <c r="AT647" s="46"/>
      <c r="AU647" s="46"/>
      <c r="AV647" s="46"/>
      <c r="AW647" s="46"/>
      <c r="AX647" s="46"/>
    </row>
    <row r="648" spans="2:52" ht="32.25" thickBot="1" x14ac:dyDescent="0.3">
      <c r="G648" s="102" t="s">
        <v>14</v>
      </c>
      <c r="H648" s="102"/>
      <c r="I648" s="102"/>
      <c r="J648" s="102"/>
      <c r="K648" s="102" t="s">
        <v>15</v>
      </c>
      <c r="L648" s="102"/>
      <c r="M648" s="102"/>
      <c r="N648" s="102"/>
      <c r="O648" s="102" t="s">
        <v>59</v>
      </c>
      <c r="P648" s="102"/>
      <c r="Q648" s="102" t="s">
        <v>16</v>
      </c>
      <c r="R648" s="102"/>
      <c r="S648" s="102"/>
      <c r="T648" s="102"/>
      <c r="U648" s="102"/>
      <c r="V648" s="102"/>
      <c r="W648" s="102"/>
      <c r="X648" s="102"/>
      <c r="Y648" s="102" t="s">
        <v>14</v>
      </c>
      <c r="Z648" s="102"/>
      <c r="AA648" s="102"/>
      <c r="AB648" s="102"/>
      <c r="AC648" s="102" t="s">
        <v>15</v>
      </c>
      <c r="AD648" s="102"/>
      <c r="AE648" s="102"/>
      <c r="AF648" s="102"/>
      <c r="AG648" s="102" t="s">
        <v>59</v>
      </c>
      <c r="AH648" s="102"/>
      <c r="AI648" s="102" t="s">
        <v>16</v>
      </c>
      <c r="AJ648" s="102"/>
      <c r="AK648" s="102"/>
      <c r="AL648" s="102"/>
      <c r="AM648" s="102"/>
      <c r="AN648" s="102"/>
      <c r="AO648" s="102"/>
      <c r="AP648" s="102"/>
      <c r="AQ648" s="76" t="s">
        <v>60</v>
      </c>
      <c r="AR648" s="76" t="s">
        <v>70</v>
      </c>
      <c r="AS648" s="76" t="s">
        <v>65</v>
      </c>
      <c r="AT648" s="76" t="s">
        <v>61</v>
      </c>
      <c r="AU648" s="76" t="s">
        <v>62</v>
      </c>
      <c r="AV648" s="76" t="s">
        <v>27</v>
      </c>
      <c r="AW648" s="76" t="s">
        <v>64</v>
      </c>
      <c r="AX648" s="76" t="s">
        <v>63</v>
      </c>
      <c r="AY648" s="76" t="s">
        <v>66</v>
      </c>
      <c r="AZ648" s="76" t="s">
        <v>67</v>
      </c>
    </row>
    <row r="649" spans="2:52" ht="48" thickBot="1" x14ac:dyDescent="0.3">
      <c r="B649" s="21">
        <v>0.73958333333333504</v>
      </c>
      <c r="C649" s="14" t="s">
        <v>13</v>
      </c>
      <c r="D649" s="8" t="s">
        <v>6</v>
      </c>
      <c r="F649" s="13"/>
      <c r="G649" s="81" t="s">
        <v>20</v>
      </c>
      <c r="H649" s="64" t="s">
        <v>17</v>
      </c>
      <c r="I649" s="64" t="s">
        <v>19</v>
      </c>
      <c r="J649" s="64" t="s">
        <v>18</v>
      </c>
      <c r="K649" s="64" t="s">
        <v>52</v>
      </c>
      <c r="L649" s="64" t="s">
        <v>51</v>
      </c>
      <c r="M649" s="64" t="s">
        <v>53</v>
      </c>
      <c r="N649" s="64" t="s">
        <v>54</v>
      </c>
      <c r="O649" s="64" t="s">
        <v>20</v>
      </c>
      <c r="P649" s="64" t="s">
        <v>19</v>
      </c>
      <c r="Q649" s="64" t="s">
        <v>55</v>
      </c>
      <c r="R649" s="64" t="s">
        <v>56</v>
      </c>
      <c r="S649" s="64" t="s">
        <v>52</v>
      </c>
      <c r="T649" s="64" t="s">
        <v>51</v>
      </c>
      <c r="U649" s="64" t="s">
        <v>57</v>
      </c>
      <c r="V649" s="64" t="s">
        <v>58</v>
      </c>
      <c r="W649" s="64" t="s">
        <v>53</v>
      </c>
      <c r="X649" s="64" t="s">
        <v>54</v>
      </c>
      <c r="Y649" s="81" t="s">
        <v>20</v>
      </c>
      <c r="Z649" s="64" t="s">
        <v>17</v>
      </c>
      <c r="AA649" s="64" t="s">
        <v>19</v>
      </c>
      <c r="AB649" s="64" t="s">
        <v>18</v>
      </c>
      <c r="AC649" s="64" t="s">
        <v>52</v>
      </c>
      <c r="AD649" s="64" t="s">
        <v>51</v>
      </c>
      <c r="AE649" s="64" t="s">
        <v>53</v>
      </c>
      <c r="AF649" s="64" t="s">
        <v>54</v>
      </c>
      <c r="AG649" s="64" t="s">
        <v>20</v>
      </c>
      <c r="AH649" s="64" t="s">
        <v>19</v>
      </c>
      <c r="AI649" s="64" t="s">
        <v>55</v>
      </c>
      <c r="AJ649" s="64" t="s">
        <v>56</v>
      </c>
      <c r="AK649" s="64" t="s">
        <v>52</v>
      </c>
      <c r="AL649" s="64" t="s">
        <v>51</v>
      </c>
      <c r="AM649" s="64" t="s">
        <v>57</v>
      </c>
      <c r="AN649" s="64" t="s">
        <v>58</v>
      </c>
      <c r="AO649" s="64" t="s">
        <v>53</v>
      </c>
      <c r="AP649" s="64" t="s">
        <v>54</v>
      </c>
      <c r="AQ649" s="46"/>
      <c r="AR649" s="46"/>
      <c r="AS649" s="46"/>
      <c r="AT649" s="46"/>
      <c r="AU649" s="46"/>
      <c r="AV649" s="46"/>
      <c r="AW649" s="46"/>
      <c r="AX649" s="46"/>
    </row>
    <row r="650" spans="2:52" ht="16.5" customHeight="1" thickBot="1" x14ac:dyDescent="0.3">
      <c r="B650" s="1" t="s">
        <v>0</v>
      </c>
      <c r="C650" s="10"/>
      <c r="D650">
        <f>C650</f>
        <v>0</v>
      </c>
      <c r="F650" s="12" t="s">
        <v>0</v>
      </c>
      <c r="G650" s="86"/>
      <c r="H650" s="66"/>
      <c r="I650" s="66"/>
      <c r="J650" s="67"/>
      <c r="K650" s="65"/>
      <c r="L650" s="66"/>
      <c r="M650" s="66"/>
      <c r="N650" s="66"/>
      <c r="O650" s="65"/>
      <c r="P650" s="67"/>
      <c r="Q650" s="65"/>
      <c r="R650" s="66"/>
      <c r="S650" s="66"/>
      <c r="T650" s="66"/>
      <c r="U650" s="66"/>
      <c r="V650" s="66"/>
      <c r="W650" s="66"/>
      <c r="X650" s="67"/>
      <c r="Y650" s="86"/>
      <c r="Z650" s="66"/>
      <c r="AA650" s="66"/>
      <c r="AB650" s="66"/>
      <c r="AC650" s="65"/>
      <c r="AD650" s="66"/>
      <c r="AE650" s="66"/>
      <c r="AF650" s="67"/>
      <c r="AG650" s="66"/>
      <c r="AH650" s="67"/>
      <c r="AI650" s="66"/>
      <c r="AJ650" s="66"/>
      <c r="AK650" s="66"/>
      <c r="AL650" s="66"/>
      <c r="AM650" s="66"/>
      <c r="AN650" s="66"/>
      <c r="AO650" s="66"/>
      <c r="AP650" s="66"/>
      <c r="AQ650" s="65"/>
      <c r="AR650" s="65"/>
      <c r="AS650" s="65"/>
      <c r="AT650" s="65"/>
      <c r="AU650" s="65"/>
      <c r="AV650" s="65"/>
      <c r="AW650" s="65"/>
      <c r="AX650" s="68"/>
      <c r="AY650" s="17"/>
      <c r="AZ650" s="17"/>
    </row>
    <row r="651" spans="2:52" ht="16.5" customHeight="1" thickBot="1" x14ac:dyDescent="0.3">
      <c r="B651" s="1" t="s">
        <v>1</v>
      </c>
      <c r="C651" s="10">
        <v>1</v>
      </c>
      <c r="D651">
        <f t="shared" ref="D651:D653" si="71">C651</f>
        <v>1</v>
      </c>
      <c r="F651" s="1" t="s">
        <v>1</v>
      </c>
      <c r="G651" s="87"/>
      <c r="H651" s="46"/>
      <c r="I651" s="46"/>
      <c r="J651" s="70"/>
      <c r="K651" s="69"/>
      <c r="L651" s="46"/>
      <c r="M651" s="46"/>
      <c r="N651" s="46"/>
      <c r="O651" s="69"/>
      <c r="P651" s="70"/>
      <c r="Q651" s="69"/>
      <c r="R651" s="46"/>
      <c r="S651" s="46">
        <v>1</v>
      </c>
      <c r="T651" s="46"/>
      <c r="U651" s="46"/>
      <c r="V651" s="46"/>
      <c r="W651" s="46"/>
      <c r="X651" s="70"/>
      <c r="Y651" s="87"/>
      <c r="Z651" s="46"/>
      <c r="AA651" s="46"/>
      <c r="AB651" s="46"/>
      <c r="AC651" s="69"/>
      <c r="AD651" s="46"/>
      <c r="AE651" s="46"/>
      <c r="AF651" s="70"/>
      <c r="AG651" s="46"/>
      <c r="AH651" s="70"/>
      <c r="AI651" s="46"/>
      <c r="AJ651" s="46"/>
      <c r="AK651" s="46"/>
      <c r="AL651" s="46"/>
      <c r="AM651" s="46"/>
      <c r="AN651" s="46"/>
      <c r="AO651" s="46"/>
      <c r="AP651" s="46">
        <v>1</v>
      </c>
      <c r="AQ651" s="69"/>
      <c r="AR651" s="69"/>
      <c r="AS651" s="69"/>
      <c r="AT651" s="69"/>
      <c r="AU651" s="69"/>
      <c r="AV651" s="69"/>
      <c r="AW651" s="69"/>
      <c r="AX651" s="71"/>
      <c r="AY651" s="18"/>
      <c r="AZ651" s="18"/>
    </row>
    <row r="652" spans="2:52" ht="16.5" customHeight="1" thickBot="1" x14ac:dyDescent="0.3">
      <c r="B652" s="1" t="s">
        <v>2</v>
      </c>
      <c r="C652" s="10"/>
      <c r="D652">
        <f>C652</f>
        <v>0</v>
      </c>
      <c r="F652" s="1" t="s">
        <v>2</v>
      </c>
      <c r="G652" s="87"/>
      <c r="H652" s="46"/>
      <c r="I652" s="46"/>
      <c r="J652" s="70"/>
      <c r="K652" s="69"/>
      <c r="L652" s="46"/>
      <c r="M652" s="46"/>
      <c r="N652" s="46"/>
      <c r="O652" s="69"/>
      <c r="P652" s="70"/>
      <c r="Q652" s="69"/>
      <c r="R652" s="46"/>
      <c r="S652" s="46"/>
      <c r="T652" s="46"/>
      <c r="U652" s="46"/>
      <c r="V652" s="46"/>
      <c r="W652" s="46"/>
      <c r="X652" s="70"/>
      <c r="Y652" s="87"/>
      <c r="Z652" s="46"/>
      <c r="AA652" s="46"/>
      <c r="AB652" s="46"/>
      <c r="AC652" s="69"/>
      <c r="AD652" s="46"/>
      <c r="AE652" s="46"/>
      <c r="AF652" s="70"/>
      <c r="AG652" s="46"/>
      <c r="AH652" s="70"/>
      <c r="AI652" s="46"/>
      <c r="AJ652" s="46"/>
      <c r="AK652" s="46"/>
      <c r="AL652" s="46"/>
      <c r="AM652" s="46"/>
      <c r="AN652" s="46"/>
      <c r="AO652" s="46"/>
      <c r="AP652" s="46"/>
      <c r="AQ652" s="69"/>
      <c r="AR652" s="69"/>
      <c r="AS652" s="69"/>
      <c r="AT652" s="69"/>
      <c r="AU652" s="69"/>
      <c r="AV652" s="69"/>
      <c r="AW652" s="69"/>
      <c r="AX652" s="71"/>
      <c r="AY652" s="18"/>
      <c r="AZ652" s="18"/>
    </row>
    <row r="653" spans="2:52" ht="16.5" customHeight="1" thickBot="1" x14ac:dyDescent="0.3">
      <c r="B653" s="1" t="s">
        <v>3</v>
      </c>
      <c r="C653" s="10"/>
      <c r="D653" s="7">
        <f t="shared" si="71"/>
        <v>0</v>
      </c>
      <c r="F653" s="1" t="s">
        <v>3</v>
      </c>
      <c r="G653" s="88"/>
      <c r="H653" s="73"/>
      <c r="I653" s="73"/>
      <c r="J653" s="74"/>
      <c r="K653" s="72"/>
      <c r="L653" s="73"/>
      <c r="M653" s="73"/>
      <c r="N653" s="73"/>
      <c r="O653" s="72"/>
      <c r="P653" s="74"/>
      <c r="Q653" s="72"/>
      <c r="R653" s="73"/>
      <c r="S653" s="73"/>
      <c r="T653" s="73"/>
      <c r="U653" s="73"/>
      <c r="V653" s="73"/>
      <c r="W653" s="73"/>
      <c r="X653" s="74"/>
      <c r="Y653" s="88"/>
      <c r="Z653" s="73"/>
      <c r="AA653" s="73"/>
      <c r="AB653" s="73"/>
      <c r="AC653" s="72"/>
      <c r="AD653" s="73"/>
      <c r="AE653" s="73"/>
      <c r="AF653" s="74"/>
      <c r="AG653" s="73"/>
      <c r="AH653" s="74"/>
      <c r="AI653" s="73"/>
      <c r="AJ653" s="73"/>
      <c r="AK653" s="73"/>
      <c r="AL653" s="73"/>
      <c r="AM653" s="73"/>
      <c r="AN653" s="73"/>
      <c r="AO653" s="73"/>
      <c r="AP653" s="73"/>
      <c r="AQ653" s="72"/>
      <c r="AR653" s="72"/>
      <c r="AS653" s="72"/>
      <c r="AT653" s="72"/>
      <c r="AU653" s="72"/>
      <c r="AV653" s="72"/>
      <c r="AW653" s="72"/>
      <c r="AX653" s="75"/>
      <c r="AY653" s="19"/>
      <c r="AZ653" s="19"/>
    </row>
    <row r="654" spans="2:52" ht="21" customHeight="1" x14ac:dyDescent="0.25">
      <c r="B654" s="2"/>
      <c r="C654" s="3" t="s">
        <v>25</v>
      </c>
      <c r="D654" s="9">
        <f>SUM(D650:D653)</f>
        <v>1</v>
      </c>
      <c r="G654" s="85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85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</row>
    <row r="655" spans="2:52" x14ac:dyDescent="0.25"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</row>
    <row r="656" spans="2:52" ht="15.75" x14ac:dyDescent="0.25">
      <c r="G656" s="100" t="s">
        <v>22</v>
      </c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1" t="s">
        <v>21</v>
      </c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46"/>
      <c r="AR656" s="46"/>
      <c r="AS656" s="46"/>
      <c r="AT656" s="46"/>
      <c r="AU656" s="46"/>
      <c r="AV656" s="46"/>
      <c r="AW656" s="46"/>
      <c r="AX656" s="46"/>
    </row>
    <row r="657" spans="2:53" ht="32.25" thickBot="1" x14ac:dyDescent="0.3">
      <c r="G657" s="102" t="s">
        <v>14</v>
      </c>
      <c r="H657" s="102"/>
      <c r="I657" s="102"/>
      <c r="J657" s="102"/>
      <c r="K657" s="102" t="s">
        <v>15</v>
      </c>
      <c r="L657" s="102"/>
      <c r="M657" s="102"/>
      <c r="N657" s="102"/>
      <c r="O657" s="102" t="s">
        <v>59</v>
      </c>
      <c r="P657" s="102"/>
      <c r="Q657" s="102" t="s">
        <v>16</v>
      </c>
      <c r="R657" s="102"/>
      <c r="S657" s="102"/>
      <c r="T657" s="102"/>
      <c r="U657" s="102"/>
      <c r="V657" s="102"/>
      <c r="W657" s="102"/>
      <c r="X657" s="102"/>
      <c r="Y657" s="102" t="s">
        <v>14</v>
      </c>
      <c r="Z657" s="102"/>
      <c r="AA657" s="102"/>
      <c r="AB657" s="102"/>
      <c r="AC657" s="102" t="s">
        <v>15</v>
      </c>
      <c r="AD657" s="102"/>
      <c r="AE657" s="102"/>
      <c r="AF657" s="102"/>
      <c r="AG657" s="102" t="s">
        <v>59</v>
      </c>
      <c r="AH657" s="102"/>
      <c r="AI657" s="102" t="s">
        <v>16</v>
      </c>
      <c r="AJ657" s="102"/>
      <c r="AK657" s="102"/>
      <c r="AL657" s="102"/>
      <c r="AM657" s="102"/>
      <c r="AN657" s="102"/>
      <c r="AO657" s="102"/>
      <c r="AP657" s="102"/>
      <c r="AQ657" s="76" t="s">
        <v>60</v>
      </c>
      <c r="AR657" s="76" t="s">
        <v>70</v>
      </c>
      <c r="AS657" s="76" t="s">
        <v>65</v>
      </c>
      <c r="AT657" s="76" t="s">
        <v>61</v>
      </c>
      <c r="AU657" s="76" t="s">
        <v>62</v>
      </c>
      <c r="AV657" s="76" t="s">
        <v>27</v>
      </c>
      <c r="AW657" s="76" t="s">
        <v>64</v>
      </c>
      <c r="AX657" s="76" t="s">
        <v>63</v>
      </c>
      <c r="AY657" s="76" t="s">
        <v>66</v>
      </c>
      <c r="AZ657" s="76" t="s">
        <v>67</v>
      </c>
      <c r="BA657" s="76" t="s">
        <v>88</v>
      </c>
    </row>
    <row r="658" spans="2:53" ht="48" thickBot="1" x14ac:dyDescent="0.3">
      <c r="B658" s="20">
        <v>0.750000000000002</v>
      </c>
      <c r="C658" s="14" t="s">
        <v>13</v>
      </c>
      <c r="D658" s="8" t="s">
        <v>6</v>
      </c>
      <c r="F658" s="13"/>
      <c r="G658" s="81" t="s">
        <v>20</v>
      </c>
      <c r="H658" s="64" t="s">
        <v>17</v>
      </c>
      <c r="I658" s="64" t="s">
        <v>19</v>
      </c>
      <c r="J658" s="64" t="s">
        <v>18</v>
      </c>
      <c r="K658" s="64" t="s">
        <v>52</v>
      </c>
      <c r="L658" s="64" t="s">
        <v>51</v>
      </c>
      <c r="M658" s="64" t="s">
        <v>53</v>
      </c>
      <c r="N658" s="64" t="s">
        <v>54</v>
      </c>
      <c r="O658" s="64" t="s">
        <v>20</v>
      </c>
      <c r="P658" s="64" t="s">
        <v>19</v>
      </c>
      <c r="Q658" s="64" t="s">
        <v>55</v>
      </c>
      <c r="R658" s="64" t="s">
        <v>56</v>
      </c>
      <c r="S658" s="64" t="s">
        <v>52</v>
      </c>
      <c r="T658" s="64" t="s">
        <v>51</v>
      </c>
      <c r="U658" s="64" t="s">
        <v>57</v>
      </c>
      <c r="V658" s="64" t="s">
        <v>58</v>
      </c>
      <c r="W658" s="64" t="s">
        <v>53</v>
      </c>
      <c r="X658" s="64" t="s">
        <v>54</v>
      </c>
      <c r="Y658" s="81" t="s">
        <v>20</v>
      </c>
      <c r="Z658" s="64" t="s">
        <v>17</v>
      </c>
      <c r="AA658" s="64" t="s">
        <v>19</v>
      </c>
      <c r="AB658" s="64" t="s">
        <v>18</v>
      </c>
      <c r="AC658" s="64" t="s">
        <v>52</v>
      </c>
      <c r="AD658" s="64" t="s">
        <v>51</v>
      </c>
      <c r="AE658" s="64" t="s">
        <v>53</v>
      </c>
      <c r="AF658" s="64" t="s">
        <v>54</v>
      </c>
      <c r="AG658" s="64" t="s">
        <v>20</v>
      </c>
      <c r="AH658" s="64" t="s">
        <v>19</v>
      </c>
      <c r="AI658" s="64" t="s">
        <v>55</v>
      </c>
      <c r="AJ658" s="64" t="s">
        <v>56</v>
      </c>
      <c r="AK658" s="64" t="s">
        <v>52</v>
      </c>
      <c r="AL658" s="64" t="s">
        <v>51</v>
      </c>
      <c r="AM658" s="64" t="s">
        <v>57</v>
      </c>
      <c r="AN658" s="64" t="s">
        <v>58</v>
      </c>
      <c r="AO658" s="64" t="s">
        <v>53</v>
      </c>
      <c r="AP658" s="64" t="s">
        <v>54</v>
      </c>
      <c r="AQ658" s="46"/>
      <c r="AR658" s="46"/>
      <c r="AS658" s="46"/>
      <c r="AT658" s="46"/>
      <c r="AU658" s="46"/>
      <c r="AV658" s="46"/>
      <c r="AW658" s="46"/>
      <c r="AX658" s="46"/>
    </row>
    <row r="659" spans="2:53" ht="16.5" customHeight="1" thickBot="1" x14ac:dyDescent="0.3">
      <c r="B659" s="1" t="s">
        <v>0</v>
      </c>
      <c r="C659" s="10"/>
      <c r="D659">
        <f>C659</f>
        <v>0</v>
      </c>
      <c r="F659" s="12" t="s">
        <v>0</v>
      </c>
      <c r="G659" s="86"/>
      <c r="H659" s="66"/>
      <c r="I659" s="66"/>
      <c r="J659" s="67"/>
      <c r="K659" s="65"/>
      <c r="L659" s="66"/>
      <c r="M659" s="66"/>
      <c r="N659" s="66"/>
      <c r="O659" s="65"/>
      <c r="P659" s="67"/>
      <c r="Q659" s="65"/>
      <c r="R659" s="66"/>
      <c r="S659" s="66"/>
      <c r="T659" s="66"/>
      <c r="U659" s="66"/>
      <c r="V659" s="66"/>
      <c r="W659" s="66"/>
      <c r="X659" s="67"/>
      <c r="Y659" s="86"/>
      <c r="Z659" s="66"/>
      <c r="AA659" s="66"/>
      <c r="AB659" s="66"/>
      <c r="AC659" s="65"/>
      <c r="AD659" s="66"/>
      <c r="AE659" s="66"/>
      <c r="AF659" s="67"/>
      <c r="AG659" s="66"/>
      <c r="AH659" s="67"/>
      <c r="AI659" s="66"/>
      <c r="AJ659" s="66"/>
      <c r="AK659" s="66"/>
      <c r="AL659" s="66"/>
      <c r="AM659" s="66"/>
      <c r="AN659" s="66"/>
      <c r="AO659" s="66"/>
      <c r="AP659" s="66"/>
      <c r="AQ659" s="65"/>
      <c r="AR659" s="65"/>
      <c r="AS659" s="65"/>
      <c r="AT659" s="65"/>
      <c r="AU659" s="65"/>
      <c r="AV659" s="65"/>
      <c r="AW659" s="65"/>
      <c r="AX659" s="68"/>
      <c r="AY659" s="17"/>
      <c r="AZ659" s="17"/>
      <c r="BA659" s="17"/>
    </row>
    <row r="660" spans="2:53" ht="16.5" customHeight="1" thickBot="1" x14ac:dyDescent="0.3">
      <c r="B660" s="1" t="s">
        <v>1</v>
      </c>
      <c r="C660" s="10">
        <v>1</v>
      </c>
      <c r="D660">
        <f t="shared" ref="D660:D662" si="72">C660</f>
        <v>1</v>
      </c>
      <c r="F660" s="1" t="s">
        <v>1</v>
      </c>
      <c r="G660" s="87"/>
      <c r="H660" s="46"/>
      <c r="I660" s="46"/>
      <c r="J660" s="70"/>
      <c r="K660" s="69"/>
      <c r="L660" s="46"/>
      <c r="M660" s="46"/>
      <c r="N660" s="46"/>
      <c r="O660" s="69"/>
      <c r="P660" s="70">
        <v>1</v>
      </c>
      <c r="Q660" s="69"/>
      <c r="R660" s="46"/>
      <c r="S660" s="46"/>
      <c r="T660" s="46"/>
      <c r="U660" s="46"/>
      <c r="V660" s="46"/>
      <c r="W660" s="46"/>
      <c r="X660" s="70"/>
      <c r="Y660" s="87"/>
      <c r="Z660" s="46"/>
      <c r="AA660" s="46"/>
      <c r="AB660" s="46"/>
      <c r="AC660" s="69"/>
      <c r="AD660" s="46"/>
      <c r="AE660" s="46"/>
      <c r="AF660" s="70"/>
      <c r="AG660" s="46">
        <v>1</v>
      </c>
      <c r="AH660" s="70"/>
      <c r="AI660" s="46"/>
      <c r="AJ660" s="46"/>
      <c r="AK660" s="46"/>
      <c r="AL660" s="46"/>
      <c r="AM660" s="46"/>
      <c r="AN660" s="46"/>
      <c r="AO660" s="46"/>
      <c r="AP660" s="46"/>
      <c r="AQ660" s="69"/>
      <c r="AR660" s="69">
        <v>1</v>
      </c>
      <c r="AS660" s="69"/>
      <c r="AT660" s="69"/>
      <c r="AU660" s="69"/>
      <c r="AV660" s="69"/>
      <c r="AW660" s="69"/>
      <c r="AX660" s="71"/>
      <c r="AY660" s="18"/>
      <c r="AZ660" s="18">
        <v>1</v>
      </c>
      <c r="BA660" s="18">
        <v>1</v>
      </c>
    </row>
    <row r="661" spans="2:53" ht="16.5" customHeight="1" thickBot="1" x14ac:dyDescent="0.3">
      <c r="B661" s="1" t="s">
        <v>2</v>
      </c>
      <c r="C661" s="10"/>
      <c r="D661">
        <f>C661</f>
        <v>0</v>
      </c>
      <c r="F661" s="1" t="s">
        <v>2</v>
      </c>
      <c r="G661" s="87"/>
      <c r="H661" s="46"/>
      <c r="I661" s="46"/>
      <c r="J661" s="70"/>
      <c r="K661" s="69"/>
      <c r="L661" s="46"/>
      <c r="M661" s="46"/>
      <c r="N661" s="46"/>
      <c r="O661" s="69"/>
      <c r="P661" s="70"/>
      <c r="Q661" s="69"/>
      <c r="R661" s="46"/>
      <c r="S661" s="46"/>
      <c r="T661" s="46"/>
      <c r="U661" s="46"/>
      <c r="V661" s="46"/>
      <c r="W661" s="46"/>
      <c r="X661" s="70"/>
      <c r="Y661" s="87"/>
      <c r="Z661" s="46"/>
      <c r="AA661" s="46"/>
      <c r="AB661" s="46"/>
      <c r="AC661" s="69"/>
      <c r="AD661" s="46"/>
      <c r="AE661" s="46"/>
      <c r="AF661" s="70"/>
      <c r="AG661" s="46"/>
      <c r="AH661" s="70"/>
      <c r="AI661" s="46"/>
      <c r="AJ661" s="46"/>
      <c r="AK661" s="46"/>
      <c r="AL661" s="46"/>
      <c r="AM661" s="46"/>
      <c r="AN661" s="46"/>
      <c r="AO661" s="46"/>
      <c r="AP661" s="46"/>
      <c r="AQ661" s="69"/>
      <c r="AR661" s="69"/>
      <c r="AS661" s="69"/>
      <c r="AT661" s="69"/>
      <c r="AU661" s="69"/>
      <c r="AV661" s="69"/>
      <c r="AW661" s="69"/>
      <c r="AX661" s="71"/>
      <c r="AY661" s="18"/>
      <c r="AZ661" s="18"/>
      <c r="BA661" s="18"/>
    </row>
    <row r="662" spans="2:53" ht="16.5" customHeight="1" thickBot="1" x14ac:dyDescent="0.3">
      <c r="B662" s="1" t="s">
        <v>3</v>
      </c>
      <c r="C662" s="10"/>
      <c r="D662" s="7">
        <f t="shared" si="72"/>
        <v>0</v>
      </c>
      <c r="F662" s="1" t="s">
        <v>3</v>
      </c>
      <c r="G662" s="88"/>
      <c r="H662" s="73"/>
      <c r="I662" s="73"/>
      <c r="J662" s="74"/>
      <c r="K662" s="72"/>
      <c r="L662" s="73"/>
      <c r="M662" s="73"/>
      <c r="N662" s="73"/>
      <c r="O662" s="72"/>
      <c r="P662" s="74"/>
      <c r="Q662" s="72"/>
      <c r="R662" s="73"/>
      <c r="S662" s="73"/>
      <c r="T662" s="73"/>
      <c r="U662" s="73"/>
      <c r="V662" s="73"/>
      <c r="W662" s="73"/>
      <c r="X662" s="74"/>
      <c r="Y662" s="88"/>
      <c r="Z662" s="73"/>
      <c r="AA662" s="73"/>
      <c r="AB662" s="73"/>
      <c r="AC662" s="72"/>
      <c r="AD662" s="73"/>
      <c r="AE662" s="73"/>
      <c r="AF662" s="74"/>
      <c r="AG662" s="73"/>
      <c r="AH662" s="74"/>
      <c r="AI662" s="73"/>
      <c r="AJ662" s="73"/>
      <c r="AK662" s="73"/>
      <c r="AL662" s="73"/>
      <c r="AM662" s="73"/>
      <c r="AN662" s="73"/>
      <c r="AO662" s="73"/>
      <c r="AP662" s="73"/>
      <c r="AQ662" s="72"/>
      <c r="AR662" s="72"/>
      <c r="AS662" s="72"/>
      <c r="AT662" s="72"/>
      <c r="AU662" s="72"/>
      <c r="AV662" s="72"/>
      <c r="AW662" s="72"/>
      <c r="AX662" s="75"/>
      <c r="AY662" s="19"/>
      <c r="AZ662" s="19"/>
      <c r="BA662" s="19"/>
    </row>
    <row r="663" spans="2:53" ht="21" customHeight="1" x14ac:dyDescent="0.25">
      <c r="B663" s="2"/>
      <c r="C663" s="3" t="s">
        <v>25</v>
      </c>
      <c r="D663" s="9">
        <f>SUM(D659:D662)</f>
        <v>1</v>
      </c>
      <c r="G663" s="85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85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</row>
    <row r="664" spans="2:53" x14ac:dyDescent="0.25"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</row>
    <row r="665" spans="2:53" ht="15.75" x14ac:dyDescent="0.25">
      <c r="G665" s="100" t="s">
        <v>22</v>
      </c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1" t="s">
        <v>21</v>
      </c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46"/>
      <c r="AR665" s="46"/>
      <c r="AS665" s="46"/>
      <c r="AT665" s="46"/>
      <c r="AU665" s="46"/>
      <c r="AV665" s="46"/>
      <c r="AW665" s="46"/>
      <c r="AX665" s="46"/>
    </row>
    <row r="666" spans="2:53" ht="32.25" thickBot="1" x14ac:dyDescent="0.3">
      <c r="G666" s="102" t="s">
        <v>14</v>
      </c>
      <c r="H666" s="102"/>
      <c r="I666" s="102"/>
      <c r="J666" s="102"/>
      <c r="K666" s="102" t="s">
        <v>15</v>
      </c>
      <c r="L666" s="102"/>
      <c r="M666" s="102"/>
      <c r="N666" s="102"/>
      <c r="O666" s="102" t="s">
        <v>59</v>
      </c>
      <c r="P666" s="102"/>
      <c r="Q666" s="102" t="s">
        <v>16</v>
      </c>
      <c r="R666" s="102"/>
      <c r="S666" s="102"/>
      <c r="T666" s="102"/>
      <c r="U666" s="102"/>
      <c r="V666" s="102"/>
      <c r="W666" s="102"/>
      <c r="X666" s="102"/>
      <c r="Y666" s="102" t="s">
        <v>14</v>
      </c>
      <c r="Z666" s="102"/>
      <c r="AA666" s="102"/>
      <c r="AB666" s="102"/>
      <c r="AC666" s="102" t="s">
        <v>15</v>
      </c>
      <c r="AD666" s="102"/>
      <c r="AE666" s="102"/>
      <c r="AF666" s="102"/>
      <c r="AG666" s="102" t="s">
        <v>59</v>
      </c>
      <c r="AH666" s="102"/>
      <c r="AI666" s="102" t="s">
        <v>16</v>
      </c>
      <c r="AJ666" s="102"/>
      <c r="AK666" s="102"/>
      <c r="AL666" s="102"/>
      <c r="AM666" s="102"/>
      <c r="AN666" s="102"/>
      <c r="AO666" s="102"/>
      <c r="AP666" s="102"/>
      <c r="AQ666" s="76" t="s">
        <v>60</v>
      </c>
      <c r="AR666" s="76" t="s">
        <v>70</v>
      </c>
      <c r="AS666" s="76" t="s">
        <v>65</v>
      </c>
      <c r="AT666" s="76" t="s">
        <v>61</v>
      </c>
      <c r="AU666" s="76" t="s">
        <v>62</v>
      </c>
      <c r="AV666" s="76" t="s">
        <v>27</v>
      </c>
      <c r="AW666" s="76" t="s">
        <v>64</v>
      </c>
      <c r="AX666" s="76" t="s">
        <v>63</v>
      </c>
      <c r="AY666" s="76" t="s">
        <v>66</v>
      </c>
      <c r="AZ666" s="76" t="s">
        <v>67</v>
      </c>
    </row>
    <row r="667" spans="2:53" ht="48" thickBot="1" x14ac:dyDescent="0.3">
      <c r="B667" s="20">
        <v>0.76041666666666896</v>
      </c>
      <c r="C667" s="14" t="s">
        <v>13</v>
      </c>
      <c r="D667" s="8" t="s">
        <v>6</v>
      </c>
      <c r="F667" s="13"/>
      <c r="G667" s="81" t="s">
        <v>20</v>
      </c>
      <c r="H667" s="64" t="s">
        <v>17</v>
      </c>
      <c r="I667" s="64" t="s">
        <v>19</v>
      </c>
      <c r="J667" s="64" t="s">
        <v>18</v>
      </c>
      <c r="K667" s="64" t="s">
        <v>52</v>
      </c>
      <c r="L667" s="64" t="s">
        <v>51</v>
      </c>
      <c r="M667" s="64" t="s">
        <v>53</v>
      </c>
      <c r="N667" s="64" t="s">
        <v>54</v>
      </c>
      <c r="O667" s="64" t="s">
        <v>20</v>
      </c>
      <c r="P667" s="64" t="s">
        <v>19</v>
      </c>
      <c r="Q667" s="64" t="s">
        <v>55</v>
      </c>
      <c r="R667" s="64" t="s">
        <v>56</v>
      </c>
      <c r="S667" s="64" t="s">
        <v>52</v>
      </c>
      <c r="T667" s="64" t="s">
        <v>51</v>
      </c>
      <c r="U667" s="64" t="s">
        <v>57</v>
      </c>
      <c r="V667" s="64" t="s">
        <v>58</v>
      </c>
      <c r="W667" s="64" t="s">
        <v>53</v>
      </c>
      <c r="X667" s="64" t="s">
        <v>54</v>
      </c>
      <c r="Y667" s="81" t="s">
        <v>20</v>
      </c>
      <c r="Z667" s="64" t="s">
        <v>17</v>
      </c>
      <c r="AA667" s="64" t="s">
        <v>19</v>
      </c>
      <c r="AB667" s="64" t="s">
        <v>18</v>
      </c>
      <c r="AC667" s="64" t="s">
        <v>52</v>
      </c>
      <c r="AD667" s="64" t="s">
        <v>51</v>
      </c>
      <c r="AE667" s="64" t="s">
        <v>53</v>
      </c>
      <c r="AF667" s="64" t="s">
        <v>54</v>
      </c>
      <c r="AG667" s="64" t="s">
        <v>20</v>
      </c>
      <c r="AH667" s="64" t="s">
        <v>19</v>
      </c>
      <c r="AI667" s="64" t="s">
        <v>55</v>
      </c>
      <c r="AJ667" s="64" t="s">
        <v>56</v>
      </c>
      <c r="AK667" s="64" t="s">
        <v>52</v>
      </c>
      <c r="AL667" s="64" t="s">
        <v>51</v>
      </c>
      <c r="AM667" s="64" t="s">
        <v>57</v>
      </c>
      <c r="AN667" s="64" t="s">
        <v>58</v>
      </c>
      <c r="AO667" s="64" t="s">
        <v>53</v>
      </c>
      <c r="AP667" s="64" t="s">
        <v>54</v>
      </c>
      <c r="AQ667" s="46"/>
      <c r="AR667" s="46"/>
      <c r="AS667" s="46"/>
      <c r="AT667" s="46"/>
      <c r="AU667" s="46"/>
      <c r="AV667" s="46"/>
      <c r="AW667" s="46"/>
      <c r="AX667" s="46"/>
    </row>
    <row r="668" spans="2:53" ht="16.5" customHeight="1" thickBot="1" x14ac:dyDescent="0.3">
      <c r="B668" s="1" t="s">
        <v>0</v>
      </c>
      <c r="C668" s="10"/>
      <c r="D668">
        <f>C668</f>
        <v>0</v>
      </c>
      <c r="F668" s="12" t="s">
        <v>0</v>
      </c>
      <c r="G668" s="86"/>
      <c r="H668" s="66"/>
      <c r="I668" s="66"/>
      <c r="J668" s="67"/>
      <c r="K668" s="65"/>
      <c r="L668" s="66"/>
      <c r="M668" s="66"/>
      <c r="N668" s="66"/>
      <c r="O668" s="65"/>
      <c r="P668" s="67"/>
      <c r="Q668" s="65"/>
      <c r="R668" s="66"/>
      <c r="S668" s="66"/>
      <c r="T668" s="66"/>
      <c r="U668" s="66"/>
      <c r="V668" s="66"/>
      <c r="W668" s="66"/>
      <c r="X668" s="67"/>
      <c r="Y668" s="86"/>
      <c r="Z668" s="66"/>
      <c r="AA668" s="66"/>
      <c r="AB668" s="66"/>
      <c r="AC668" s="65"/>
      <c r="AD668" s="66"/>
      <c r="AE668" s="66"/>
      <c r="AF668" s="67"/>
      <c r="AG668" s="66"/>
      <c r="AH668" s="67"/>
      <c r="AI668" s="66"/>
      <c r="AJ668" s="66"/>
      <c r="AK668" s="66"/>
      <c r="AL668" s="66"/>
      <c r="AM668" s="66"/>
      <c r="AN668" s="66"/>
      <c r="AO668" s="66"/>
      <c r="AP668" s="66"/>
      <c r="AQ668" s="65"/>
      <c r="AR668" s="65"/>
      <c r="AS668" s="65"/>
      <c r="AT668" s="65"/>
      <c r="AU668" s="65"/>
      <c r="AV668" s="65"/>
      <c r="AW668" s="65"/>
      <c r="AX668" s="68"/>
      <c r="AY668" s="17"/>
      <c r="AZ668" s="17"/>
    </row>
    <row r="669" spans="2:53" ht="16.5" customHeight="1" thickBot="1" x14ac:dyDescent="0.3">
      <c r="B669" s="1" t="s">
        <v>1</v>
      </c>
      <c r="C669" s="10"/>
      <c r="D669">
        <f t="shared" ref="D669:D671" si="73">C669</f>
        <v>0</v>
      </c>
      <c r="F669" s="1" t="s">
        <v>1</v>
      </c>
      <c r="G669" s="87"/>
      <c r="H669" s="46"/>
      <c r="I669" s="46"/>
      <c r="J669" s="70"/>
      <c r="K669" s="69"/>
      <c r="L669" s="46"/>
      <c r="M669" s="46"/>
      <c r="N669" s="46"/>
      <c r="O669" s="69"/>
      <c r="P669" s="70"/>
      <c r="Q669" s="69"/>
      <c r="R669" s="46"/>
      <c r="S669" s="46"/>
      <c r="T669" s="46"/>
      <c r="U669" s="46"/>
      <c r="V669" s="46"/>
      <c r="W669" s="46"/>
      <c r="X669" s="70"/>
      <c r="Y669" s="87"/>
      <c r="Z669" s="46"/>
      <c r="AA669" s="46"/>
      <c r="AB669" s="46"/>
      <c r="AC669" s="69"/>
      <c r="AD669" s="46"/>
      <c r="AE669" s="46"/>
      <c r="AF669" s="70"/>
      <c r="AG669" s="46"/>
      <c r="AH669" s="70"/>
      <c r="AI669" s="46"/>
      <c r="AJ669" s="46"/>
      <c r="AK669" s="46"/>
      <c r="AL669" s="46"/>
      <c r="AM669" s="46"/>
      <c r="AN669" s="46"/>
      <c r="AO669" s="46"/>
      <c r="AP669" s="46"/>
      <c r="AQ669" s="69"/>
      <c r="AR669" s="69"/>
      <c r="AS669" s="69"/>
      <c r="AT669" s="69"/>
      <c r="AU669" s="69"/>
      <c r="AV669" s="69"/>
      <c r="AW669" s="69"/>
      <c r="AX669" s="71"/>
      <c r="AY669" s="18"/>
      <c r="AZ669" s="18"/>
    </row>
    <row r="670" spans="2:53" ht="16.5" customHeight="1" thickBot="1" x14ac:dyDescent="0.3">
      <c r="B670" s="1" t="s">
        <v>2</v>
      </c>
      <c r="C670" s="10">
        <v>1</v>
      </c>
      <c r="D670">
        <f>C670</f>
        <v>1</v>
      </c>
      <c r="F670" s="1" t="s">
        <v>2</v>
      </c>
      <c r="G670" s="87"/>
      <c r="H670" s="46"/>
      <c r="I670" s="46"/>
      <c r="J670" s="70"/>
      <c r="K670" s="69"/>
      <c r="L670" s="46"/>
      <c r="M670" s="46"/>
      <c r="N670" s="46"/>
      <c r="O670" s="69"/>
      <c r="P670" s="70"/>
      <c r="Q670" s="69"/>
      <c r="R670" s="46"/>
      <c r="S670" s="46"/>
      <c r="T670" s="46"/>
      <c r="U670" s="46">
        <v>1</v>
      </c>
      <c r="V670" s="46"/>
      <c r="W670" s="46"/>
      <c r="X670" s="70"/>
      <c r="Y670" s="87"/>
      <c r="Z670" s="46"/>
      <c r="AA670" s="46"/>
      <c r="AB670" s="46"/>
      <c r="AC670" s="69"/>
      <c r="AD670" s="46"/>
      <c r="AE670" s="46"/>
      <c r="AF670" s="70"/>
      <c r="AG670" s="46"/>
      <c r="AH670" s="70"/>
      <c r="AI670" s="46"/>
      <c r="AJ670" s="46">
        <v>1</v>
      </c>
      <c r="AK670" s="46"/>
      <c r="AL670" s="46"/>
      <c r="AM670" s="46"/>
      <c r="AN670" s="46"/>
      <c r="AO670" s="46"/>
      <c r="AP670" s="46"/>
      <c r="AQ670" s="69"/>
      <c r="AR670" s="69">
        <v>1</v>
      </c>
      <c r="AS670" s="69"/>
      <c r="AT670" s="69"/>
      <c r="AU670" s="69"/>
      <c r="AV670" s="69"/>
      <c r="AW670" s="69"/>
      <c r="AX670" s="71"/>
      <c r="AY670" s="18"/>
      <c r="AZ670" s="18"/>
    </row>
    <row r="671" spans="2:53" ht="16.5" customHeight="1" thickBot="1" x14ac:dyDescent="0.3">
      <c r="B671" s="1" t="s">
        <v>3</v>
      </c>
      <c r="C671" s="10"/>
      <c r="D671" s="7">
        <f t="shared" si="73"/>
        <v>0</v>
      </c>
      <c r="F671" s="1" t="s">
        <v>3</v>
      </c>
      <c r="G671" s="88"/>
      <c r="H671" s="73"/>
      <c r="I671" s="73"/>
      <c r="J671" s="74"/>
      <c r="K671" s="72"/>
      <c r="L671" s="73"/>
      <c r="M671" s="73"/>
      <c r="N671" s="73"/>
      <c r="O671" s="72"/>
      <c r="P671" s="74"/>
      <c r="Q671" s="72"/>
      <c r="R671" s="73"/>
      <c r="S671" s="73"/>
      <c r="T671" s="73"/>
      <c r="U671" s="73"/>
      <c r="V671" s="73"/>
      <c r="W671" s="73"/>
      <c r="X671" s="74"/>
      <c r="Y671" s="88"/>
      <c r="Z671" s="73"/>
      <c r="AA671" s="73"/>
      <c r="AB671" s="73"/>
      <c r="AC671" s="72"/>
      <c r="AD671" s="73"/>
      <c r="AE671" s="73"/>
      <c r="AF671" s="74"/>
      <c r="AG671" s="73"/>
      <c r="AH671" s="74"/>
      <c r="AI671" s="73"/>
      <c r="AJ671" s="73"/>
      <c r="AK671" s="73"/>
      <c r="AL671" s="73"/>
      <c r="AM671" s="73"/>
      <c r="AN671" s="73"/>
      <c r="AO671" s="73"/>
      <c r="AP671" s="73"/>
      <c r="AQ671" s="72"/>
      <c r="AR671" s="72"/>
      <c r="AS671" s="72"/>
      <c r="AT671" s="72"/>
      <c r="AU671" s="72"/>
      <c r="AV671" s="72"/>
      <c r="AW671" s="72"/>
      <c r="AX671" s="75"/>
      <c r="AY671" s="19"/>
      <c r="AZ671" s="19"/>
    </row>
    <row r="672" spans="2:53" ht="21" customHeight="1" x14ac:dyDescent="0.25">
      <c r="B672" s="2"/>
      <c r="C672" s="3" t="s">
        <v>25</v>
      </c>
      <c r="D672" s="9">
        <f>SUM(D668:D671)</f>
        <v>1</v>
      </c>
      <c r="G672" s="85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85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</row>
    <row r="673" spans="2:53" x14ac:dyDescent="0.25"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</row>
    <row r="674" spans="2:53" ht="15.75" x14ac:dyDescent="0.25">
      <c r="G674" s="100" t="s">
        <v>22</v>
      </c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1" t="s">
        <v>21</v>
      </c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46"/>
      <c r="AR674" s="46"/>
      <c r="AS674" s="46"/>
      <c r="AT674" s="46"/>
      <c r="AU674" s="46"/>
      <c r="AV674" s="46"/>
      <c r="AW674" s="46"/>
      <c r="AX674" s="46"/>
    </row>
    <row r="675" spans="2:53" ht="32.25" thickBot="1" x14ac:dyDescent="0.3">
      <c r="G675" s="102" t="s">
        <v>14</v>
      </c>
      <c r="H675" s="102"/>
      <c r="I675" s="102"/>
      <c r="J675" s="102"/>
      <c r="K675" s="102" t="s">
        <v>15</v>
      </c>
      <c r="L675" s="102"/>
      <c r="M675" s="102"/>
      <c r="N675" s="102"/>
      <c r="O675" s="102" t="s">
        <v>59</v>
      </c>
      <c r="P675" s="102"/>
      <c r="Q675" s="102" t="s">
        <v>16</v>
      </c>
      <c r="R675" s="102"/>
      <c r="S675" s="102"/>
      <c r="T675" s="102"/>
      <c r="U675" s="102"/>
      <c r="V675" s="102"/>
      <c r="W675" s="102"/>
      <c r="X675" s="102"/>
      <c r="Y675" s="102" t="s">
        <v>14</v>
      </c>
      <c r="Z675" s="102"/>
      <c r="AA675" s="102"/>
      <c r="AB675" s="102"/>
      <c r="AC675" s="102" t="s">
        <v>15</v>
      </c>
      <c r="AD675" s="102"/>
      <c r="AE675" s="102"/>
      <c r="AF675" s="102"/>
      <c r="AG675" s="102" t="s">
        <v>59</v>
      </c>
      <c r="AH675" s="102"/>
      <c r="AI675" s="102" t="s">
        <v>16</v>
      </c>
      <c r="AJ675" s="102"/>
      <c r="AK675" s="102"/>
      <c r="AL675" s="102"/>
      <c r="AM675" s="102"/>
      <c r="AN675" s="102"/>
      <c r="AO675" s="102"/>
      <c r="AP675" s="102"/>
      <c r="AQ675" s="76" t="s">
        <v>60</v>
      </c>
      <c r="AR675" s="76" t="s">
        <v>70</v>
      </c>
      <c r="AS675" s="76" t="s">
        <v>65</v>
      </c>
      <c r="AT675" s="76" t="s">
        <v>61</v>
      </c>
      <c r="AU675" s="76" t="s">
        <v>62</v>
      </c>
      <c r="AV675" s="76" t="s">
        <v>27</v>
      </c>
      <c r="AW675" s="76" t="s">
        <v>64</v>
      </c>
      <c r="AX675" s="76" t="s">
        <v>63</v>
      </c>
      <c r="AY675" s="76" t="s">
        <v>66</v>
      </c>
      <c r="AZ675" s="76" t="s">
        <v>67</v>
      </c>
    </row>
    <row r="676" spans="2:53" ht="48" thickBot="1" x14ac:dyDescent="0.3">
      <c r="B676" s="20">
        <v>0.77083333333333504</v>
      </c>
      <c r="C676" s="14" t="s">
        <v>13</v>
      </c>
      <c r="D676" s="8" t="s">
        <v>6</v>
      </c>
      <c r="F676" s="13"/>
      <c r="G676" s="81" t="s">
        <v>20</v>
      </c>
      <c r="H676" s="64" t="s">
        <v>17</v>
      </c>
      <c r="I676" s="64" t="s">
        <v>19</v>
      </c>
      <c r="J676" s="64" t="s">
        <v>18</v>
      </c>
      <c r="K676" s="64" t="s">
        <v>52</v>
      </c>
      <c r="L676" s="64" t="s">
        <v>51</v>
      </c>
      <c r="M676" s="64" t="s">
        <v>53</v>
      </c>
      <c r="N676" s="64" t="s">
        <v>54</v>
      </c>
      <c r="O676" s="64" t="s">
        <v>20</v>
      </c>
      <c r="P676" s="64" t="s">
        <v>19</v>
      </c>
      <c r="Q676" s="64" t="s">
        <v>55</v>
      </c>
      <c r="R676" s="64" t="s">
        <v>56</v>
      </c>
      <c r="S676" s="64" t="s">
        <v>52</v>
      </c>
      <c r="T676" s="64" t="s">
        <v>51</v>
      </c>
      <c r="U676" s="64" t="s">
        <v>57</v>
      </c>
      <c r="V676" s="64" t="s">
        <v>58</v>
      </c>
      <c r="W676" s="64" t="s">
        <v>53</v>
      </c>
      <c r="X676" s="64" t="s">
        <v>54</v>
      </c>
      <c r="Y676" s="81" t="s">
        <v>20</v>
      </c>
      <c r="Z676" s="64" t="s">
        <v>17</v>
      </c>
      <c r="AA676" s="64" t="s">
        <v>19</v>
      </c>
      <c r="AB676" s="64" t="s">
        <v>18</v>
      </c>
      <c r="AC676" s="64" t="s">
        <v>52</v>
      </c>
      <c r="AD676" s="64" t="s">
        <v>51</v>
      </c>
      <c r="AE676" s="64" t="s">
        <v>53</v>
      </c>
      <c r="AF676" s="64" t="s">
        <v>54</v>
      </c>
      <c r="AG676" s="64" t="s">
        <v>20</v>
      </c>
      <c r="AH676" s="64" t="s">
        <v>19</v>
      </c>
      <c r="AI676" s="64" t="s">
        <v>55</v>
      </c>
      <c r="AJ676" s="64" t="s">
        <v>56</v>
      </c>
      <c r="AK676" s="64" t="s">
        <v>52</v>
      </c>
      <c r="AL676" s="64" t="s">
        <v>51</v>
      </c>
      <c r="AM676" s="64" t="s">
        <v>57</v>
      </c>
      <c r="AN676" s="64" t="s">
        <v>58</v>
      </c>
      <c r="AO676" s="64" t="s">
        <v>53</v>
      </c>
      <c r="AP676" s="64" t="s">
        <v>54</v>
      </c>
      <c r="AQ676" s="46"/>
      <c r="AR676" s="46"/>
      <c r="AS676" s="46"/>
      <c r="AT676" s="46"/>
      <c r="AU676" s="46"/>
      <c r="AV676" s="46"/>
      <c r="AW676" s="46"/>
      <c r="AX676" s="46"/>
    </row>
    <row r="677" spans="2:53" ht="16.5" customHeight="1" thickBot="1" x14ac:dyDescent="0.3">
      <c r="B677" s="1" t="s">
        <v>0</v>
      </c>
      <c r="C677" s="10"/>
      <c r="D677">
        <f>C677</f>
        <v>0</v>
      </c>
      <c r="F677" s="12" t="s">
        <v>0</v>
      </c>
      <c r="G677" s="86"/>
      <c r="H677" s="66"/>
      <c r="I677" s="66"/>
      <c r="J677" s="67"/>
      <c r="K677" s="65"/>
      <c r="L677" s="66"/>
      <c r="M677" s="66"/>
      <c r="N677" s="66"/>
      <c r="O677" s="65"/>
      <c r="P677" s="67"/>
      <c r="Q677" s="65"/>
      <c r="R677" s="66"/>
      <c r="S677" s="66"/>
      <c r="T677" s="66"/>
      <c r="U677" s="66"/>
      <c r="V677" s="66"/>
      <c r="W677" s="66"/>
      <c r="X677" s="67"/>
      <c r="Y677" s="86"/>
      <c r="Z677" s="66"/>
      <c r="AA677" s="66"/>
      <c r="AB677" s="66"/>
      <c r="AC677" s="65"/>
      <c r="AD677" s="66"/>
      <c r="AE677" s="66"/>
      <c r="AF677" s="67"/>
      <c r="AG677" s="66"/>
      <c r="AH677" s="67"/>
      <c r="AI677" s="66"/>
      <c r="AJ677" s="66"/>
      <c r="AK677" s="66"/>
      <c r="AL677" s="66"/>
      <c r="AM677" s="66"/>
      <c r="AN677" s="66"/>
      <c r="AO677" s="66"/>
      <c r="AP677" s="66"/>
      <c r="AQ677" s="65"/>
      <c r="AR677" s="65"/>
      <c r="AS677" s="65"/>
      <c r="AT677" s="65"/>
      <c r="AU677" s="65"/>
      <c r="AV677" s="65"/>
      <c r="AW677" s="65"/>
      <c r="AX677" s="68"/>
      <c r="AY677" s="17"/>
      <c r="AZ677" s="17"/>
    </row>
    <row r="678" spans="2:53" ht="16.5" customHeight="1" thickBot="1" x14ac:dyDescent="0.3">
      <c r="B678" s="1" t="s">
        <v>1</v>
      </c>
      <c r="C678" s="10">
        <v>2</v>
      </c>
      <c r="D678">
        <f t="shared" ref="D678:D680" si="74">C678</f>
        <v>2</v>
      </c>
      <c r="F678" s="1" t="s">
        <v>1</v>
      </c>
      <c r="G678" s="87">
        <v>1</v>
      </c>
      <c r="H678" s="46"/>
      <c r="I678" s="46"/>
      <c r="J678" s="70"/>
      <c r="K678" s="69"/>
      <c r="L678" s="46"/>
      <c r="M678" s="46"/>
      <c r="N678" s="46"/>
      <c r="O678" s="69">
        <v>1</v>
      </c>
      <c r="P678" s="70"/>
      <c r="Q678" s="69"/>
      <c r="R678" s="46"/>
      <c r="S678" s="46"/>
      <c r="T678" s="46"/>
      <c r="U678" s="46"/>
      <c r="V678" s="46"/>
      <c r="W678" s="46">
        <v>1</v>
      </c>
      <c r="X678" s="70"/>
      <c r="Y678" s="87"/>
      <c r="Z678" s="46"/>
      <c r="AA678" s="46"/>
      <c r="AB678" s="46"/>
      <c r="AC678" s="69"/>
      <c r="AD678" s="46"/>
      <c r="AE678" s="46"/>
      <c r="AF678" s="70"/>
      <c r="AG678" s="46"/>
      <c r="AH678" s="70"/>
      <c r="AI678" s="46"/>
      <c r="AJ678" s="46"/>
      <c r="AK678" s="46"/>
      <c r="AL678" s="46"/>
      <c r="AM678" s="46">
        <v>1</v>
      </c>
      <c r="AN678" s="46">
        <v>1</v>
      </c>
      <c r="AO678" s="46"/>
      <c r="AP678" s="46"/>
      <c r="AQ678" s="69"/>
      <c r="AR678" s="69">
        <v>2</v>
      </c>
      <c r="AS678" s="69"/>
      <c r="AT678" s="69"/>
      <c r="AU678" s="69"/>
      <c r="AV678" s="69"/>
      <c r="AW678" s="69"/>
      <c r="AX678" s="71"/>
      <c r="AY678" s="18"/>
      <c r="AZ678" s="18"/>
    </row>
    <row r="679" spans="2:53" ht="16.5" customHeight="1" thickBot="1" x14ac:dyDescent="0.3">
      <c r="B679" s="1" t="s">
        <v>2</v>
      </c>
      <c r="C679" s="10">
        <v>2</v>
      </c>
      <c r="D679">
        <f>C679</f>
        <v>2</v>
      </c>
      <c r="F679" s="1" t="s">
        <v>2</v>
      </c>
      <c r="G679" s="87"/>
      <c r="H679" s="46"/>
      <c r="I679" s="46"/>
      <c r="J679" s="70"/>
      <c r="K679" s="69"/>
      <c r="L679" s="46"/>
      <c r="M679" s="46"/>
      <c r="N679" s="46"/>
      <c r="O679" s="69"/>
      <c r="P679" s="70"/>
      <c r="Q679" s="69"/>
      <c r="R679" s="46">
        <v>1</v>
      </c>
      <c r="S679" s="46"/>
      <c r="T679" s="46"/>
      <c r="U679" s="46"/>
      <c r="V679" s="46"/>
      <c r="W679" s="46"/>
      <c r="X679" s="70"/>
      <c r="Y679" s="87"/>
      <c r="Z679" s="46"/>
      <c r="AA679" s="46"/>
      <c r="AB679" s="46"/>
      <c r="AC679" s="69"/>
      <c r="AD679" s="46"/>
      <c r="AE679" s="46"/>
      <c r="AF679" s="70"/>
      <c r="AG679" s="46"/>
      <c r="AH679" s="70"/>
      <c r="AI679" s="46"/>
      <c r="AJ679" s="46"/>
      <c r="AK679" s="46">
        <v>1</v>
      </c>
      <c r="AL679" s="46"/>
      <c r="AM679" s="46">
        <v>1</v>
      </c>
      <c r="AN679" s="46"/>
      <c r="AO679" s="46"/>
      <c r="AP679" s="46"/>
      <c r="AQ679" s="69"/>
      <c r="AR679" s="69">
        <v>1</v>
      </c>
      <c r="AS679" s="69"/>
      <c r="AT679" s="69"/>
      <c r="AU679" s="69"/>
      <c r="AV679" s="69">
        <v>1</v>
      </c>
      <c r="AW679" s="69"/>
      <c r="AX679" s="71"/>
      <c r="AY679" s="18"/>
      <c r="AZ679" s="18"/>
    </row>
    <row r="680" spans="2:53" ht="16.5" customHeight="1" thickBot="1" x14ac:dyDescent="0.3">
      <c r="B680" s="1" t="s">
        <v>3</v>
      </c>
      <c r="C680" s="10"/>
      <c r="D680" s="7">
        <f t="shared" si="74"/>
        <v>0</v>
      </c>
      <c r="F680" s="1" t="s">
        <v>3</v>
      </c>
      <c r="G680" s="88"/>
      <c r="H680" s="73"/>
      <c r="I680" s="73"/>
      <c r="J680" s="74"/>
      <c r="K680" s="72"/>
      <c r="L680" s="73"/>
      <c r="M680" s="73"/>
      <c r="N680" s="73"/>
      <c r="O680" s="72"/>
      <c r="P680" s="74"/>
      <c r="Q680" s="72"/>
      <c r="R680" s="73"/>
      <c r="S680" s="73"/>
      <c r="T680" s="73"/>
      <c r="U680" s="73"/>
      <c r="V680" s="73"/>
      <c r="W680" s="73"/>
      <c r="X680" s="74"/>
      <c r="Y680" s="88"/>
      <c r="Z680" s="73"/>
      <c r="AA680" s="73"/>
      <c r="AB680" s="73"/>
      <c r="AC680" s="72"/>
      <c r="AD680" s="73"/>
      <c r="AE680" s="73"/>
      <c r="AF680" s="74"/>
      <c r="AG680" s="73"/>
      <c r="AH680" s="74"/>
      <c r="AI680" s="73"/>
      <c r="AJ680" s="73"/>
      <c r="AK680" s="73"/>
      <c r="AL680" s="73"/>
      <c r="AM680" s="73"/>
      <c r="AN680" s="73"/>
      <c r="AO680" s="73"/>
      <c r="AP680" s="73"/>
      <c r="AQ680" s="72"/>
      <c r="AR680" s="72"/>
      <c r="AS680" s="72"/>
      <c r="AT680" s="72"/>
      <c r="AU680" s="72"/>
      <c r="AV680" s="72"/>
      <c r="AW680" s="72"/>
      <c r="AX680" s="75"/>
      <c r="AY680" s="19"/>
      <c r="AZ680" s="19"/>
    </row>
    <row r="681" spans="2:53" ht="21" customHeight="1" x14ac:dyDescent="0.25">
      <c r="B681" s="2"/>
      <c r="C681" s="3" t="s">
        <v>25</v>
      </c>
      <c r="D681" s="9">
        <f>SUM(D677:D680)</f>
        <v>4</v>
      </c>
      <c r="G681" s="85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85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</row>
    <row r="682" spans="2:53" x14ac:dyDescent="0.25"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</row>
    <row r="683" spans="2:53" ht="15.75" x14ac:dyDescent="0.25">
      <c r="G683" s="100" t="s">
        <v>22</v>
      </c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1" t="s">
        <v>21</v>
      </c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46"/>
      <c r="AR683" s="46"/>
      <c r="AS683" s="46"/>
      <c r="AT683" s="46"/>
      <c r="AU683" s="46"/>
      <c r="AV683" s="46"/>
      <c r="AW683" s="46"/>
      <c r="AX683" s="46"/>
    </row>
    <row r="684" spans="2:53" ht="32.25" thickBot="1" x14ac:dyDescent="0.3">
      <c r="G684" s="102" t="s">
        <v>14</v>
      </c>
      <c r="H684" s="102"/>
      <c r="I684" s="102"/>
      <c r="J684" s="102"/>
      <c r="K684" s="102" t="s">
        <v>15</v>
      </c>
      <c r="L684" s="102"/>
      <c r="M684" s="102"/>
      <c r="N684" s="102"/>
      <c r="O684" s="102" t="s">
        <v>59</v>
      </c>
      <c r="P684" s="102"/>
      <c r="Q684" s="102" t="s">
        <v>16</v>
      </c>
      <c r="R684" s="102"/>
      <c r="S684" s="102"/>
      <c r="T684" s="102"/>
      <c r="U684" s="102"/>
      <c r="V684" s="102"/>
      <c r="W684" s="102"/>
      <c r="X684" s="102"/>
      <c r="Y684" s="102" t="s">
        <v>14</v>
      </c>
      <c r="Z684" s="102"/>
      <c r="AA684" s="102"/>
      <c r="AB684" s="102"/>
      <c r="AC684" s="102" t="s">
        <v>15</v>
      </c>
      <c r="AD684" s="102"/>
      <c r="AE684" s="102"/>
      <c r="AF684" s="102"/>
      <c r="AG684" s="102" t="s">
        <v>59</v>
      </c>
      <c r="AH684" s="102"/>
      <c r="AI684" s="102" t="s">
        <v>16</v>
      </c>
      <c r="AJ684" s="102"/>
      <c r="AK684" s="102"/>
      <c r="AL684" s="102"/>
      <c r="AM684" s="102"/>
      <c r="AN684" s="102"/>
      <c r="AO684" s="102"/>
      <c r="AP684" s="102"/>
      <c r="AQ684" s="76" t="s">
        <v>60</v>
      </c>
      <c r="AR684" s="76" t="s">
        <v>70</v>
      </c>
      <c r="AS684" s="76" t="s">
        <v>65</v>
      </c>
      <c r="AT684" s="76" t="s">
        <v>61</v>
      </c>
      <c r="AU684" s="76" t="s">
        <v>62</v>
      </c>
      <c r="AV684" s="76" t="s">
        <v>27</v>
      </c>
      <c r="AW684" s="76" t="s">
        <v>64</v>
      </c>
      <c r="AX684" s="76" t="s">
        <v>63</v>
      </c>
      <c r="AY684" s="76" t="s">
        <v>66</v>
      </c>
      <c r="AZ684" s="76" t="s">
        <v>67</v>
      </c>
    </row>
    <row r="685" spans="2:53" ht="48" thickBot="1" x14ac:dyDescent="0.3">
      <c r="B685" s="20">
        <v>0.781250000000002</v>
      </c>
      <c r="C685" s="14" t="s">
        <v>13</v>
      </c>
      <c r="D685" s="8" t="s">
        <v>6</v>
      </c>
      <c r="F685" s="13"/>
      <c r="G685" s="81" t="s">
        <v>20</v>
      </c>
      <c r="H685" s="64" t="s">
        <v>17</v>
      </c>
      <c r="I685" s="64" t="s">
        <v>19</v>
      </c>
      <c r="J685" s="64" t="s">
        <v>18</v>
      </c>
      <c r="K685" s="64" t="s">
        <v>52</v>
      </c>
      <c r="L685" s="64" t="s">
        <v>51</v>
      </c>
      <c r="M685" s="64" t="s">
        <v>53</v>
      </c>
      <c r="N685" s="64" t="s">
        <v>54</v>
      </c>
      <c r="O685" s="64" t="s">
        <v>20</v>
      </c>
      <c r="P685" s="64" t="s">
        <v>19</v>
      </c>
      <c r="Q685" s="64" t="s">
        <v>55</v>
      </c>
      <c r="R685" s="64" t="s">
        <v>56</v>
      </c>
      <c r="S685" s="64" t="s">
        <v>52</v>
      </c>
      <c r="T685" s="64" t="s">
        <v>51</v>
      </c>
      <c r="U685" s="64" t="s">
        <v>57</v>
      </c>
      <c r="V685" s="64" t="s">
        <v>58</v>
      </c>
      <c r="W685" s="64" t="s">
        <v>53</v>
      </c>
      <c r="X685" s="64" t="s">
        <v>54</v>
      </c>
      <c r="Y685" s="81" t="s">
        <v>20</v>
      </c>
      <c r="Z685" s="64" t="s">
        <v>17</v>
      </c>
      <c r="AA685" s="64" t="s">
        <v>19</v>
      </c>
      <c r="AB685" s="64" t="s">
        <v>18</v>
      </c>
      <c r="AC685" s="64" t="s">
        <v>52</v>
      </c>
      <c r="AD685" s="64" t="s">
        <v>51</v>
      </c>
      <c r="AE685" s="64" t="s">
        <v>53</v>
      </c>
      <c r="AF685" s="64" t="s">
        <v>54</v>
      </c>
      <c r="AG685" s="64" t="s">
        <v>20</v>
      </c>
      <c r="AH685" s="64" t="s">
        <v>19</v>
      </c>
      <c r="AI685" s="64" t="s">
        <v>55</v>
      </c>
      <c r="AJ685" s="64" t="s">
        <v>56</v>
      </c>
      <c r="AK685" s="64" t="s">
        <v>52</v>
      </c>
      <c r="AL685" s="64" t="s">
        <v>51</v>
      </c>
      <c r="AM685" s="64" t="s">
        <v>57</v>
      </c>
      <c r="AN685" s="64" t="s">
        <v>58</v>
      </c>
      <c r="AO685" s="64" t="s">
        <v>53</v>
      </c>
      <c r="AP685" s="64" t="s">
        <v>54</v>
      </c>
      <c r="AQ685" s="46"/>
      <c r="AR685" s="46"/>
      <c r="AS685" s="46"/>
      <c r="AT685" s="46"/>
      <c r="AU685" s="46"/>
      <c r="AV685" s="46"/>
      <c r="AW685" s="46"/>
      <c r="AX685" s="46"/>
    </row>
    <row r="686" spans="2:53" ht="16.5" customHeight="1" thickBot="1" x14ac:dyDescent="0.3">
      <c r="B686" s="1" t="s">
        <v>0</v>
      </c>
      <c r="C686" s="10"/>
      <c r="D686">
        <f>C686</f>
        <v>0</v>
      </c>
      <c r="F686" s="12" t="s">
        <v>0</v>
      </c>
      <c r="G686" s="86"/>
      <c r="H686" s="66"/>
      <c r="I686" s="66"/>
      <c r="J686" s="67"/>
      <c r="K686" s="65"/>
      <c r="L686" s="66"/>
      <c r="M686" s="66"/>
      <c r="N686" s="66"/>
      <c r="O686" s="65"/>
      <c r="P686" s="67"/>
      <c r="Q686" s="65"/>
      <c r="R686" s="66"/>
      <c r="S686" s="66"/>
      <c r="T686" s="66"/>
      <c r="U686" s="66"/>
      <c r="V686" s="66"/>
      <c r="W686" s="66"/>
      <c r="X686" s="67"/>
      <c r="Y686" s="86"/>
      <c r="Z686" s="66"/>
      <c r="AA686" s="66"/>
      <c r="AB686" s="66"/>
      <c r="AC686" s="65"/>
      <c r="AD686" s="66"/>
      <c r="AE686" s="66"/>
      <c r="AF686" s="67"/>
      <c r="AG686" s="66"/>
      <c r="AH686" s="67"/>
      <c r="AI686" s="66"/>
      <c r="AJ686" s="66"/>
      <c r="AK686" s="66"/>
      <c r="AL686" s="66"/>
      <c r="AM686" s="66"/>
      <c r="AN686" s="66"/>
      <c r="AO686" s="66"/>
      <c r="AP686" s="66"/>
      <c r="AQ686" s="65"/>
      <c r="AR686" s="65"/>
      <c r="AS686" s="65"/>
      <c r="AT686" s="65"/>
      <c r="AU686" s="65"/>
      <c r="AV686" s="65"/>
      <c r="AW686" s="65"/>
      <c r="AX686" s="68"/>
      <c r="AY686" s="17"/>
      <c r="AZ686" s="17"/>
      <c r="BA686" t="s">
        <v>89</v>
      </c>
    </row>
    <row r="687" spans="2:53" ht="16.5" customHeight="1" thickBot="1" x14ac:dyDescent="0.3">
      <c r="B687" s="1" t="s">
        <v>1</v>
      </c>
      <c r="C687" s="10">
        <v>2</v>
      </c>
      <c r="D687">
        <f t="shared" ref="D687:D689" si="75">C687</f>
        <v>2</v>
      </c>
      <c r="F687" s="1" t="s">
        <v>1</v>
      </c>
      <c r="G687" s="87"/>
      <c r="H687" s="46"/>
      <c r="I687" s="46"/>
      <c r="J687" s="70"/>
      <c r="K687" s="69"/>
      <c r="L687" s="46"/>
      <c r="M687" s="46"/>
      <c r="N687" s="46"/>
      <c r="O687" s="69"/>
      <c r="P687" s="70"/>
      <c r="Q687" s="69"/>
      <c r="R687" s="46"/>
      <c r="S687" s="46"/>
      <c r="T687" s="46">
        <v>1</v>
      </c>
      <c r="U687" s="46"/>
      <c r="V687" s="46"/>
      <c r="W687" s="46"/>
      <c r="X687" s="70"/>
      <c r="Y687" s="87"/>
      <c r="Z687" s="46"/>
      <c r="AA687" s="46"/>
      <c r="AB687" s="46"/>
      <c r="AC687" s="69"/>
      <c r="AD687" s="46"/>
      <c r="AE687" s="46"/>
      <c r="AF687" s="70"/>
      <c r="AG687" s="46"/>
      <c r="AH687" s="70"/>
      <c r="AI687" s="46"/>
      <c r="AJ687" s="46"/>
      <c r="AK687" s="46"/>
      <c r="AL687" s="46"/>
      <c r="AM687" s="46"/>
      <c r="AN687" s="46"/>
      <c r="AO687" s="46">
        <v>1</v>
      </c>
      <c r="AP687" s="46"/>
      <c r="AQ687" s="69"/>
      <c r="AR687" s="69"/>
      <c r="AS687" s="69"/>
      <c r="AT687" s="69"/>
      <c r="AU687" s="69">
        <v>1</v>
      </c>
      <c r="AV687" s="69"/>
      <c r="AW687" s="69"/>
      <c r="AX687" s="71"/>
      <c r="AY687" s="18"/>
      <c r="AZ687" s="18"/>
    </row>
    <row r="688" spans="2:53" ht="16.5" customHeight="1" thickBot="1" x14ac:dyDescent="0.3">
      <c r="B688" s="1" t="s">
        <v>2</v>
      </c>
      <c r="C688" s="10"/>
      <c r="D688">
        <f>C688</f>
        <v>0</v>
      </c>
      <c r="F688" s="1" t="s">
        <v>2</v>
      </c>
      <c r="G688" s="87"/>
      <c r="H688" s="46"/>
      <c r="I688" s="46"/>
      <c r="J688" s="70"/>
      <c r="K688" s="69"/>
      <c r="L688" s="46"/>
      <c r="M688" s="46"/>
      <c r="N688" s="46"/>
      <c r="O688" s="69"/>
      <c r="P688" s="70"/>
      <c r="Q688" s="69"/>
      <c r="R688" s="46"/>
      <c r="S688" s="46"/>
      <c r="T688" s="46"/>
      <c r="U688" s="46"/>
      <c r="V688" s="46"/>
      <c r="W688" s="46"/>
      <c r="X688" s="70"/>
      <c r="Y688" s="87"/>
      <c r="Z688" s="46"/>
      <c r="AA688" s="46"/>
      <c r="AB688" s="46"/>
      <c r="AC688" s="69"/>
      <c r="AD688" s="46"/>
      <c r="AE688" s="46"/>
      <c r="AF688" s="70"/>
      <c r="AG688" s="46"/>
      <c r="AH688" s="70"/>
      <c r="AI688" s="46"/>
      <c r="AJ688" s="46"/>
      <c r="AK688" s="46"/>
      <c r="AL688" s="46"/>
      <c r="AM688" s="46"/>
      <c r="AN688" s="46"/>
      <c r="AO688" s="46"/>
      <c r="AP688" s="46"/>
      <c r="AQ688" s="69"/>
      <c r="AR688" s="69"/>
      <c r="AS688" s="69"/>
      <c r="AT688" s="69"/>
      <c r="AU688" s="69"/>
      <c r="AV688" s="69"/>
      <c r="AW688" s="69"/>
      <c r="AX688" s="71"/>
      <c r="AY688" s="18"/>
      <c r="AZ688" s="18"/>
    </row>
    <row r="689" spans="2:54" ht="16.5" customHeight="1" thickBot="1" x14ac:dyDescent="0.3">
      <c r="B689" s="1" t="s">
        <v>3</v>
      </c>
      <c r="C689" s="10"/>
      <c r="D689" s="7">
        <f t="shared" si="75"/>
        <v>0</v>
      </c>
      <c r="F689" s="1" t="s">
        <v>3</v>
      </c>
      <c r="G689" s="88"/>
      <c r="H689" s="73"/>
      <c r="I689" s="73"/>
      <c r="J689" s="74"/>
      <c r="K689" s="72"/>
      <c r="L689" s="73"/>
      <c r="M689" s="73"/>
      <c r="N689" s="73"/>
      <c r="O689" s="72"/>
      <c r="P689" s="74"/>
      <c r="Q689" s="72"/>
      <c r="R689" s="73"/>
      <c r="S689" s="73"/>
      <c r="T689" s="73"/>
      <c r="U689" s="73"/>
      <c r="V689" s="73"/>
      <c r="W689" s="73"/>
      <c r="X689" s="74"/>
      <c r="Y689" s="88"/>
      <c r="Z689" s="73"/>
      <c r="AA689" s="73"/>
      <c r="AB689" s="73"/>
      <c r="AC689" s="72"/>
      <c r="AD689" s="73"/>
      <c r="AE689" s="73"/>
      <c r="AF689" s="74"/>
      <c r="AG689" s="73"/>
      <c r="AH689" s="74"/>
      <c r="AI689" s="73"/>
      <c r="AJ689" s="73"/>
      <c r="AK689" s="73"/>
      <c r="AL689" s="73"/>
      <c r="AM689" s="73"/>
      <c r="AN689" s="73"/>
      <c r="AO689" s="73"/>
      <c r="AP689" s="73"/>
      <c r="AQ689" s="72"/>
      <c r="AR689" s="72"/>
      <c r="AS689" s="72"/>
      <c r="AT689" s="72"/>
      <c r="AU689" s="72"/>
      <c r="AV689" s="72"/>
      <c r="AW689" s="72"/>
      <c r="AX689" s="75"/>
      <c r="AY689" s="19"/>
      <c r="AZ689" s="19"/>
    </row>
    <row r="690" spans="2:54" ht="21" customHeight="1" x14ac:dyDescent="0.25">
      <c r="B690" s="2"/>
      <c r="C690" s="3" t="s">
        <v>25</v>
      </c>
      <c r="D690" s="9">
        <f>SUM(D686:D689)</f>
        <v>2</v>
      </c>
      <c r="G690" s="85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85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</row>
    <row r="691" spans="2:54" x14ac:dyDescent="0.25"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</row>
    <row r="692" spans="2:54" ht="15.75" x14ac:dyDescent="0.25">
      <c r="G692" s="100" t="s">
        <v>22</v>
      </c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1" t="s">
        <v>21</v>
      </c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46"/>
      <c r="AR692" s="46"/>
      <c r="AS692" s="46"/>
      <c r="AT692" s="46"/>
      <c r="AU692" s="46"/>
      <c r="AV692" s="46"/>
      <c r="AW692" s="46"/>
      <c r="AX692" s="46"/>
    </row>
    <row r="693" spans="2:54" ht="32.25" thickBot="1" x14ac:dyDescent="0.3">
      <c r="G693" s="102" t="s">
        <v>14</v>
      </c>
      <c r="H693" s="102"/>
      <c r="I693" s="102"/>
      <c r="J693" s="102"/>
      <c r="K693" s="102" t="s">
        <v>15</v>
      </c>
      <c r="L693" s="102"/>
      <c r="M693" s="102"/>
      <c r="N693" s="102"/>
      <c r="O693" s="102" t="s">
        <v>59</v>
      </c>
      <c r="P693" s="102"/>
      <c r="Q693" s="102" t="s">
        <v>16</v>
      </c>
      <c r="R693" s="102"/>
      <c r="S693" s="102"/>
      <c r="T693" s="102"/>
      <c r="U693" s="102"/>
      <c r="V693" s="102"/>
      <c r="W693" s="102"/>
      <c r="X693" s="102"/>
      <c r="Y693" s="102" t="s">
        <v>14</v>
      </c>
      <c r="Z693" s="102"/>
      <c r="AA693" s="102"/>
      <c r="AB693" s="102"/>
      <c r="AC693" s="102" t="s">
        <v>15</v>
      </c>
      <c r="AD693" s="102"/>
      <c r="AE693" s="102"/>
      <c r="AF693" s="102"/>
      <c r="AG693" s="102" t="s">
        <v>59</v>
      </c>
      <c r="AH693" s="102"/>
      <c r="AI693" s="102" t="s">
        <v>16</v>
      </c>
      <c r="AJ693" s="102"/>
      <c r="AK693" s="102"/>
      <c r="AL693" s="102"/>
      <c r="AM693" s="102"/>
      <c r="AN693" s="102"/>
      <c r="AO693" s="102"/>
      <c r="AP693" s="102"/>
      <c r="AQ693" s="76" t="s">
        <v>60</v>
      </c>
      <c r="AR693" s="76" t="s">
        <v>70</v>
      </c>
      <c r="AS693" s="76" t="s">
        <v>65</v>
      </c>
      <c r="AT693" s="76" t="s">
        <v>61</v>
      </c>
      <c r="AU693" s="76" t="s">
        <v>62</v>
      </c>
      <c r="AV693" s="76" t="s">
        <v>27</v>
      </c>
      <c r="AW693" s="76" t="s">
        <v>64</v>
      </c>
      <c r="AX693" s="76" t="s">
        <v>63</v>
      </c>
      <c r="AY693" s="76" t="s">
        <v>66</v>
      </c>
      <c r="AZ693" s="76" t="s">
        <v>67</v>
      </c>
    </row>
    <row r="694" spans="2:54" ht="48" thickBot="1" x14ac:dyDescent="0.3">
      <c r="B694" s="21">
        <v>0.79166666666666896</v>
      </c>
      <c r="C694" s="14" t="s">
        <v>13</v>
      </c>
      <c r="D694" s="8" t="s">
        <v>6</v>
      </c>
      <c r="F694" s="13"/>
      <c r="G694" s="81" t="s">
        <v>20</v>
      </c>
      <c r="H694" s="64" t="s">
        <v>17</v>
      </c>
      <c r="I694" s="64" t="s">
        <v>19</v>
      </c>
      <c r="J694" s="64" t="s">
        <v>18</v>
      </c>
      <c r="K694" s="64" t="s">
        <v>52</v>
      </c>
      <c r="L694" s="64" t="s">
        <v>51</v>
      </c>
      <c r="M694" s="64" t="s">
        <v>53</v>
      </c>
      <c r="N694" s="64" t="s">
        <v>54</v>
      </c>
      <c r="O694" s="64" t="s">
        <v>20</v>
      </c>
      <c r="P694" s="64" t="s">
        <v>19</v>
      </c>
      <c r="Q694" s="64" t="s">
        <v>55</v>
      </c>
      <c r="R694" s="64" t="s">
        <v>56</v>
      </c>
      <c r="S694" s="64" t="s">
        <v>52</v>
      </c>
      <c r="T694" s="64" t="s">
        <v>51</v>
      </c>
      <c r="U694" s="64" t="s">
        <v>57</v>
      </c>
      <c r="V694" s="64" t="s">
        <v>58</v>
      </c>
      <c r="W694" s="64" t="s">
        <v>53</v>
      </c>
      <c r="X694" s="64" t="s">
        <v>54</v>
      </c>
      <c r="Y694" s="81" t="s">
        <v>20</v>
      </c>
      <c r="Z694" s="64" t="s">
        <v>17</v>
      </c>
      <c r="AA694" s="64" t="s">
        <v>19</v>
      </c>
      <c r="AB694" s="64" t="s">
        <v>18</v>
      </c>
      <c r="AC694" s="64" t="s">
        <v>52</v>
      </c>
      <c r="AD694" s="64" t="s">
        <v>51</v>
      </c>
      <c r="AE694" s="64" t="s">
        <v>53</v>
      </c>
      <c r="AF694" s="64" t="s">
        <v>54</v>
      </c>
      <c r="AG694" s="64" t="s">
        <v>20</v>
      </c>
      <c r="AH694" s="64" t="s">
        <v>19</v>
      </c>
      <c r="AI694" s="64" t="s">
        <v>55</v>
      </c>
      <c r="AJ694" s="64" t="s">
        <v>56</v>
      </c>
      <c r="AK694" s="64" t="s">
        <v>52</v>
      </c>
      <c r="AL694" s="64" t="s">
        <v>51</v>
      </c>
      <c r="AM694" s="64" t="s">
        <v>57</v>
      </c>
      <c r="AN694" s="64" t="s">
        <v>58</v>
      </c>
      <c r="AO694" s="64" t="s">
        <v>53</v>
      </c>
      <c r="AP694" s="64" t="s">
        <v>54</v>
      </c>
      <c r="AQ694" s="46"/>
      <c r="AR694" s="46"/>
      <c r="AS694" s="46"/>
      <c r="AT694" s="46"/>
      <c r="AU694" s="46"/>
      <c r="AV694" s="46"/>
      <c r="AW694" s="46"/>
      <c r="AX694" s="46"/>
    </row>
    <row r="695" spans="2:54" ht="16.5" customHeight="1" thickBot="1" x14ac:dyDescent="0.3">
      <c r="B695" s="1" t="s">
        <v>0</v>
      </c>
      <c r="C695" s="10">
        <v>1</v>
      </c>
      <c r="D695">
        <f>C695</f>
        <v>1</v>
      </c>
      <c r="F695" s="12" t="s">
        <v>0</v>
      </c>
      <c r="G695" s="86"/>
      <c r="H695" s="66"/>
      <c r="I695" s="66"/>
      <c r="J695" s="67"/>
      <c r="K695" s="65"/>
      <c r="L695" s="66"/>
      <c r="M695" s="66"/>
      <c r="N695" s="66"/>
      <c r="O695" s="65"/>
      <c r="P695" s="67"/>
      <c r="Q695" s="65"/>
      <c r="R695" s="66">
        <v>1</v>
      </c>
      <c r="S695" s="66"/>
      <c r="T695" s="66"/>
      <c r="U695" s="66"/>
      <c r="V695" s="66"/>
      <c r="W695" s="66"/>
      <c r="X695" s="67"/>
      <c r="Y695" s="86"/>
      <c r="Z695" s="66"/>
      <c r="AA695" s="66"/>
      <c r="AB695" s="66"/>
      <c r="AC695" s="65"/>
      <c r="AD695" s="66"/>
      <c r="AE695" s="66"/>
      <c r="AF695" s="67"/>
      <c r="AG695" s="66"/>
      <c r="AH695" s="67"/>
      <c r="AI695" s="66"/>
      <c r="AJ695" s="66"/>
      <c r="AK695" s="66"/>
      <c r="AL695" s="66"/>
      <c r="AM695" s="66">
        <v>1</v>
      </c>
      <c r="AN695" s="66"/>
      <c r="AO695" s="66"/>
      <c r="AP695" s="66"/>
      <c r="AQ695" s="65"/>
      <c r="AR695" s="65">
        <v>2</v>
      </c>
      <c r="AS695" s="65"/>
      <c r="AT695" s="65"/>
      <c r="AU695" s="65"/>
      <c r="AV695" s="65"/>
      <c r="AW695" s="65"/>
      <c r="AX695" s="68"/>
      <c r="AY695" s="17"/>
      <c r="AZ695" s="17"/>
    </row>
    <row r="696" spans="2:54" ht="16.5" customHeight="1" thickBot="1" x14ac:dyDescent="0.3">
      <c r="B696" s="1" t="s">
        <v>1</v>
      </c>
      <c r="C696" s="10"/>
      <c r="D696">
        <f t="shared" ref="D696:D698" si="76">C696</f>
        <v>0</v>
      </c>
      <c r="F696" s="1" t="s">
        <v>1</v>
      </c>
      <c r="G696" s="87"/>
      <c r="H696" s="46"/>
      <c r="I696" s="46"/>
      <c r="J696" s="70"/>
      <c r="K696" s="69"/>
      <c r="L696" s="46"/>
      <c r="M696" s="46"/>
      <c r="N696" s="46"/>
      <c r="O696" s="69"/>
      <c r="P696" s="70"/>
      <c r="Q696" s="69"/>
      <c r="R696" s="46"/>
      <c r="S696" s="46"/>
      <c r="T696" s="46"/>
      <c r="U696" s="46"/>
      <c r="V696" s="46"/>
      <c r="W696" s="46"/>
      <c r="X696" s="70"/>
      <c r="Y696" s="87"/>
      <c r="Z696" s="46"/>
      <c r="AA696" s="46"/>
      <c r="AB696" s="46"/>
      <c r="AC696" s="69"/>
      <c r="AD696" s="46"/>
      <c r="AE696" s="46"/>
      <c r="AF696" s="70"/>
      <c r="AG696" s="46"/>
      <c r="AH696" s="70"/>
      <c r="AI696" s="46"/>
      <c r="AJ696" s="46"/>
      <c r="AK696" s="46"/>
      <c r="AL696" s="46"/>
      <c r="AM696" s="46"/>
      <c r="AN696" s="46"/>
      <c r="AO696" s="46"/>
      <c r="AP696" s="46"/>
      <c r="AQ696" s="69"/>
      <c r="AR696" s="69"/>
      <c r="AS696" s="69"/>
      <c r="AT696" s="69"/>
      <c r="AU696" s="69"/>
      <c r="AV696" s="69"/>
      <c r="AW696" s="69"/>
      <c r="AX696" s="71"/>
      <c r="AY696" s="18"/>
      <c r="AZ696" s="18"/>
    </row>
    <row r="697" spans="2:54" ht="16.5" customHeight="1" thickBot="1" x14ac:dyDescent="0.3">
      <c r="B697" s="1" t="s">
        <v>2</v>
      </c>
      <c r="C697" s="10"/>
      <c r="D697">
        <f>C697</f>
        <v>0</v>
      </c>
      <c r="F697" s="1" t="s">
        <v>2</v>
      </c>
      <c r="G697" s="87"/>
      <c r="H697" s="46"/>
      <c r="I697" s="46"/>
      <c r="J697" s="70"/>
      <c r="K697" s="69"/>
      <c r="L697" s="46"/>
      <c r="M697" s="46"/>
      <c r="N697" s="46"/>
      <c r="O697" s="69"/>
      <c r="P697" s="70"/>
      <c r="Q697" s="69"/>
      <c r="R697" s="46"/>
      <c r="S697" s="46"/>
      <c r="T697" s="46"/>
      <c r="U697" s="46"/>
      <c r="V697" s="46"/>
      <c r="W697" s="46"/>
      <c r="X697" s="70"/>
      <c r="Y697" s="87"/>
      <c r="Z697" s="46"/>
      <c r="AA697" s="46"/>
      <c r="AB697" s="46"/>
      <c r="AC697" s="69"/>
      <c r="AD697" s="46"/>
      <c r="AE697" s="46"/>
      <c r="AF697" s="70"/>
      <c r="AG697" s="46"/>
      <c r="AH697" s="70"/>
      <c r="AI697" s="46"/>
      <c r="AJ697" s="46"/>
      <c r="AK697" s="46"/>
      <c r="AL697" s="46"/>
      <c r="AM697" s="46"/>
      <c r="AN697" s="46"/>
      <c r="AO697" s="46"/>
      <c r="AP697" s="46"/>
      <c r="AQ697" s="69"/>
      <c r="AR697" s="69"/>
      <c r="AS697" s="69"/>
      <c r="AT697" s="69"/>
      <c r="AU697" s="69"/>
      <c r="AV697" s="69"/>
      <c r="AW697" s="69"/>
      <c r="AX697" s="71"/>
      <c r="AY697" s="18"/>
      <c r="AZ697" s="18"/>
    </row>
    <row r="698" spans="2:54" ht="16.5" customHeight="1" thickBot="1" x14ac:dyDescent="0.3">
      <c r="B698" s="1" t="s">
        <v>3</v>
      </c>
      <c r="C698" s="10"/>
      <c r="D698" s="7">
        <f t="shared" si="76"/>
        <v>0</v>
      </c>
      <c r="F698" s="1" t="s">
        <v>3</v>
      </c>
      <c r="G698" s="88"/>
      <c r="H698" s="73"/>
      <c r="I698" s="73"/>
      <c r="J698" s="74"/>
      <c r="K698" s="72"/>
      <c r="L698" s="73"/>
      <c r="M698" s="73"/>
      <c r="N698" s="73"/>
      <c r="O698" s="72"/>
      <c r="P698" s="74"/>
      <c r="Q698" s="72"/>
      <c r="R698" s="73"/>
      <c r="S698" s="73"/>
      <c r="T698" s="73"/>
      <c r="U698" s="73"/>
      <c r="V698" s="73"/>
      <c r="W698" s="73"/>
      <c r="X698" s="74"/>
      <c r="Y698" s="88"/>
      <c r="Z698" s="73"/>
      <c r="AA698" s="73"/>
      <c r="AB698" s="73"/>
      <c r="AC698" s="72"/>
      <c r="AD698" s="73"/>
      <c r="AE698" s="73"/>
      <c r="AF698" s="74"/>
      <c r="AG698" s="73"/>
      <c r="AH698" s="74"/>
      <c r="AI698" s="73"/>
      <c r="AJ698" s="73"/>
      <c r="AK698" s="73"/>
      <c r="AL698" s="73"/>
      <c r="AM698" s="73"/>
      <c r="AN698" s="73"/>
      <c r="AO698" s="73"/>
      <c r="AP698" s="73"/>
      <c r="AQ698" s="72"/>
      <c r="AR698" s="72"/>
      <c r="AS698" s="72"/>
      <c r="AT698" s="72"/>
      <c r="AU698" s="72"/>
      <c r="AV698" s="72"/>
      <c r="AW698" s="72"/>
      <c r="AX698" s="75"/>
      <c r="AY698" s="19"/>
      <c r="AZ698" s="19"/>
    </row>
    <row r="699" spans="2:54" ht="21" customHeight="1" x14ac:dyDescent="0.25">
      <c r="B699" s="2"/>
      <c r="C699" s="3" t="s">
        <v>25</v>
      </c>
      <c r="D699" s="9">
        <f>SUM(D695:D698)</f>
        <v>1</v>
      </c>
      <c r="G699" s="85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85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</row>
    <row r="700" spans="2:54" x14ac:dyDescent="0.25"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</row>
    <row r="701" spans="2:54" ht="15.75" x14ac:dyDescent="0.25">
      <c r="G701" s="100" t="s">
        <v>22</v>
      </c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1" t="s">
        <v>21</v>
      </c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46"/>
      <c r="AR701" s="46"/>
      <c r="AS701" s="46"/>
      <c r="AT701" s="46"/>
      <c r="AU701" s="46"/>
      <c r="AV701" s="46"/>
      <c r="AW701" s="46"/>
      <c r="AX701" s="46"/>
    </row>
    <row r="702" spans="2:54" ht="32.25" thickBot="1" x14ac:dyDescent="0.3">
      <c r="G702" s="102" t="s">
        <v>14</v>
      </c>
      <c r="H702" s="102"/>
      <c r="I702" s="102"/>
      <c r="J702" s="102"/>
      <c r="K702" s="102" t="s">
        <v>15</v>
      </c>
      <c r="L702" s="102"/>
      <c r="M702" s="102"/>
      <c r="N702" s="102"/>
      <c r="O702" s="102" t="s">
        <v>59</v>
      </c>
      <c r="P702" s="102"/>
      <c r="Q702" s="102" t="s">
        <v>16</v>
      </c>
      <c r="R702" s="102"/>
      <c r="S702" s="102"/>
      <c r="T702" s="102"/>
      <c r="U702" s="102"/>
      <c r="V702" s="102"/>
      <c r="W702" s="102"/>
      <c r="X702" s="102"/>
      <c r="Y702" s="102" t="s">
        <v>14</v>
      </c>
      <c r="Z702" s="102"/>
      <c r="AA702" s="102"/>
      <c r="AB702" s="102"/>
      <c r="AC702" s="102" t="s">
        <v>15</v>
      </c>
      <c r="AD702" s="102"/>
      <c r="AE702" s="102"/>
      <c r="AF702" s="102"/>
      <c r="AG702" s="102" t="s">
        <v>59</v>
      </c>
      <c r="AH702" s="102"/>
      <c r="AI702" s="102" t="s">
        <v>16</v>
      </c>
      <c r="AJ702" s="102"/>
      <c r="AK702" s="102"/>
      <c r="AL702" s="102"/>
      <c r="AM702" s="102"/>
      <c r="AN702" s="102"/>
      <c r="AO702" s="102"/>
      <c r="AP702" s="102"/>
      <c r="AQ702" s="76" t="s">
        <v>60</v>
      </c>
      <c r="AR702" s="76" t="s">
        <v>70</v>
      </c>
      <c r="AS702" s="76" t="s">
        <v>65</v>
      </c>
      <c r="AT702" s="76" t="s">
        <v>61</v>
      </c>
      <c r="AU702" s="76" t="s">
        <v>62</v>
      </c>
      <c r="AV702" s="76" t="s">
        <v>27</v>
      </c>
      <c r="AW702" s="76" t="s">
        <v>64</v>
      </c>
      <c r="AX702" s="76" t="s">
        <v>63</v>
      </c>
      <c r="AY702" s="76" t="s">
        <v>66</v>
      </c>
      <c r="AZ702" s="76" t="s">
        <v>67</v>
      </c>
    </row>
    <row r="703" spans="2:54" ht="48" thickBot="1" x14ac:dyDescent="0.3">
      <c r="B703" s="21">
        <v>0.80208333333333603</v>
      </c>
      <c r="C703" s="14" t="s">
        <v>13</v>
      </c>
      <c r="D703" s="8" t="s">
        <v>6</v>
      </c>
      <c r="F703" s="13"/>
      <c r="G703" s="81" t="s">
        <v>20</v>
      </c>
      <c r="H703" s="64" t="s">
        <v>17</v>
      </c>
      <c r="I703" s="64" t="s">
        <v>19</v>
      </c>
      <c r="J703" s="64" t="s">
        <v>18</v>
      </c>
      <c r="K703" s="64" t="s">
        <v>52</v>
      </c>
      <c r="L703" s="64" t="s">
        <v>51</v>
      </c>
      <c r="M703" s="64" t="s">
        <v>53</v>
      </c>
      <c r="N703" s="64" t="s">
        <v>54</v>
      </c>
      <c r="O703" s="64" t="s">
        <v>20</v>
      </c>
      <c r="P703" s="64" t="s">
        <v>19</v>
      </c>
      <c r="Q703" s="64" t="s">
        <v>55</v>
      </c>
      <c r="R703" s="64" t="s">
        <v>56</v>
      </c>
      <c r="S703" s="64" t="s">
        <v>52</v>
      </c>
      <c r="T703" s="64" t="s">
        <v>51</v>
      </c>
      <c r="U703" s="64" t="s">
        <v>57</v>
      </c>
      <c r="V703" s="64" t="s">
        <v>58</v>
      </c>
      <c r="W703" s="64" t="s">
        <v>53</v>
      </c>
      <c r="X703" s="64" t="s">
        <v>54</v>
      </c>
      <c r="Y703" s="81" t="s">
        <v>20</v>
      </c>
      <c r="Z703" s="64" t="s">
        <v>17</v>
      </c>
      <c r="AA703" s="64" t="s">
        <v>19</v>
      </c>
      <c r="AB703" s="64" t="s">
        <v>18</v>
      </c>
      <c r="AC703" s="64" t="s">
        <v>52</v>
      </c>
      <c r="AD703" s="64" t="s">
        <v>51</v>
      </c>
      <c r="AE703" s="64" t="s">
        <v>53</v>
      </c>
      <c r="AF703" s="64" t="s">
        <v>54</v>
      </c>
      <c r="AG703" s="64" t="s">
        <v>20</v>
      </c>
      <c r="AH703" s="64" t="s">
        <v>19</v>
      </c>
      <c r="AI703" s="64" t="s">
        <v>55</v>
      </c>
      <c r="AJ703" s="64" t="s">
        <v>56</v>
      </c>
      <c r="AK703" s="64" t="s">
        <v>52</v>
      </c>
      <c r="AL703" s="64" t="s">
        <v>51</v>
      </c>
      <c r="AM703" s="64" t="s">
        <v>57</v>
      </c>
      <c r="AN703" s="64" t="s">
        <v>58</v>
      </c>
      <c r="AO703" s="64" t="s">
        <v>53</v>
      </c>
      <c r="AP703" s="64" t="s">
        <v>54</v>
      </c>
      <c r="AQ703" s="46"/>
      <c r="AR703" s="46"/>
      <c r="AS703" s="46"/>
      <c r="AT703" s="46"/>
      <c r="AU703" s="46"/>
      <c r="AV703" s="46"/>
      <c r="AW703" s="46"/>
      <c r="AX703" s="46"/>
    </row>
    <row r="704" spans="2:54" ht="16.5" customHeight="1" thickBot="1" x14ac:dyDescent="0.3">
      <c r="B704" s="1" t="s">
        <v>0</v>
      </c>
      <c r="C704" s="10">
        <v>7</v>
      </c>
      <c r="D704">
        <f>C704</f>
        <v>7</v>
      </c>
      <c r="F704" s="12" t="s">
        <v>0</v>
      </c>
      <c r="G704" s="86"/>
      <c r="H704" s="66"/>
      <c r="I704" s="66"/>
      <c r="J704" s="67"/>
      <c r="K704" s="65"/>
      <c r="L704" s="66"/>
      <c r="M704" s="66"/>
      <c r="N704" s="66"/>
      <c r="O704" s="65"/>
      <c r="P704" s="67"/>
      <c r="Q704" s="65"/>
      <c r="R704" s="66"/>
      <c r="S704" s="66"/>
      <c r="T704" s="66">
        <v>3</v>
      </c>
      <c r="U704" s="66">
        <v>1</v>
      </c>
      <c r="V704" s="66"/>
      <c r="W704" s="66">
        <v>3</v>
      </c>
      <c r="X704" s="67"/>
      <c r="Y704" s="86"/>
      <c r="Z704" s="66"/>
      <c r="AA704" s="66"/>
      <c r="AB704" s="66"/>
      <c r="AC704" s="65"/>
      <c r="AD704" s="66"/>
      <c r="AE704" s="66"/>
      <c r="AF704" s="67"/>
      <c r="AG704" s="66"/>
      <c r="AH704" s="67"/>
      <c r="AI704" s="66">
        <v>3</v>
      </c>
      <c r="AJ704" s="66">
        <v>1</v>
      </c>
      <c r="AK704" s="66"/>
      <c r="AL704" s="66"/>
      <c r="AM704" s="66"/>
      <c r="AN704" s="66">
        <v>3</v>
      </c>
      <c r="AO704" s="66"/>
      <c r="AP704" s="66"/>
      <c r="AQ704" s="65">
        <v>1</v>
      </c>
      <c r="AR704" s="65">
        <v>1</v>
      </c>
      <c r="AS704" s="65"/>
      <c r="AT704" s="65"/>
      <c r="AU704" s="65"/>
      <c r="AV704" s="65"/>
      <c r="AW704" s="65">
        <v>2</v>
      </c>
      <c r="AX704" s="68"/>
      <c r="AY704" s="17">
        <v>2</v>
      </c>
      <c r="AZ704" s="17"/>
      <c r="BB704" t="s">
        <v>90</v>
      </c>
    </row>
    <row r="705" spans="2:54" ht="16.5" customHeight="1" thickBot="1" x14ac:dyDescent="0.3">
      <c r="B705" s="1" t="s">
        <v>1</v>
      </c>
      <c r="C705" s="10">
        <v>1</v>
      </c>
      <c r="D705">
        <f t="shared" ref="D705:D707" si="77">C705</f>
        <v>1</v>
      </c>
      <c r="F705" s="1" t="s">
        <v>1</v>
      </c>
      <c r="G705" s="87"/>
      <c r="H705" s="46"/>
      <c r="I705" s="46"/>
      <c r="J705" s="70"/>
      <c r="K705" s="69"/>
      <c r="L705" s="46"/>
      <c r="M705" s="46"/>
      <c r="N705" s="46"/>
      <c r="O705" s="69"/>
      <c r="P705" s="70">
        <v>1</v>
      </c>
      <c r="Q705" s="69"/>
      <c r="R705" s="46"/>
      <c r="S705" s="46"/>
      <c r="T705" s="46"/>
      <c r="U705" s="46"/>
      <c r="V705" s="46"/>
      <c r="W705" s="46"/>
      <c r="X705" s="70"/>
      <c r="Y705" s="87"/>
      <c r="Z705" s="46"/>
      <c r="AA705" s="46"/>
      <c r="AB705" s="46"/>
      <c r="AC705" s="69"/>
      <c r="AD705" s="46">
        <v>1</v>
      </c>
      <c r="AE705" s="46"/>
      <c r="AF705" s="70"/>
      <c r="AG705" s="46"/>
      <c r="AH705" s="70"/>
      <c r="AI705" s="46"/>
      <c r="AJ705" s="46"/>
      <c r="AK705" s="46"/>
      <c r="AL705" s="46"/>
      <c r="AM705" s="46"/>
      <c r="AN705" s="46"/>
      <c r="AO705" s="46"/>
      <c r="AP705" s="46"/>
      <c r="AQ705" s="69"/>
      <c r="AR705" s="69"/>
      <c r="AS705" s="69"/>
      <c r="AT705" s="69"/>
      <c r="AU705" s="69"/>
      <c r="AV705" s="69"/>
      <c r="AW705" s="69"/>
      <c r="AX705" s="71"/>
      <c r="AY705" s="18"/>
      <c r="AZ705" s="18"/>
    </row>
    <row r="706" spans="2:54" ht="16.5" customHeight="1" thickBot="1" x14ac:dyDescent="0.3">
      <c r="B706" s="1" t="s">
        <v>2</v>
      </c>
      <c r="C706" s="10"/>
      <c r="D706">
        <f>C706</f>
        <v>0</v>
      </c>
      <c r="F706" s="1" t="s">
        <v>2</v>
      </c>
      <c r="G706" s="87"/>
      <c r="H706" s="46"/>
      <c r="I706" s="46"/>
      <c r="J706" s="70"/>
      <c r="K706" s="69"/>
      <c r="L706" s="46"/>
      <c r="M706" s="46"/>
      <c r="N706" s="46"/>
      <c r="O706" s="69"/>
      <c r="P706" s="70"/>
      <c r="Q706" s="69"/>
      <c r="R706" s="46"/>
      <c r="S706" s="46"/>
      <c r="T706" s="46"/>
      <c r="U706" s="46"/>
      <c r="V706" s="46"/>
      <c r="W706" s="46"/>
      <c r="X706" s="70"/>
      <c r="Y706" s="87"/>
      <c r="Z706" s="46"/>
      <c r="AA706" s="46"/>
      <c r="AB706" s="46"/>
      <c r="AC706" s="69"/>
      <c r="AD706" s="46"/>
      <c r="AE706" s="46"/>
      <c r="AF706" s="70"/>
      <c r="AG706" s="46"/>
      <c r="AH706" s="70"/>
      <c r="AI706" s="46"/>
      <c r="AJ706" s="46"/>
      <c r="AK706" s="46"/>
      <c r="AL706" s="46"/>
      <c r="AM706" s="46"/>
      <c r="AN706" s="46"/>
      <c r="AO706" s="46"/>
      <c r="AP706" s="46"/>
      <c r="AQ706" s="69"/>
      <c r="AR706" s="69"/>
      <c r="AS706" s="69"/>
      <c r="AT706" s="69"/>
      <c r="AU706" s="69"/>
      <c r="AV706" s="69"/>
      <c r="AW706" s="69"/>
      <c r="AX706" s="71"/>
      <c r="AY706" s="18"/>
      <c r="AZ706" s="18"/>
    </row>
    <row r="707" spans="2:54" ht="16.5" customHeight="1" thickBot="1" x14ac:dyDescent="0.3">
      <c r="B707" s="1" t="s">
        <v>3</v>
      </c>
      <c r="C707" s="10"/>
      <c r="D707" s="7">
        <f t="shared" si="77"/>
        <v>0</v>
      </c>
      <c r="F707" s="1" t="s">
        <v>3</v>
      </c>
      <c r="G707" s="88"/>
      <c r="H707" s="73"/>
      <c r="I707" s="73"/>
      <c r="J707" s="74"/>
      <c r="K707" s="72"/>
      <c r="L707" s="73"/>
      <c r="M707" s="73"/>
      <c r="N707" s="73"/>
      <c r="O707" s="72"/>
      <c r="P707" s="74"/>
      <c r="Q707" s="72"/>
      <c r="R707" s="73"/>
      <c r="S707" s="73"/>
      <c r="T707" s="73"/>
      <c r="U707" s="73"/>
      <c r="V707" s="73"/>
      <c r="W707" s="73"/>
      <c r="X707" s="74"/>
      <c r="Y707" s="88"/>
      <c r="Z707" s="73"/>
      <c r="AA707" s="73"/>
      <c r="AB707" s="73"/>
      <c r="AC707" s="72"/>
      <c r="AD707" s="73"/>
      <c r="AE707" s="73"/>
      <c r="AF707" s="74"/>
      <c r="AG707" s="73"/>
      <c r="AH707" s="74"/>
      <c r="AI707" s="73"/>
      <c r="AJ707" s="73"/>
      <c r="AK707" s="73"/>
      <c r="AL707" s="73"/>
      <c r="AM707" s="73"/>
      <c r="AN707" s="73"/>
      <c r="AO707" s="73"/>
      <c r="AP707" s="73"/>
      <c r="AQ707" s="72"/>
      <c r="AR707" s="72"/>
      <c r="AS707" s="72"/>
      <c r="AT707" s="72"/>
      <c r="AU707" s="72"/>
      <c r="AV707" s="72"/>
      <c r="AW707" s="72"/>
      <c r="AX707" s="75"/>
      <c r="AY707" s="19"/>
      <c r="AZ707" s="19"/>
    </row>
    <row r="708" spans="2:54" ht="21" customHeight="1" x14ac:dyDescent="0.25">
      <c r="B708" s="2"/>
      <c r="C708" s="3" t="s">
        <v>25</v>
      </c>
      <c r="D708" s="9">
        <f>SUM(D704:D707)</f>
        <v>8</v>
      </c>
      <c r="G708" s="85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85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</row>
    <row r="709" spans="2:54" x14ac:dyDescent="0.25"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</row>
    <row r="710" spans="2:54" ht="15.75" x14ac:dyDescent="0.25">
      <c r="G710" s="100" t="s">
        <v>22</v>
      </c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1" t="s">
        <v>21</v>
      </c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46"/>
      <c r="AR710" s="46"/>
      <c r="AS710" s="46"/>
      <c r="AT710" s="46"/>
      <c r="AU710" s="46"/>
      <c r="AV710" s="46"/>
      <c r="AW710" s="46"/>
      <c r="AX710" s="46"/>
    </row>
    <row r="711" spans="2:54" ht="32.25" thickBot="1" x14ac:dyDescent="0.3">
      <c r="G711" s="102" t="s">
        <v>14</v>
      </c>
      <c r="H711" s="102"/>
      <c r="I711" s="102"/>
      <c r="J711" s="102"/>
      <c r="K711" s="102" t="s">
        <v>15</v>
      </c>
      <c r="L711" s="102"/>
      <c r="M711" s="102"/>
      <c r="N711" s="102"/>
      <c r="O711" s="102" t="s">
        <v>59</v>
      </c>
      <c r="P711" s="102"/>
      <c r="Q711" s="102" t="s">
        <v>16</v>
      </c>
      <c r="R711" s="102"/>
      <c r="S711" s="102"/>
      <c r="T711" s="102"/>
      <c r="U711" s="102"/>
      <c r="V711" s="102"/>
      <c r="W711" s="102"/>
      <c r="X711" s="102"/>
      <c r="Y711" s="102" t="s">
        <v>14</v>
      </c>
      <c r="Z711" s="102"/>
      <c r="AA711" s="102"/>
      <c r="AB711" s="102"/>
      <c r="AC711" s="102" t="s">
        <v>15</v>
      </c>
      <c r="AD711" s="102"/>
      <c r="AE711" s="102"/>
      <c r="AF711" s="102"/>
      <c r="AG711" s="102" t="s">
        <v>59</v>
      </c>
      <c r="AH711" s="102"/>
      <c r="AI711" s="102" t="s">
        <v>16</v>
      </c>
      <c r="AJ711" s="102"/>
      <c r="AK711" s="102"/>
      <c r="AL711" s="102"/>
      <c r="AM711" s="102"/>
      <c r="AN711" s="102"/>
      <c r="AO711" s="102"/>
      <c r="AP711" s="102"/>
      <c r="AQ711" s="76" t="s">
        <v>60</v>
      </c>
      <c r="AR711" s="76" t="s">
        <v>70</v>
      </c>
      <c r="AS711" s="76" t="s">
        <v>65</v>
      </c>
      <c r="AT711" s="76" t="s">
        <v>61</v>
      </c>
      <c r="AU711" s="76" t="s">
        <v>62</v>
      </c>
      <c r="AV711" s="76" t="s">
        <v>27</v>
      </c>
      <c r="AW711" s="76" t="s">
        <v>64</v>
      </c>
      <c r="AX711" s="76" t="s">
        <v>63</v>
      </c>
      <c r="AY711" s="76" t="s">
        <v>66</v>
      </c>
      <c r="AZ711" s="76" t="s">
        <v>67</v>
      </c>
    </row>
    <row r="712" spans="2:54" ht="48" thickBot="1" x14ac:dyDescent="0.3">
      <c r="B712" s="21">
        <v>0.812500000000002</v>
      </c>
      <c r="C712" s="14" t="s">
        <v>13</v>
      </c>
      <c r="D712" s="8" t="s">
        <v>6</v>
      </c>
      <c r="F712" s="13"/>
      <c r="G712" s="81" t="s">
        <v>20</v>
      </c>
      <c r="H712" s="64" t="s">
        <v>17</v>
      </c>
      <c r="I712" s="64" t="s">
        <v>19</v>
      </c>
      <c r="J712" s="64" t="s">
        <v>18</v>
      </c>
      <c r="K712" s="64" t="s">
        <v>52</v>
      </c>
      <c r="L712" s="64" t="s">
        <v>51</v>
      </c>
      <c r="M712" s="64" t="s">
        <v>53</v>
      </c>
      <c r="N712" s="64" t="s">
        <v>54</v>
      </c>
      <c r="O712" s="64" t="s">
        <v>20</v>
      </c>
      <c r="P712" s="64" t="s">
        <v>19</v>
      </c>
      <c r="Q712" s="64" t="s">
        <v>55</v>
      </c>
      <c r="R712" s="64" t="s">
        <v>56</v>
      </c>
      <c r="S712" s="64" t="s">
        <v>52</v>
      </c>
      <c r="T712" s="64" t="s">
        <v>51</v>
      </c>
      <c r="U712" s="64" t="s">
        <v>57</v>
      </c>
      <c r="V712" s="64" t="s">
        <v>58</v>
      </c>
      <c r="W712" s="64" t="s">
        <v>53</v>
      </c>
      <c r="X712" s="64" t="s">
        <v>54</v>
      </c>
      <c r="Y712" s="81" t="s">
        <v>20</v>
      </c>
      <c r="Z712" s="64" t="s">
        <v>17</v>
      </c>
      <c r="AA712" s="64" t="s">
        <v>19</v>
      </c>
      <c r="AB712" s="64" t="s">
        <v>18</v>
      </c>
      <c r="AC712" s="64" t="s">
        <v>52</v>
      </c>
      <c r="AD712" s="64" t="s">
        <v>51</v>
      </c>
      <c r="AE712" s="64" t="s">
        <v>53</v>
      </c>
      <c r="AF712" s="64" t="s">
        <v>54</v>
      </c>
      <c r="AG712" s="64" t="s">
        <v>20</v>
      </c>
      <c r="AH712" s="64" t="s">
        <v>19</v>
      </c>
      <c r="AI712" s="64" t="s">
        <v>55</v>
      </c>
      <c r="AJ712" s="64" t="s">
        <v>56</v>
      </c>
      <c r="AK712" s="64" t="s">
        <v>52</v>
      </c>
      <c r="AL712" s="64" t="s">
        <v>51</v>
      </c>
      <c r="AM712" s="64" t="s">
        <v>57</v>
      </c>
      <c r="AN712" s="64" t="s">
        <v>58</v>
      </c>
      <c r="AO712" s="64" t="s">
        <v>53</v>
      </c>
      <c r="AP712" s="64" t="s">
        <v>54</v>
      </c>
      <c r="AQ712" s="46"/>
      <c r="AR712" s="46"/>
      <c r="AS712" s="46"/>
      <c r="AT712" s="46"/>
      <c r="AU712" s="46"/>
      <c r="AV712" s="46"/>
      <c r="AW712" s="46"/>
      <c r="AX712" s="46"/>
    </row>
    <row r="713" spans="2:54" ht="16.5" customHeight="1" thickBot="1" x14ac:dyDescent="0.3">
      <c r="B713" s="1" t="s">
        <v>0</v>
      </c>
      <c r="C713" s="10">
        <v>5</v>
      </c>
      <c r="D713">
        <f>C713</f>
        <v>5</v>
      </c>
      <c r="F713" s="12" t="s">
        <v>0</v>
      </c>
      <c r="G713" s="86"/>
      <c r="H713" s="66"/>
      <c r="I713" s="66"/>
      <c r="J713" s="67"/>
      <c r="K713" s="65"/>
      <c r="L713" s="66"/>
      <c r="M713" s="66"/>
      <c r="N713" s="66"/>
      <c r="O713" s="65"/>
      <c r="P713" s="67">
        <v>2</v>
      </c>
      <c r="Q713" s="65"/>
      <c r="R713" s="66">
        <v>2</v>
      </c>
      <c r="S713" s="66"/>
      <c r="T713" s="66"/>
      <c r="U713" s="66">
        <v>1</v>
      </c>
      <c r="V713" s="66"/>
      <c r="W713" s="66"/>
      <c r="X713" s="67"/>
      <c r="Y713" s="86"/>
      <c r="Z713" s="66"/>
      <c r="AA713" s="66"/>
      <c r="AB713" s="66"/>
      <c r="AC713" s="65"/>
      <c r="AD713" s="66"/>
      <c r="AE713" s="66"/>
      <c r="AF713" s="67"/>
      <c r="AG713" s="66"/>
      <c r="AH713" s="67"/>
      <c r="AI713" s="66"/>
      <c r="AJ713" s="66">
        <v>1</v>
      </c>
      <c r="AK713" s="66">
        <v>2</v>
      </c>
      <c r="AL713" s="66"/>
      <c r="AM713" s="66"/>
      <c r="AN713" s="66"/>
      <c r="AO713" s="66"/>
      <c r="AP713" s="66">
        <v>2</v>
      </c>
      <c r="AQ713" s="65">
        <v>1</v>
      </c>
      <c r="AR713" s="65">
        <v>2</v>
      </c>
      <c r="AS713" s="65"/>
      <c r="AT713" s="65"/>
      <c r="AU713" s="65"/>
      <c r="AV713" s="65"/>
      <c r="AW713" s="65">
        <v>1</v>
      </c>
      <c r="AX713" s="68"/>
      <c r="AY713" s="17"/>
      <c r="AZ713" s="17"/>
      <c r="BB713" t="s">
        <v>91</v>
      </c>
    </row>
    <row r="714" spans="2:54" ht="16.5" customHeight="1" thickBot="1" x14ac:dyDescent="0.3">
      <c r="B714" s="1" t="s">
        <v>1</v>
      </c>
      <c r="C714" s="10">
        <v>3</v>
      </c>
      <c r="D714">
        <f t="shared" ref="D714:D716" si="78">C714</f>
        <v>3</v>
      </c>
      <c r="F714" s="1" t="s">
        <v>1</v>
      </c>
      <c r="G714" s="87"/>
      <c r="H714" s="46"/>
      <c r="I714" s="46"/>
      <c r="J714" s="70"/>
      <c r="K714" s="69"/>
      <c r="L714" s="46"/>
      <c r="M714" s="46"/>
      <c r="N714" s="46"/>
      <c r="O714" s="69"/>
      <c r="P714" s="70">
        <v>3</v>
      </c>
      <c r="Q714" s="69"/>
      <c r="R714" s="46"/>
      <c r="S714" s="46"/>
      <c r="T714" s="46"/>
      <c r="U714" s="46"/>
      <c r="V714" s="46"/>
      <c r="W714" s="46"/>
      <c r="X714" s="70"/>
      <c r="Y714" s="87"/>
      <c r="Z714" s="46"/>
      <c r="AA714" s="46"/>
      <c r="AB714" s="46"/>
      <c r="AC714" s="69"/>
      <c r="AD714" s="46"/>
      <c r="AE714" s="46"/>
      <c r="AF714" s="70"/>
      <c r="AG714" s="46">
        <v>3</v>
      </c>
      <c r="AH714" s="70"/>
      <c r="AI714" s="46"/>
      <c r="AJ714" s="46"/>
      <c r="AK714" s="46"/>
      <c r="AL714" s="46"/>
      <c r="AM714" s="46"/>
      <c r="AN714" s="46"/>
      <c r="AO714" s="46"/>
      <c r="AP714" s="46"/>
      <c r="AQ714" s="69"/>
      <c r="AR714" s="69"/>
      <c r="AS714" s="69"/>
      <c r="AT714" s="69"/>
      <c r="AU714" s="69">
        <v>1</v>
      </c>
      <c r="AV714" s="69"/>
      <c r="AW714" s="69"/>
      <c r="AX714" s="71"/>
      <c r="AY714" s="18"/>
      <c r="AZ714" s="18"/>
    </row>
    <row r="715" spans="2:54" ht="16.5" customHeight="1" thickBot="1" x14ac:dyDescent="0.3">
      <c r="B715" s="1" t="s">
        <v>2</v>
      </c>
      <c r="C715" s="10"/>
      <c r="D715">
        <f>C715</f>
        <v>0</v>
      </c>
      <c r="F715" s="1" t="s">
        <v>2</v>
      </c>
      <c r="G715" s="87"/>
      <c r="H715" s="46"/>
      <c r="I715" s="46"/>
      <c r="J715" s="70"/>
      <c r="K715" s="69"/>
      <c r="L715" s="46"/>
      <c r="M715" s="46"/>
      <c r="N715" s="46"/>
      <c r="O715" s="69"/>
      <c r="P715" s="70"/>
      <c r="Q715" s="69"/>
      <c r="R715" s="46"/>
      <c r="S715" s="46"/>
      <c r="T715" s="46"/>
      <c r="U715" s="46"/>
      <c r="V715" s="46"/>
      <c r="W715" s="46"/>
      <c r="X715" s="70"/>
      <c r="Y715" s="87"/>
      <c r="Z715" s="46"/>
      <c r="AA715" s="46"/>
      <c r="AB715" s="46"/>
      <c r="AC715" s="69"/>
      <c r="AD715" s="46"/>
      <c r="AE715" s="46"/>
      <c r="AF715" s="70"/>
      <c r="AG715" s="46"/>
      <c r="AH715" s="70"/>
      <c r="AI715" s="46"/>
      <c r="AJ715" s="46"/>
      <c r="AK715" s="46"/>
      <c r="AL715" s="46"/>
      <c r="AM715" s="46"/>
      <c r="AN715" s="46"/>
      <c r="AO715" s="46"/>
      <c r="AP715" s="46"/>
      <c r="AQ715" s="69"/>
      <c r="AR715" s="69"/>
      <c r="AS715" s="69"/>
      <c r="AT715" s="69"/>
      <c r="AU715" s="69"/>
      <c r="AV715" s="69"/>
      <c r="AW715" s="69"/>
      <c r="AX715" s="71"/>
      <c r="AY715" s="18"/>
      <c r="AZ715" s="18"/>
    </row>
    <row r="716" spans="2:54" ht="16.5" customHeight="1" thickBot="1" x14ac:dyDescent="0.3">
      <c r="B716" s="1" t="s">
        <v>3</v>
      </c>
      <c r="C716" s="10"/>
      <c r="D716" s="7">
        <f t="shared" si="78"/>
        <v>0</v>
      </c>
      <c r="F716" s="1" t="s">
        <v>3</v>
      </c>
      <c r="G716" s="88"/>
      <c r="H716" s="73"/>
      <c r="I716" s="73"/>
      <c r="J716" s="74"/>
      <c r="K716" s="72"/>
      <c r="L716" s="73"/>
      <c r="M716" s="73"/>
      <c r="N716" s="73"/>
      <c r="O716" s="72"/>
      <c r="P716" s="74"/>
      <c r="Q716" s="72"/>
      <c r="R716" s="73"/>
      <c r="S716" s="73"/>
      <c r="T716" s="73"/>
      <c r="U716" s="73"/>
      <c r="V716" s="73"/>
      <c r="W716" s="73"/>
      <c r="X716" s="74"/>
      <c r="Y716" s="88"/>
      <c r="Z716" s="73"/>
      <c r="AA716" s="73"/>
      <c r="AB716" s="73"/>
      <c r="AC716" s="72"/>
      <c r="AD716" s="73"/>
      <c r="AE716" s="73"/>
      <c r="AF716" s="74"/>
      <c r="AG716" s="73"/>
      <c r="AH716" s="74"/>
      <c r="AI716" s="73"/>
      <c r="AJ716" s="73"/>
      <c r="AK716" s="73"/>
      <c r="AL716" s="73"/>
      <c r="AM716" s="73"/>
      <c r="AN716" s="73"/>
      <c r="AO716" s="73"/>
      <c r="AP716" s="73"/>
      <c r="AQ716" s="72"/>
      <c r="AR716" s="72"/>
      <c r="AS716" s="72"/>
      <c r="AT716" s="72"/>
      <c r="AU716" s="72"/>
      <c r="AV716" s="72"/>
      <c r="AW716" s="72"/>
      <c r="AX716" s="75"/>
      <c r="AY716" s="19"/>
      <c r="AZ716" s="19"/>
    </row>
    <row r="717" spans="2:54" ht="21" customHeight="1" x14ac:dyDescent="0.25">
      <c r="B717" s="2"/>
      <c r="C717" s="3" t="s">
        <v>25</v>
      </c>
      <c r="D717" s="9">
        <f>SUM(D713:D716)</f>
        <v>8</v>
      </c>
      <c r="G717" s="85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85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</row>
    <row r="718" spans="2:54" x14ac:dyDescent="0.25"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</row>
    <row r="719" spans="2:54" ht="15.75" x14ac:dyDescent="0.25">
      <c r="G719" s="100" t="s">
        <v>22</v>
      </c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1" t="s">
        <v>21</v>
      </c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46"/>
      <c r="AR719" s="46"/>
      <c r="AS719" s="46"/>
      <c r="AT719" s="46"/>
      <c r="AU719" s="46"/>
      <c r="AV719" s="46"/>
      <c r="AW719" s="46"/>
      <c r="AX719" s="46"/>
    </row>
    <row r="720" spans="2:54" ht="32.25" thickBot="1" x14ac:dyDescent="0.3">
      <c r="G720" s="102" t="s">
        <v>14</v>
      </c>
      <c r="H720" s="102"/>
      <c r="I720" s="102"/>
      <c r="J720" s="102"/>
      <c r="K720" s="102" t="s">
        <v>15</v>
      </c>
      <c r="L720" s="102"/>
      <c r="M720" s="102"/>
      <c r="N720" s="102"/>
      <c r="O720" s="102" t="s">
        <v>59</v>
      </c>
      <c r="P720" s="102"/>
      <c r="Q720" s="102" t="s">
        <v>16</v>
      </c>
      <c r="R720" s="102"/>
      <c r="S720" s="102"/>
      <c r="T720" s="102"/>
      <c r="U720" s="102"/>
      <c r="V720" s="102"/>
      <c r="W720" s="102"/>
      <c r="X720" s="102"/>
      <c r="Y720" s="102" t="s">
        <v>14</v>
      </c>
      <c r="Z720" s="102"/>
      <c r="AA720" s="102"/>
      <c r="AB720" s="102"/>
      <c r="AC720" s="102" t="s">
        <v>15</v>
      </c>
      <c r="AD720" s="102"/>
      <c r="AE720" s="102"/>
      <c r="AF720" s="102"/>
      <c r="AG720" s="102" t="s">
        <v>59</v>
      </c>
      <c r="AH720" s="102"/>
      <c r="AI720" s="102" t="s">
        <v>16</v>
      </c>
      <c r="AJ720" s="102"/>
      <c r="AK720" s="102"/>
      <c r="AL720" s="102"/>
      <c r="AM720" s="102"/>
      <c r="AN720" s="102"/>
      <c r="AO720" s="102"/>
      <c r="AP720" s="102"/>
      <c r="AQ720" s="76" t="s">
        <v>60</v>
      </c>
      <c r="AR720" s="76" t="s">
        <v>70</v>
      </c>
      <c r="AS720" s="76" t="s">
        <v>65</v>
      </c>
      <c r="AT720" s="76" t="s">
        <v>61</v>
      </c>
      <c r="AU720" s="76" t="s">
        <v>62</v>
      </c>
      <c r="AV720" s="76" t="s">
        <v>27</v>
      </c>
      <c r="AW720" s="76" t="s">
        <v>64</v>
      </c>
      <c r="AX720" s="76" t="s">
        <v>63</v>
      </c>
      <c r="AY720" s="76" t="s">
        <v>66</v>
      </c>
      <c r="AZ720" s="76" t="s">
        <v>67</v>
      </c>
    </row>
    <row r="721" spans="2:54" ht="48" thickBot="1" x14ac:dyDescent="0.3">
      <c r="B721" s="21">
        <v>0.82291666666666896</v>
      </c>
      <c r="C721" s="14" t="s">
        <v>13</v>
      </c>
      <c r="D721" s="8" t="s">
        <v>6</v>
      </c>
      <c r="F721" s="13"/>
      <c r="G721" s="81" t="s">
        <v>20</v>
      </c>
      <c r="H721" s="64" t="s">
        <v>17</v>
      </c>
      <c r="I721" s="64" t="s">
        <v>19</v>
      </c>
      <c r="J721" s="64" t="s">
        <v>18</v>
      </c>
      <c r="K721" s="64" t="s">
        <v>52</v>
      </c>
      <c r="L721" s="64" t="s">
        <v>51</v>
      </c>
      <c r="M721" s="64" t="s">
        <v>53</v>
      </c>
      <c r="N721" s="64" t="s">
        <v>54</v>
      </c>
      <c r="O721" s="64" t="s">
        <v>20</v>
      </c>
      <c r="P721" s="64" t="s">
        <v>19</v>
      </c>
      <c r="Q721" s="64" t="s">
        <v>55</v>
      </c>
      <c r="R721" s="64" t="s">
        <v>56</v>
      </c>
      <c r="S721" s="64" t="s">
        <v>52</v>
      </c>
      <c r="T721" s="64" t="s">
        <v>51</v>
      </c>
      <c r="U721" s="64" t="s">
        <v>57</v>
      </c>
      <c r="V721" s="64" t="s">
        <v>58</v>
      </c>
      <c r="W721" s="64" t="s">
        <v>53</v>
      </c>
      <c r="X721" s="64" t="s">
        <v>54</v>
      </c>
      <c r="Y721" s="81" t="s">
        <v>20</v>
      </c>
      <c r="Z721" s="64" t="s">
        <v>17</v>
      </c>
      <c r="AA721" s="64" t="s">
        <v>19</v>
      </c>
      <c r="AB721" s="64" t="s">
        <v>18</v>
      </c>
      <c r="AC721" s="64" t="s">
        <v>52</v>
      </c>
      <c r="AD721" s="64" t="s">
        <v>51</v>
      </c>
      <c r="AE721" s="64" t="s">
        <v>53</v>
      </c>
      <c r="AF721" s="64" t="s">
        <v>54</v>
      </c>
      <c r="AG721" s="64" t="s">
        <v>20</v>
      </c>
      <c r="AH721" s="64" t="s">
        <v>19</v>
      </c>
      <c r="AI721" s="64" t="s">
        <v>55</v>
      </c>
      <c r="AJ721" s="64" t="s">
        <v>56</v>
      </c>
      <c r="AK721" s="64" t="s">
        <v>52</v>
      </c>
      <c r="AL721" s="64" t="s">
        <v>51</v>
      </c>
      <c r="AM721" s="64" t="s">
        <v>57</v>
      </c>
      <c r="AN721" s="64" t="s">
        <v>58</v>
      </c>
      <c r="AO721" s="64" t="s">
        <v>53</v>
      </c>
      <c r="AP721" s="64" t="s">
        <v>54</v>
      </c>
      <c r="AQ721" s="46"/>
      <c r="AR721" s="46"/>
      <c r="AS721" s="46"/>
      <c r="AT721" s="46"/>
      <c r="AU721" s="46"/>
      <c r="AV721" s="46"/>
      <c r="AW721" s="46"/>
      <c r="AX721" s="46"/>
    </row>
    <row r="722" spans="2:54" ht="16.5" customHeight="1" thickBot="1" x14ac:dyDescent="0.3">
      <c r="B722" s="1" t="s">
        <v>0</v>
      </c>
      <c r="C722" s="10">
        <v>2</v>
      </c>
      <c r="D722">
        <f>C722</f>
        <v>2</v>
      </c>
      <c r="F722" s="12" t="s">
        <v>0</v>
      </c>
      <c r="G722" s="86"/>
      <c r="H722" s="66"/>
      <c r="I722" s="66"/>
      <c r="J722" s="67"/>
      <c r="K722" s="65"/>
      <c r="L722" s="66"/>
      <c r="M722" s="66"/>
      <c r="N722" s="66"/>
      <c r="O722" s="65"/>
      <c r="P722" s="67"/>
      <c r="Q722" s="65"/>
      <c r="R722" s="66"/>
      <c r="S722" s="66">
        <v>1</v>
      </c>
      <c r="T722" s="66">
        <v>1</v>
      </c>
      <c r="U722" s="66"/>
      <c r="V722" s="66"/>
      <c r="W722" s="66"/>
      <c r="X722" s="67"/>
      <c r="Y722" s="86"/>
      <c r="Z722" s="66"/>
      <c r="AA722" s="66"/>
      <c r="AB722" s="66"/>
      <c r="AC722" s="65"/>
      <c r="AD722" s="66"/>
      <c r="AE722" s="66"/>
      <c r="AF722" s="67"/>
      <c r="AG722" s="66"/>
      <c r="AH722" s="67"/>
      <c r="AI722" s="66">
        <v>1</v>
      </c>
      <c r="AJ722" s="66"/>
      <c r="AK722" s="66"/>
      <c r="AL722" s="66"/>
      <c r="AM722" s="66"/>
      <c r="AN722" s="66"/>
      <c r="AO722" s="66">
        <v>1</v>
      </c>
      <c r="AP722" s="66"/>
      <c r="AQ722" s="65"/>
      <c r="AR722" s="65"/>
      <c r="AS722" s="65"/>
      <c r="AT722" s="65"/>
      <c r="AU722" s="65"/>
      <c r="AV722" s="65">
        <v>1</v>
      </c>
      <c r="AW722" s="65"/>
      <c r="AX722" s="68"/>
      <c r="AY722" s="17"/>
      <c r="AZ722" s="17"/>
      <c r="BB722" t="s">
        <v>92</v>
      </c>
    </row>
    <row r="723" spans="2:54" ht="16.5" customHeight="1" thickBot="1" x14ac:dyDescent="0.3">
      <c r="B723" s="1" t="s">
        <v>1</v>
      </c>
      <c r="C723" s="10">
        <v>2</v>
      </c>
      <c r="D723">
        <f t="shared" ref="D723:D725" si="79">C723</f>
        <v>2</v>
      </c>
      <c r="F723" s="1" t="s">
        <v>1</v>
      </c>
      <c r="G723" s="87"/>
      <c r="H723" s="46"/>
      <c r="I723" s="46"/>
      <c r="J723" s="70"/>
      <c r="K723" s="69"/>
      <c r="L723" s="46"/>
      <c r="M723" s="46"/>
      <c r="N723" s="46"/>
      <c r="O723" s="69">
        <v>2</v>
      </c>
      <c r="P723" s="70"/>
      <c r="Q723" s="69"/>
      <c r="R723" s="46"/>
      <c r="S723" s="46"/>
      <c r="T723" s="46"/>
      <c r="U723" s="46"/>
      <c r="V723" s="46"/>
      <c r="W723" s="46"/>
      <c r="X723" s="70"/>
      <c r="Y723" s="87"/>
      <c r="Z723" s="46"/>
      <c r="AA723" s="46"/>
      <c r="AB723" s="46"/>
      <c r="AC723" s="69"/>
      <c r="AD723" s="46"/>
      <c r="AE723" s="46"/>
      <c r="AF723" s="70"/>
      <c r="AG723" s="46"/>
      <c r="AH723" s="70">
        <v>2</v>
      </c>
      <c r="AI723" s="46"/>
      <c r="AJ723" s="46"/>
      <c r="AK723" s="46"/>
      <c r="AL723" s="46"/>
      <c r="AM723" s="46"/>
      <c r="AN723" s="46"/>
      <c r="AO723" s="46"/>
      <c r="AP723" s="46"/>
      <c r="AQ723" s="69"/>
      <c r="AR723" s="69"/>
      <c r="AS723" s="69"/>
      <c r="AT723" s="69"/>
      <c r="AU723" s="69"/>
      <c r="AV723" s="69"/>
      <c r="AW723" s="69"/>
      <c r="AX723" s="71"/>
      <c r="AY723" s="18">
        <v>1</v>
      </c>
      <c r="AZ723" s="18"/>
    </row>
    <row r="724" spans="2:54" ht="16.5" customHeight="1" thickBot="1" x14ac:dyDescent="0.3">
      <c r="B724" s="1" t="s">
        <v>2</v>
      </c>
      <c r="C724" s="10"/>
      <c r="D724">
        <f>C724</f>
        <v>0</v>
      </c>
      <c r="F724" s="1" t="s">
        <v>2</v>
      </c>
      <c r="G724" s="87"/>
      <c r="H724" s="46"/>
      <c r="I724" s="46"/>
      <c r="J724" s="70"/>
      <c r="K724" s="69"/>
      <c r="L724" s="46"/>
      <c r="M724" s="46"/>
      <c r="N724" s="46"/>
      <c r="O724" s="69"/>
      <c r="P724" s="70"/>
      <c r="Q724" s="69"/>
      <c r="R724" s="46"/>
      <c r="S724" s="46"/>
      <c r="T724" s="46"/>
      <c r="U724" s="46"/>
      <c r="V724" s="46"/>
      <c r="W724" s="46"/>
      <c r="X724" s="70"/>
      <c r="Y724" s="87"/>
      <c r="Z724" s="46"/>
      <c r="AA724" s="46"/>
      <c r="AB724" s="46"/>
      <c r="AC724" s="69"/>
      <c r="AD724" s="46"/>
      <c r="AE724" s="46"/>
      <c r="AF724" s="70"/>
      <c r="AG724" s="46"/>
      <c r="AH724" s="70"/>
      <c r="AI724" s="46"/>
      <c r="AJ724" s="46"/>
      <c r="AK724" s="46"/>
      <c r="AL724" s="46"/>
      <c r="AM724" s="46"/>
      <c r="AN724" s="46"/>
      <c r="AO724" s="46"/>
      <c r="AP724" s="46"/>
      <c r="AQ724" s="69"/>
      <c r="AR724" s="69"/>
      <c r="AS724" s="69"/>
      <c r="AT724" s="69"/>
      <c r="AU724" s="69"/>
      <c r="AV724" s="69"/>
      <c r="AW724" s="69"/>
      <c r="AX724" s="71"/>
      <c r="AY724" s="18"/>
      <c r="AZ724" s="18"/>
    </row>
    <row r="725" spans="2:54" ht="16.5" customHeight="1" thickBot="1" x14ac:dyDescent="0.3">
      <c r="B725" s="1" t="s">
        <v>3</v>
      </c>
      <c r="C725" s="10"/>
      <c r="D725" s="7">
        <f t="shared" si="79"/>
        <v>0</v>
      </c>
      <c r="F725" s="1" t="s">
        <v>3</v>
      </c>
      <c r="G725" s="88"/>
      <c r="H725" s="73"/>
      <c r="I725" s="73"/>
      <c r="J725" s="74"/>
      <c r="K725" s="72"/>
      <c r="L725" s="73"/>
      <c r="M725" s="73"/>
      <c r="N725" s="73"/>
      <c r="O725" s="72"/>
      <c r="P725" s="74"/>
      <c r="Q725" s="72"/>
      <c r="R725" s="73"/>
      <c r="S725" s="73"/>
      <c r="T725" s="73"/>
      <c r="U725" s="73"/>
      <c r="V725" s="73"/>
      <c r="W725" s="73"/>
      <c r="X725" s="74"/>
      <c r="Y725" s="88"/>
      <c r="Z725" s="73"/>
      <c r="AA725" s="73"/>
      <c r="AB725" s="73"/>
      <c r="AC725" s="72"/>
      <c r="AD725" s="73"/>
      <c r="AE725" s="73"/>
      <c r="AF725" s="74"/>
      <c r="AG725" s="73"/>
      <c r="AH725" s="74"/>
      <c r="AI725" s="73"/>
      <c r="AJ725" s="73"/>
      <c r="AK725" s="73"/>
      <c r="AL725" s="73"/>
      <c r="AM725" s="73"/>
      <c r="AN725" s="73"/>
      <c r="AO725" s="73"/>
      <c r="AP725" s="73"/>
      <c r="AQ725" s="72"/>
      <c r="AR725" s="72"/>
      <c r="AS725" s="72"/>
      <c r="AT725" s="72"/>
      <c r="AU725" s="72"/>
      <c r="AV725" s="72"/>
      <c r="AW725" s="72"/>
      <c r="AX725" s="75"/>
      <c r="AY725" s="19"/>
      <c r="AZ725" s="19"/>
    </row>
    <row r="726" spans="2:54" ht="21" customHeight="1" x14ac:dyDescent="0.25">
      <c r="B726" s="2"/>
      <c r="C726" s="3" t="s">
        <v>25</v>
      </c>
      <c r="D726" s="9">
        <f>SUM(D722:D725)</f>
        <v>4</v>
      </c>
      <c r="G726" s="85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85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</row>
    <row r="727" spans="2:54" x14ac:dyDescent="0.25"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</row>
    <row r="728" spans="2:54" ht="15.75" x14ac:dyDescent="0.25">
      <c r="G728" s="100" t="s">
        <v>22</v>
      </c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1" t="s">
        <v>21</v>
      </c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46"/>
      <c r="AR728" s="46"/>
      <c r="AS728" s="46"/>
      <c r="AT728" s="46"/>
      <c r="AU728" s="46"/>
      <c r="AV728" s="46"/>
      <c r="AW728" s="46"/>
      <c r="AX728" s="46"/>
    </row>
    <row r="729" spans="2:54" ht="32.25" thickBot="1" x14ac:dyDescent="0.3">
      <c r="G729" s="102" t="s">
        <v>14</v>
      </c>
      <c r="H729" s="102"/>
      <c r="I729" s="102"/>
      <c r="J729" s="102"/>
      <c r="K729" s="102" t="s">
        <v>15</v>
      </c>
      <c r="L729" s="102"/>
      <c r="M729" s="102"/>
      <c r="N729" s="102"/>
      <c r="O729" s="102" t="s">
        <v>59</v>
      </c>
      <c r="P729" s="102"/>
      <c r="Q729" s="102" t="s">
        <v>16</v>
      </c>
      <c r="R729" s="102"/>
      <c r="S729" s="102"/>
      <c r="T729" s="102"/>
      <c r="U729" s="102"/>
      <c r="V729" s="102"/>
      <c r="W729" s="102"/>
      <c r="X729" s="102"/>
      <c r="Y729" s="102" t="s">
        <v>14</v>
      </c>
      <c r="Z729" s="102"/>
      <c r="AA729" s="102"/>
      <c r="AB729" s="102"/>
      <c r="AC729" s="102" t="s">
        <v>15</v>
      </c>
      <c r="AD729" s="102"/>
      <c r="AE729" s="102"/>
      <c r="AF729" s="102"/>
      <c r="AG729" s="102" t="s">
        <v>59</v>
      </c>
      <c r="AH729" s="102"/>
      <c r="AI729" s="102" t="s">
        <v>16</v>
      </c>
      <c r="AJ729" s="102"/>
      <c r="AK729" s="102"/>
      <c r="AL729" s="102"/>
      <c r="AM729" s="102"/>
      <c r="AN729" s="102"/>
      <c r="AO729" s="102"/>
      <c r="AP729" s="102"/>
      <c r="AQ729" s="76" t="s">
        <v>60</v>
      </c>
      <c r="AR729" s="76" t="s">
        <v>70</v>
      </c>
      <c r="AS729" s="76" t="s">
        <v>65</v>
      </c>
      <c r="AT729" s="76" t="s">
        <v>61</v>
      </c>
      <c r="AU729" s="76" t="s">
        <v>62</v>
      </c>
      <c r="AV729" s="76" t="s">
        <v>27</v>
      </c>
      <c r="AW729" s="76" t="s">
        <v>64</v>
      </c>
      <c r="AX729" s="76" t="s">
        <v>63</v>
      </c>
      <c r="AY729" s="76" t="s">
        <v>66</v>
      </c>
      <c r="AZ729" s="76" t="s">
        <v>67</v>
      </c>
    </row>
    <row r="730" spans="2:54" ht="48" thickBot="1" x14ac:dyDescent="0.3">
      <c r="B730" s="20">
        <v>0.83333333333333603</v>
      </c>
      <c r="C730" s="14" t="s">
        <v>13</v>
      </c>
      <c r="D730" s="8" t="s">
        <v>6</v>
      </c>
      <c r="F730" s="13"/>
      <c r="G730" s="81" t="s">
        <v>20</v>
      </c>
      <c r="H730" s="64" t="s">
        <v>17</v>
      </c>
      <c r="I730" s="64" t="s">
        <v>19</v>
      </c>
      <c r="J730" s="64" t="s">
        <v>18</v>
      </c>
      <c r="K730" s="64" t="s">
        <v>52</v>
      </c>
      <c r="L730" s="64" t="s">
        <v>51</v>
      </c>
      <c r="M730" s="64" t="s">
        <v>53</v>
      </c>
      <c r="N730" s="64" t="s">
        <v>54</v>
      </c>
      <c r="O730" s="64" t="s">
        <v>20</v>
      </c>
      <c r="P730" s="64" t="s">
        <v>19</v>
      </c>
      <c r="Q730" s="64" t="s">
        <v>55</v>
      </c>
      <c r="R730" s="64" t="s">
        <v>56</v>
      </c>
      <c r="S730" s="64" t="s">
        <v>52</v>
      </c>
      <c r="T730" s="64" t="s">
        <v>51</v>
      </c>
      <c r="U730" s="64" t="s">
        <v>57</v>
      </c>
      <c r="V730" s="64" t="s">
        <v>58</v>
      </c>
      <c r="W730" s="64" t="s">
        <v>53</v>
      </c>
      <c r="X730" s="64" t="s">
        <v>54</v>
      </c>
      <c r="Y730" s="81" t="s">
        <v>20</v>
      </c>
      <c r="Z730" s="64" t="s">
        <v>17</v>
      </c>
      <c r="AA730" s="64" t="s">
        <v>19</v>
      </c>
      <c r="AB730" s="64" t="s">
        <v>18</v>
      </c>
      <c r="AC730" s="64" t="s">
        <v>52</v>
      </c>
      <c r="AD730" s="64" t="s">
        <v>51</v>
      </c>
      <c r="AE730" s="64" t="s">
        <v>53</v>
      </c>
      <c r="AF730" s="64" t="s">
        <v>54</v>
      </c>
      <c r="AG730" s="64" t="s">
        <v>20</v>
      </c>
      <c r="AH730" s="64" t="s">
        <v>19</v>
      </c>
      <c r="AI730" s="64" t="s">
        <v>55</v>
      </c>
      <c r="AJ730" s="64" t="s">
        <v>56</v>
      </c>
      <c r="AK730" s="64" t="s">
        <v>52</v>
      </c>
      <c r="AL730" s="64" t="s">
        <v>51</v>
      </c>
      <c r="AM730" s="64" t="s">
        <v>57</v>
      </c>
      <c r="AN730" s="64" t="s">
        <v>58</v>
      </c>
      <c r="AO730" s="64" t="s">
        <v>53</v>
      </c>
      <c r="AP730" s="64" t="s">
        <v>54</v>
      </c>
      <c r="AQ730" s="46"/>
      <c r="AR730" s="46"/>
      <c r="AS730" s="46"/>
      <c r="AT730" s="46"/>
      <c r="AU730" s="46"/>
      <c r="AV730" s="46"/>
      <c r="AW730" s="46"/>
      <c r="AX730" s="46"/>
    </row>
    <row r="731" spans="2:54" ht="16.5" customHeight="1" thickBot="1" x14ac:dyDescent="0.3">
      <c r="B731" s="1" t="s">
        <v>0</v>
      </c>
      <c r="C731" s="10">
        <v>3</v>
      </c>
      <c r="D731">
        <f>C731</f>
        <v>3</v>
      </c>
      <c r="F731" s="12" t="s">
        <v>0</v>
      </c>
      <c r="G731" s="86"/>
      <c r="H731" s="66"/>
      <c r="I731" s="66"/>
      <c r="J731" s="67"/>
      <c r="K731" s="65"/>
      <c r="L731" s="66"/>
      <c r="M731" s="66"/>
      <c r="N731" s="66"/>
      <c r="O731" s="65"/>
      <c r="P731" s="67">
        <v>2</v>
      </c>
      <c r="Q731" s="65"/>
      <c r="R731" s="66"/>
      <c r="S731" s="66"/>
      <c r="T731" s="66">
        <v>1</v>
      </c>
      <c r="U731" s="66"/>
      <c r="V731" s="66"/>
      <c r="W731" s="66"/>
      <c r="X731" s="67"/>
      <c r="Y731" s="86"/>
      <c r="Z731" s="66"/>
      <c r="AA731" s="66"/>
      <c r="AB731" s="66"/>
      <c r="AC731" s="65"/>
      <c r="AD731" s="66"/>
      <c r="AE731" s="66"/>
      <c r="AF731" s="67"/>
      <c r="AG731" s="66">
        <v>2</v>
      </c>
      <c r="AH731" s="67"/>
      <c r="AI731" s="66"/>
      <c r="AJ731" s="66"/>
      <c r="AK731" s="66"/>
      <c r="AL731" s="66"/>
      <c r="AM731" s="66">
        <v>1</v>
      </c>
      <c r="AN731" s="66"/>
      <c r="AO731" s="66"/>
      <c r="AP731" s="66"/>
      <c r="AQ731" s="65"/>
      <c r="AR731" s="65"/>
      <c r="AS731" s="65"/>
      <c r="AT731" s="65"/>
      <c r="AU731" s="65"/>
      <c r="AV731" s="65"/>
      <c r="AW731" s="65"/>
      <c r="AX731" s="68">
        <v>2</v>
      </c>
      <c r="AY731" s="17"/>
      <c r="AZ731" s="17"/>
    </row>
    <row r="732" spans="2:54" ht="16.5" customHeight="1" thickBot="1" x14ac:dyDescent="0.3">
      <c r="B732" s="1" t="s">
        <v>1</v>
      </c>
      <c r="C732" s="10">
        <v>5</v>
      </c>
      <c r="D732">
        <f t="shared" ref="D732:D734" si="80">C732</f>
        <v>5</v>
      </c>
      <c r="F732" s="1" t="s">
        <v>1</v>
      </c>
      <c r="G732" s="87"/>
      <c r="H732" s="46"/>
      <c r="I732" s="46"/>
      <c r="J732" s="70">
        <v>1</v>
      </c>
      <c r="K732" s="69"/>
      <c r="L732" s="46"/>
      <c r="M732" s="46"/>
      <c r="N732" s="46"/>
      <c r="O732" s="69">
        <v>1</v>
      </c>
      <c r="P732" s="70">
        <v>3</v>
      </c>
      <c r="Q732" s="69"/>
      <c r="R732" s="46"/>
      <c r="S732" s="46"/>
      <c r="T732" s="46"/>
      <c r="U732" s="46"/>
      <c r="V732" s="46"/>
      <c r="W732" s="46"/>
      <c r="X732" s="70"/>
      <c r="Y732" s="87"/>
      <c r="Z732" s="46">
        <v>1</v>
      </c>
      <c r="AA732" s="46"/>
      <c r="AB732" s="46"/>
      <c r="AC732" s="69"/>
      <c r="AD732" s="46"/>
      <c r="AE732" s="46"/>
      <c r="AF732" s="70"/>
      <c r="AG732" s="46">
        <v>3</v>
      </c>
      <c r="AH732" s="70">
        <v>1</v>
      </c>
      <c r="AI732" s="46"/>
      <c r="AJ732" s="46"/>
      <c r="AK732" s="46"/>
      <c r="AL732" s="46"/>
      <c r="AM732" s="46"/>
      <c r="AN732" s="46"/>
      <c r="AO732" s="46"/>
      <c r="AP732" s="46"/>
      <c r="AQ732" s="69"/>
      <c r="AR732" s="69">
        <v>1</v>
      </c>
      <c r="AS732" s="69"/>
      <c r="AT732" s="69"/>
      <c r="AU732" s="69"/>
      <c r="AV732" s="69"/>
      <c r="AW732" s="69"/>
      <c r="AX732" s="71"/>
      <c r="AY732" s="18">
        <v>1</v>
      </c>
      <c r="AZ732" s="18">
        <v>1</v>
      </c>
    </row>
    <row r="733" spans="2:54" ht="16.5" customHeight="1" thickBot="1" x14ac:dyDescent="0.3">
      <c r="B733" s="1" t="s">
        <v>2</v>
      </c>
      <c r="C733" s="10"/>
      <c r="D733">
        <f>C733</f>
        <v>0</v>
      </c>
      <c r="F733" s="1" t="s">
        <v>2</v>
      </c>
      <c r="G733" s="87"/>
      <c r="H733" s="46"/>
      <c r="I733" s="46"/>
      <c r="J733" s="70"/>
      <c r="K733" s="69"/>
      <c r="L733" s="46"/>
      <c r="M733" s="46"/>
      <c r="N733" s="46"/>
      <c r="O733" s="69"/>
      <c r="P733" s="70"/>
      <c r="Q733" s="69"/>
      <c r="R733" s="46"/>
      <c r="S733" s="46"/>
      <c r="T733" s="46"/>
      <c r="U733" s="46"/>
      <c r="V733" s="46"/>
      <c r="W733" s="46"/>
      <c r="X733" s="70"/>
      <c r="Y733" s="87"/>
      <c r="Z733" s="46"/>
      <c r="AA733" s="46"/>
      <c r="AB733" s="46"/>
      <c r="AC733" s="69"/>
      <c r="AD733" s="46"/>
      <c r="AE733" s="46"/>
      <c r="AF733" s="70"/>
      <c r="AG733" s="46"/>
      <c r="AH733" s="70"/>
      <c r="AI733" s="46"/>
      <c r="AJ733" s="46"/>
      <c r="AK733" s="46"/>
      <c r="AL733" s="46"/>
      <c r="AM733" s="46"/>
      <c r="AN733" s="46"/>
      <c r="AO733" s="46"/>
      <c r="AP733" s="46"/>
      <c r="AQ733" s="69"/>
      <c r="AR733" s="69"/>
      <c r="AS733" s="69"/>
      <c r="AT733" s="69"/>
      <c r="AU733" s="69"/>
      <c r="AV733" s="69"/>
      <c r="AW733" s="69"/>
      <c r="AX733" s="71"/>
      <c r="AY733" s="18"/>
      <c r="AZ733" s="18"/>
    </row>
    <row r="734" spans="2:54" ht="16.5" customHeight="1" thickBot="1" x14ac:dyDescent="0.3">
      <c r="B734" s="1" t="s">
        <v>3</v>
      </c>
      <c r="C734" s="10"/>
      <c r="D734" s="7">
        <f t="shared" si="80"/>
        <v>0</v>
      </c>
      <c r="F734" s="1" t="s">
        <v>3</v>
      </c>
      <c r="G734" s="88"/>
      <c r="H734" s="73"/>
      <c r="I734" s="73"/>
      <c r="J734" s="74"/>
      <c r="K734" s="72"/>
      <c r="L734" s="73"/>
      <c r="M734" s="73"/>
      <c r="N734" s="73"/>
      <c r="O734" s="72"/>
      <c r="P734" s="74"/>
      <c r="Q734" s="72"/>
      <c r="R734" s="73"/>
      <c r="S734" s="73"/>
      <c r="T734" s="73"/>
      <c r="U734" s="73"/>
      <c r="V734" s="73"/>
      <c r="W734" s="73"/>
      <c r="X734" s="74"/>
      <c r="Y734" s="88"/>
      <c r="Z734" s="73"/>
      <c r="AA734" s="73"/>
      <c r="AB734" s="73"/>
      <c r="AC734" s="72"/>
      <c r="AD734" s="73"/>
      <c r="AE734" s="73"/>
      <c r="AF734" s="74"/>
      <c r="AG734" s="73"/>
      <c r="AH734" s="74"/>
      <c r="AI734" s="73"/>
      <c r="AJ734" s="73"/>
      <c r="AK734" s="73"/>
      <c r="AL734" s="73"/>
      <c r="AM734" s="73"/>
      <c r="AN734" s="73"/>
      <c r="AO734" s="73"/>
      <c r="AP734" s="73"/>
      <c r="AQ734" s="72"/>
      <c r="AR734" s="72"/>
      <c r="AS734" s="72"/>
      <c r="AT734" s="72"/>
      <c r="AU734" s="72"/>
      <c r="AV734" s="72"/>
      <c r="AW734" s="72"/>
      <c r="AX734" s="75"/>
      <c r="AY734" s="19"/>
      <c r="AZ734" s="19"/>
    </row>
    <row r="735" spans="2:54" ht="21" customHeight="1" x14ac:dyDescent="0.25">
      <c r="B735" s="2"/>
      <c r="C735" s="3" t="s">
        <v>25</v>
      </c>
      <c r="D735" s="9">
        <f>SUM(D731:D734)</f>
        <v>8</v>
      </c>
      <c r="G735" s="85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85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</row>
    <row r="736" spans="2:54" x14ac:dyDescent="0.25"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</row>
    <row r="737" spans="2:53" ht="15.75" x14ac:dyDescent="0.25">
      <c r="G737" s="100" t="s">
        <v>22</v>
      </c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1" t="s">
        <v>21</v>
      </c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46"/>
      <c r="AR737" s="46"/>
      <c r="AS737" s="46"/>
      <c r="AT737" s="46"/>
      <c r="AU737" s="46"/>
      <c r="AV737" s="46"/>
      <c r="AW737" s="46"/>
      <c r="AX737" s="46"/>
    </row>
    <row r="738" spans="2:53" ht="32.25" thickBot="1" x14ac:dyDescent="0.3">
      <c r="G738" s="102" t="s">
        <v>14</v>
      </c>
      <c r="H738" s="102"/>
      <c r="I738" s="102"/>
      <c r="J738" s="102"/>
      <c r="K738" s="102" t="s">
        <v>15</v>
      </c>
      <c r="L738" s="102"/>
      <c r="M738" s="102"/>
      <c r="N738" s="102"/>
      <c r="O738" s="102" t="s">
        <v>59</v>
      </c>
      <c r="P738" s="102"/>
      <c r="Q738" s="102" t="s">
        <v>16</v>
      </c>
      <c r="R738" s="102"/>
      <c r="S738" s="102"/>
      <c r="T738" s="102"/>
      <c r="U738" s="102"/>
      <c r="V738" s="102"/>
      <c r="W738" s="102"/>
      <c r="X738" s="102"/>
      <c r="Y738" s="102" t="s">
        <v>14</v>
      </c>
      <c r="Z738" s="102"/>
      <c r="AA738" s="102"/>
      <c r="AB738" s="102"/>
      <c r="AC738" s="102" t="s">
        <v>15</v>
      </c>
      <c r="AD738" s="102"/>
      <c r="AE738" s="102"/>
      <c r="AF738" s="102"/>
      <c r="AG738" s="102" t="s">
        <v>59</v>
      </c>
      <c r="AH738" s="102"/>
      <c r="AI738" s="102" t="s">
        <v>16</v>
      </c>
      <c r="AJ738" s="102"/>
      <c r="AK738" s="102"/>
      <c r="AL738" s="102"/>
      <c r="AM738" s="102"/>
      <c r="AN738" s="102"/>
      <c r="AO738" s="102"/>
      <c r="AP738" s="102"/>
      <c r="AQ738" s="76" t="s">
        <v>60</v>
      </c>
      <c r="AR738" s="76" t="s">
        <v>70</v>
      </c>
      <c r="AS738" s="76" t="s">
        <v>65</v>
      </c>
      <c r="AT738" s="76" t="s">
        <v>61</v>
      </c>
      <c r="AU738" s="76" t="s">
        <v>62</v>
      </c>
      <c r="AV738" s="76" t="s">
        <v>27</v>
      </c>
      <c r="AW738" s="76" t="s">
        <v>64</v>
      </c>
      <c r="AX738" s="76" t="s">
        <v>63</v>
      </c>
      <c r="AY738" s="76" t="s">
        <v>66</v>
      </c>
      <c r="AZ738" s="76" t="s">
        <v>67</v>
      </c>
    </row>
    <row r="739" spans="2:53" ht="48" thickBot="1" x14ac:dyDescent="0.3">
      <c r="B739" s="20">
        <v>0.843750000000002</v>
      </c>
      <c r="C739" s="14" t="s">
        <v>13</v>
      </c>
      <c r="D739" s="8" t="s">
        <v>6</v>
      </c>
      <c r="F739" s="13"/>
      <c r="G739" s="81" t="s">
        <v>20</v>
      </c>
      <c r="H739" s="64" t="s">
        <v>17</v>
      </c>
      <c r="I739" s="64" t="s">
        <v>19</v>
      </c>
      <c r="J739" s="64" t="s">
        <v>18</v>
      </c>
      <c r="K739" s="64" t="s">
        <v>52</v>
      </c>
      <c r="L739" s="64" t="s">
        <v>51</v>
      </c>
      <c r="M739" s="64" t="s">
        <v>53</v>
      </c>
      <c r="N739" s="64" t="s">
        <v>54</v>
      </c>
      <c r="O739" s="64" t="s">
        <v>20</v>
      </c>
      <c r="P739" s="64" t="s">
        <v>19</v>
      </c>
      <c r="Q739" s="64" t="s">
        <v>55</v>
      </c>
      <c r="R739" s="64" t="s">
        <v>56</v>
      </c>
      <c r="S739" s="64" t="s">
        <v>52</v>
      </c>
      <c r="T739" s="64" t="s">
        <v>51</v>
      </c>
      <c r="U739" s="64" t="s">
        <v>57</v>
      </c>
      <c r="V739" s="64" t="s">
        <v>58</v>
      </c>
      <c r="W739" s="64" t="s">
        <v>53</v>
      </c>
      <c r="X739" s="64" t="s">
        <v>54</v>
      </c>
      <c r="Y739" s="81" t="s">
        <v>20</v>
      </c>
      <c r="Z739" s="64" t="s">
        <v>17</v>
      </c>
      <c r="AA739" s="64" t="s">
        <v>19</v>
      </c>
      <c r="AB739" s="64" t="s">
        <v>18</v>
      </c>
      <c r="AC739" s="64" t="s">
        <v>52</v>
      </c>
      <c r="AD739" s="64" t="s">
        <v>51</v>
      </c>
      <c r="AE739" s="64" t="s">
        <v>53</v>
      </c>
      <c r="AF739" s="64" t="s">
        <v>54</v>
      </c>
      <c r="AG739" s="64" t="s">
        <v>20</v>
      </c>
      <c r="AH739" s="64" t="s">
        <v>19</v>
      </c>
      <c r="AI739" s="64" t="s">
        <v>55</v>
      </c>
      <c r="AJ739" s="64" t="s">
        <v>56</v>
      </c>
      <c r="AK739" s="64" t="s">
        <v>52</v>
      </c>
      <c r="AL739" s="64" t="s">
        <v>51</v>
      </c>
      <c r="AM739" s="64" t="s">
        <v>57</v>
      </c>
      <c r="AN739" s="64" t="s">
        <v>58</v>
      </c>
      <c r="AO739" s="64" t="s">
        <v>53</v>
      </c>
      <c r="AP739" s="64" t="s">
        <v>54</v>
      </c>
      <c r="AQ739" s="46"/>
      <c r="AR739" s="46"/>
      <c r="AS739" s="46"/>
      <c r="AT739" s="46"/>
      <c r="AU739" s="46"/>
      <c r="AV739" s="46"/>
      <c r="AW739" s="46"/>
      <c r="AX739" s="46"/>
    </row>
    <row r="740" spans="2:53" ht="16.5" customHeight="1" thickBot="1" x14ac:dyDescent="0.3">
      <c r="B740" s="1" t="s">
        <v>0</v>
      </c>
      <c r="C740" s="10">
        <v>3</v>
      </c>
      <c r="D740">
        <f>C740</f>
        <v>3</v>
      </c>
      <c r="F740" s="12" t="s">
        <v>0</v>
      </c>
      <c r="G740" s="86"/>
      <c r="H740" s="66"/>
      <c r="I740" s="66"/>
      <c r="J740" s="67"/>
      <c r="K740" s="65"/>
      <c r="L740" s="66"/>
      <c r="M740" s="66"/>
      <c r="N740" s="66"/>
      <c r="O740" s="65"/>
      <c r="P740" s="67"/>
      <c r="Q740" s="65"/>
      <c r="R740" s="66">
        <v>2</v>
      </c>
      <c r="S740" s="66"/>
      <c r="T740" s="66"/>
      <c r="U740" s="66">
        <v>1</v>
      </c>
      <c r="V740" s="66"/>
      <c r="W740" s="66"/>
      <c r="X740" s="67"/>
      <c r="Y740" s="86"/>
      <c r="Z740" s="66"/>
      <c r="AA740" s="66"/>
      <c r="AB740" s="66"/>
      <c r="AC740" s="65"/>
      <c r="AD740" s="66"/>
      <c r="AE740" s="66"/>
      <c r="AF740" s="67"/>
      <c r="AG740" s="66"/>
      <c r="AH740" s="67"/>
      <c r="AI740" s="66"/>
      <c r="AJ740" s="66">
        <v>1</v>
      </c>
      <c r="AK740" s="66">
        <v>1</v>
      </c>
      <c r="AL740" s="66"/>
      <c r="AM740" s="66">
        <v>1</v>
      </c>
      <c r="AN740" s="66"/>
      <c r="AO740" s="66"/>
      <c r="AP740" s="66"/>
      <c r="AQ740" s="65"/>
      <c r="AR740" s="65"/>
      <c r="AS740" s="65"/>
      <c r="AT740" s="65"/>
      <c r="AU740" s="65"/>
      <c r="AV740" s="65"/>
      <c r="AW740" s="65"/>
      <c r="AX740" s="68">
        <v>1</v>
      </c>
      <c r="AY740" s="17">
        <v>1</v>
      </c>
      <c r="AZ740" s="17"/>
    </row>
    <row r="741" spans="2:53" ht="16.5" customHeight="1" thickBot="1" x14ac:dyDescent="0.3">
      <c r="B741" s="1" t="s">
        <v>1</v>
      </c>
      <c r="C741" s="10"/>
      <c r="D741">
        <f t="shared" ref="D741:D743" si="81">C741</f>
        <v>0</v>
      </c>
      <c r="F741" s="1" t="s">
        <v>1</v>
      </c>
      <c r="G741" s="87"/>
      <c r="H741" s="46"/>
      <c r="I741" s="46"/>
      <c r="J741" s="70"/>
      <c r="K741" s="69"/>
      <c r="L741" s="46"/>
      <c r="M741" s="46"/>
      <c r="N741" s="46"/>
      <c r="O741" s="69"/>
      <c r="P741" s="70"/>
      <c r="Q741" s="69"/>
      <c r="R741" s="46"/>
      <c r="S741" s="46"/>
      <c r="T741" s="46"/>
      <c r="U741" s="46"/>
      <c r="V741" s="46"/>
      <c r="W741" s="46"/>
      <c r="X741" s="70"/>
      <c r="Y741" s="87"/>
      <c r="Z741" s="46"/>
      <c r="AA741" s="46"/>
      <c r="AB741" s="46"/>
      <c r="AC741" s="69"/>
      <c r="AD741" s="46"/>
      <c r="AE741" s="46"/>
      <c r="AF741" s="70"/>
      <c r="AG741" s="46"/>
      <c r="AH741" s="70"/>
      <c r="AI741" s="46"/>
      <c r="AJ741" s="46"/>
      <c r="AK741" s="46"/>
      <c r="AL741" s="46"/>
      <c r="AM741" s="46"/>
      <c r="AN741" s="46"/>
      <c r="AO741" s="46"/>
      <c r="AP741" s="46"/>
      <c r="AQ741" s="69"/>
      <c r="AR741" s="69"/>
      <c r="AS741" s="69"/>
      <c r="AT741" s="69"/>
      <c r="AU741" s="69"/>
      <c r="AV741" s="69"/>
      <c r="AW741" s="69"/>
      <c r="AX741" s="71"/>
      <c r="AY741" s="18"/>
      <c r="AZ741" s="18"/>
    </row>
    <row r="742" spans="2:53" ht="16.5" customHeight="1" thickBot="1" x14ac:dyDescent="0.3">
      <c r="B742" s="1" t="s">
        <v>2</v>
      </c>
      <c r="C742" s="10"/>
      <c r="D742">
        <f>C742</f>
        <v>0</v>
      </c>
      <c r="F742" s="1" t="s">
        <v>2</v>
      </c>
      <c r="G742" s="87"/>
      <c r="H742" s="46"/>
      <c r="I742" s="46"/>
      <c r="J742" s="70"/>
      <c r="K742" s="69"/>
      <c r="L742" s="46"/>
      <c r="M742" s="46"/>
      <c r="N742" s="46"/>
      <c r="O742" s="69"/>
      <c r="P742" s="70"/>
      <c r="Q742" s="69"/>
      <c r="R742" s="46"/>
      <c r="S742" s="46"/>
      <c r="T742" s="46"/>
      <c r="U742" s="46"/>
      <c r="V742" s="46"/>
      <c r="W742" s="46"/>
      <c r="X742" s="70"/>
      <c r="Y742" s="87"/>
      <c r="Z742" s="46"/>
      <c r="AA742" s="46"/>
      <c r="AB742" s="46"/>
      <c r="AC742" s="69"/>
      <c r="AD742" s="46"/>
      <c r="AE742" s="46"/>
      <c r="AF742" s="70"/>
      <c r="AG742" s="46"/>
      <c r="AH742" s="70"/>
      <c r="AI742" s="46"/>
      <c r="AJ742" s="46"/>
      <c r="AK742" s="46"/>
      <c r="AL742" s="46"/>
      <c r="AM742" s="46"/>
      <c r="AN742" s="46"/>
      <c r="AO742" s="46"/>
      <c r="AP742" s="46"/>
      <c r="AQ742" s="69"/>
      <c r="AR742" s="69"/>
      <c r="AS742" s="69"/>
      <c r="AT742" s="69"/>
      <c r="AU742" s="69"/>
      <c r="AV742" s="69"/>
      <c r="AW742" s="69"/>
      <c r="AX742" s="71"/>
      <c r="AY742" s="18"/>
      <c r="AZ742" s="18"/>
    </row>
    <row r="743" spans="2:53" ht="16.5" customHeight="1" thickBot="1" x14ac:dyDescent="0.3">
      <c r="B743" s="1" t="s">
        <v>3</v>
      </c>
      <c r="C743" s="10"/>
      <c r="D743" s="7">
        <f t="shared" si="81"/>
        <v>0</v>
      </c>
      <c r="F743" s="1" t="s">
        <v>3</v>
      </c>
      <c r="G743" s="88"/>
      <c r="H743" s="73"/>
      <c r="I743" s="73"/>
      <c r="J743" s="74"/>
      <c r="K743" s="72"/>
      <c r="L743" s="73"/>
      <c r="M743" s="73"/>
      <c r="N743" s="73"/>
      <c r="O743" s="72"/>
      <c r="P743" s="74"/>
      <c r="Q743" s="72"/>
      <c r="R743" s="73"/>
      <c r="S743" s="73"/>
      <c r="T743" s="73"/>
      <c r="U743" s="73"/>
      <c r="V743" s="73"/>
      <c r="W743" s="73"/>
      <c r="X743" s="74"/>
      <c r="Y743" s="88"/>
      <c r="Z743" s="73"/>
      <c r="AA743" s="73"/>
      <c r="AB743" s="73"/>
      <c r="AC743" s="72"/>
      <c r="AD743" s="73"/>
      <c r="AE743" s="73"/>
      <c r="AF743" s="74"/>
      <c r="AG743" s="73"/>
      <c r="AH743" s="74"/>
      <c r="AI743" s="73"/>
      <c r="AJ743" s="73"/>
      <c r="AK743" s="73"/>
      <c r="AL743" s="73"/>
      <c r="AM743" s="73"/>
      <c r="AN743" s="73"/>
      <c r="AO743" s="73"/>
      <c r="AP743" s="73"/>
      <c r="AQ743" s="72"/>
      <c r="AR743" s="72"/>
      <c r="AS743" s="72"/>
      <c r="AT743" s="72"/>
      <c r="AU743" s="72"/>
      <c r="AV743" s="72"/>
      <c r="AW743" s="72"/>
      <c r="AX743" s="75"/>
      <c r="AY743" s="19"/>
      <c r="AZ743" s="19"/>
    </row>
    <row r="744" spans="2:53" ht="21" customHeight="1" x14ac:dyDescent="0.25">
      <c r="B744" s="2"/>
      <c r="C744" s="3" t="s">
        <v>25</v>
      </c>
      <c r="D744" s="9">
        <f>SUM(D740:D743)</f>
        <v>3</v>
      </c>
      <c r="G744" s="85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85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</row>
    <row r="745" spans="2:53" x14ac:dyDescent="0.25"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</row>
    <row r="746" spans="2:53" ht="15.75" x14ac:dyDescent="0.25">
      <c r="G746" s="100" t="s">
        <v>22</v>
      </c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1" t="s">
        <v>21</v>
      </c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46"/>
      <c r="AR746" s="46"/>
      <c r="AS746" s="46"/>
      <c r="AT746" s="46"/>
      <c r="AU746" s="46"/>
      <c r="AV746" s="46"/>
      <c r="AW746" s="46"/>
      <c r="AX746" s="46"/>
    </row>
    <row r="747" spans="2:53" ht="32.25" thickBot="1" x14ac:dyDescent="0.3">
      <c r="G747" s="102" t="s">
        <v>14</v>
      </c>
      <c r="H747" s="102"/>
      <c r="I747" s="102"/>
      <c r="J747" s="102"/>
      <c r="K747" s="102" t="s">
        <v>15</v>
      </c>
      <c r="L747" s="102"/>
      <c r="M747" s="102"/>
      <c r="N747" s="102"/>
      <c r="O747" s="102" t="s">
        <v>59</v>
      </c>
      <c r="P747" s="102"/>
      <c r="Q747" s="102" t="s">
        <v>16</v>
      </c>
      <c r="R747" s="102"/>
      <c r="S747" s="102"/>
      <c r="T747" s="102"/>
      <c r="U747" s="102"/>
      <c r="V747" s="102"/>
      <c r="W747" s="102"/>
      <c r="X747" s="102"/>
      <c r="Y747" s="102" t="s">
        <v>14</v>
      </c>
      <c r="Z747" s="102"/>
      <c r="AA747" s="102"/>
      <c r="AB747" s="102"/>
      <c r="AC747" s="102" t="s">
        <v>15</v>
      </c>
      <c r="AD747" s="102"/>
      <c r="AE747" s="102"/>
      <c r="AF747" s="102"/>
      <c r="AG747" s="102" t="s">
        <v>59</v>
      </c>
      <c r="AH747" s="102"/>
      <c r="AI747" s="102" t="s">
        <v>16</v>
      </c>
      <c r="AJ747" s="102"/>
      <c r="AK747" s="102"/>
      <c r="AL747" s="102"/>
      <c r="AM747" s="102"/>
      <c r="AN747" s="102"/>
      <c r="AO747" s="102"/>
      <c r="AP747" s="102"/>
      <c r="AQ747" s="76" t="s">
        <v>60</v>
      </c>
      <c r="AR747" s="76" t="s">
        <v>70</v>
      </c>
      <c r="AS747" s="76" t="s">
        <v>65</v>
      </c>
      <c r="AT747" s="76" t="s">
        <v>61</v>
      </c>
      <c r="AU747" s="76" t="s">
        <v>62</v>
      </c>
      <c r="AV747" s="76" t="s">
        <v>27</v>
      </c>
      <c r="AW747" s="76" t="s">
        <v>64</v>
      </c>
      <c r="AX747" s="76" t="s">
        <v>63</v>
      </c>
      <c r="AY747" s="76" t="s">
        <v>66</v>
      </c>
      <c r="AZ747" s="76" t="s">
        <v>67</v>
      </c>
    </row>
    <row r="748" spans="2:53" ht="48" thickBot="1" x14ac:dyDescent="0.3">
      <c r="B748" s="20">
        <v>0.85416666666666896</v>
      </c>
      <c r="C748" s="14" t="s">
        <v>13</v>
      </c>
      <c r="D748" s="8" t="s">
        <v>6</v>
      </c>
      <c r="F748" s="13"/>
      <c r="G748" s="81" t="s">
        <v>20</v>
      </c>
      <c r="H748" s="64" t="s">
        <v>17</v>
      </c>
      <c r="I748" s="64" t="s">
        <v>19</v>
      </c>
      <c r="J748" s="64" t="s">
        <v>18</v>
      </c>
      <c r="K748" s="64" t="s">
        <v>52</v>
      </c>
      <c r="L748" s="64" t="s">
        <v>51</v>
      </c>
      <c r="M748" s="64" t="s">
        <v>53</v>
      </c>
      <c r="N748" s="64" t="s">
        <v>54</v>
      </c>
      <c r="O748" s="64" t="s">
        <v>20</v>
      </c>
      <c r="P748" s="64" t="s">
        <v>19</v>
      </c>
      <c r="Q748" s="64" t="s">
        <v>55</v>
      </c>
      <c r="R748" s="64" t="s">
        <v>56</v>
      </c>
      <c r="S748" s="64" t="s">
        <v>52</v>
      </c>
      <c r="T748" s="64" t="s">
        <v>51</v>
      </c>
      <c r="U748" s="64" t="s">
        <v>57</v>
      </c>
      <c r="V748" s="64" t="s">
        <v>58</v>
      </c>
      <c r="W748" s="64" t="s">
        <v>53</v>
      </c>
      <c r="X748" s="64" t="s">
        <v>54</v>
      </c>
      <c r="Y748" s="81" t="s">
        <v>20</v>
      </c>
      <c r="Z748" s="64" t="s">
        <v>17</v>
      </c>
      <c r="AA748" s="64" t="s">
        <v>19</v>
      </c>
      <c r="AB748" s="64" t="s">
        <v>18</v>
      </c>
      <c r="AC748" s="64" t="s">
        <v>52</v>
      </c>
      <c r="AD748" s="64" t="s">
        <v>51</v>
      </c>
      <c r="AE748" s="64" t="s">
        <v>53</v>
      </c>
      <c r="AF748" s="64" t="s">
        <v>54</v>
      </c>
      <c r="AG748" s="64" t="s">
        <v>20</v>
      </c>
      <c r="AH748" s="64" t="s">
        <v>19</v>
      </c>
      <c r="AI748" s="64" t="s">
        <v>55</v>
      </c>
      <c r="AJ748" s="64" t="s">
        <v>56</v>
      </c>
      <c r="AK748" s="64" t="s">
        <v>52</v>
      </c>
      <c r="AL748" s="64" t="s">
        <v>51</v>
      </c>
      <c r="AM748" s="64" t="s">
        <v>57</v>
      </c>
      <c r="AN748" s="64" t="s">
        <v>58</v>
      </c>
      <c r="AO748" s="64" t="s">
        <v>53</v>
      </c>
      <c r="AP748" s="64" t="s">
        <v>54</v>
      </c>
      <c r="AQ748" s="46"/>
      <c r="AR748" s="46"/>
      <c r="AS748" s="46"/>
      <c r="AT748" s="46"/>
      <c r="AU748" s="46"/>
      <c r="AV748" s="46"/>
      <c r="AW748" s="46"/>
      <c r="AX748" s="46"/>
    </row>
    <row r="749" spans="2:53" ht="16.5" customHeight="1" thickBot="1" x14ac:dyDescent="0.3">
      <c r="B749" s="1" t="s">
        <v>0</v>
      </c>
      <c r="C749" s="10">
        <v>10</v>
      </c>
      <c r="D749">
        <f>C749</f>
        <v>10</v>
      </c>
      <c r="F749" s="12" t="s">
        <v>0</v>
      </c>
      <c r="G749" s="86"/>
      <c r="H749" s="66"/>
      <c r="I749" s="66"/>
      <c r="J749" s="67"/>
      <c r="K749" s="65"/>
      <c r="L749" s="66"/>
      <c r="M749" s="66"/>
      <c r="N749" s="66"/>
      <c r="O749" s="65">
        <v>1</v>
      </c>
      <c r="P749" s="67"/>
      <c r="Q749" s="65">
        <v>3</v>
      </c>
      <c r="R749" s="66">
        <v>3</v>
      </c>
      <c r="S749" s="66"/>
      <c r="T749" s="66"/>
      <c r="U749" s="66"/>
      <c r="V749" s="66">
        <v>3</v>
      </c>
      <c r="W749" s="66"/>
      <c r="X749" s="67"/>
      <c r="Y749" s="86"/>
      <c r="Z749" s="66"/>
      <c r="AA749" s="66"/>
      <c r="AB749" s="66"/>
      <c r="AC749" s="65"/>
      <c r="AD749" s="66"/>
      <c r="AE749" s="66"/>
      <c r="AF749" s="67"/>
      <c r="AG749" s="66"/>
      <c r="AH749" s="67">
        <v>1</v>
      </c>
      <c r="AI749" s="66">
        <v>1</v>
      </c>
      <c r="AJ749" s="66"/>
      <c r="AK749" s="66">
        <v>1</v>
      </c>
      <c r="AL749" s="66"/>
      <c r="AM749" s="66">
        <v>2</v>
      </c>
      <c r="AN749" s="66"/>
      <c r="AO749" s="66">
        <v>2</v>
      </c>
      <c r="AP749" s="66">
        <v>3</v>
      </c>
      <c r="AQ749" s="65">
        <v>1</v>
      </c>
      <c r="AR749" s="65"/>
      <c r="AS749" s="65"/>
      <c r="AT749" s="65"/>
      <c r="AU749" s="65"/>
      <c r="AV749" s="65"/>
      <c r="AW749" s="65"/>
      <c r="AX749" s="68">
        <v>1</v>
      </c>
      <c r="AY749" s="17">
        <v>1</v>
      </c>
      <c r="AZ749" s="17"/>
      <c r="BA749" t="s">
        <v>93</v>
      </c>
    </row>
    <row r="750" spans="2:53" ht="16.5" customHeight="1" thickBot="1" x14ac:dyDescent="0.3">
      <c r="B750" s="1" t="s">
        <v>1</v>
      </c>
      <c r="C750" s="10">
        <v>2</v>
      </c>
      <c r="D750">
        <f t="shared" ref="D750:D752" si="82">C750</f>
        <v>2</v>
      </c>
      <c r="F750" s="1" t="s">
        <v>1</v>
      </c>
      <c r="G750" s="87"/>
      <c r="H750" s="46"/>
      <c r="I750" s="46"/>
      <c r="J750" s="70"/>
      <c r="K750" s="69">
        <v>1</v>
      </c>
      <c r="L750" s="46"/>
      <c r="M750" s="46"/>
      <c r="N750" s="46"/>
      <c r="O750" s="69"/>
      <c r="P750" s="70">
        <v>1</v>
      </c>
      <c r="Q750" s="69"/>
      <c r="R750" s="46"/>
      <c r="S750" s="46"/>
      <c r="T750" s="46"/>
      <c r="U750" s="46"/>
      <c r="V750" s="46"/>
      <c r="W750" s="46"/>
      <c r="X750" s="70"/>
      <c r="Y750" s="87"/>
      <c r="Z750" s="46"/>
      <c r="AA750" s="46"/>
      <c r="AB750" s="46"/>
      <c r="AC750" s="69"/>
      <c r="AD750" s="46"/>
      <c r="AE750" s="46"/>
      <c r="AF750" s="70">
        <v>1</v>
      </c>
      <c r="AG750" s="46">
        <v>1</v>
      </c>
      <c r="AH750" s="70"/>
      <c r="AI750" s="46"/>
      <c r="AJ750" s="46"/>
      <c r="AK750" s="46"/>
      <c r="AL750" s="46"/>
      <c r="AM750" s="46"/>
      <c r="AN750" s="46"/>
      <c r="AO750" s="46"/>
      <c r="AP750" s="46"/>
      <c r="AQ750" s="69"/>
      <c r="AR750" s="69"/>
      <c r="AS750" s="69"/>
      <c r="AT750" s="69"/>
      <c r="AU750" s="69"/>
      <c r="AV750" s="69"/>
      <c r="AW750" s="69"/>
      <c r="AX750" s="71"/>
      <c r="AY750" s="18"/>
      <c r="AZ750" s="18"/>
    </row>
    <row r="751" spans="2:53" ht="16.5" customHeight="1" thickBot="1" x14ac:dyDescent="0.3">
      <c r="B751" s="1" t="s">
        <v>2</v>
      </c>
      <c r="C751" s="10"/>
      <c r="D751">
        <f>C751</f>
        <v>0</v>
      </c>
      <c r="F751" s="1" t="s">
        <v>2</v>
      </c>
      <c r="G751" s="87"/>
      <c r="H751" s="46"/>
      <c r="I751" s="46"/>
      <c r="J751" s="70"/>
      <c r="K751" s="69"/>
      <c r="L751" s="46"/>
      <c r="M751" s="46"/>
      <c r="N751" s="46"/>
      <c r="O751" s="69"/>
      <c r="P751" s="70"/>
      <c r="Q751" s="69"/>
      <c r="R751" s="46"/>
      <c r="S751" s="46"/>
      <c r="T751" s="46"/>
      <c r="U751" s="46"/>
      <c r="V751" s="46"/>
      <c r="W751" s="46"/>
      <c r="X751" s="70"/>
      <c r="Y751" s="87"/>
      <c r="Z751" s="46"/>
      <c r="AA751" s="46"/>
      <c r="AB751" s="46"/>
      <c r="AC751" s="69"/>
      <c r="AD751" s="46"/>
      <c r="AE751" s="46"/>
      <c r="AF751" s="70"/>
      <c r="AG751" s="46"/>
      <c r="AH751" s="70"/>
      <c r="AI751" s="46"/>
      <c r="AJ751" s="46"/>
      <c r="AK751" s="46"/>
      <c r="AL751" s="46"/>
      <c r="AM751" s="46"/>
      <c r="AN751" s="46"/>
      <c r="AO751" s="46"/>
      <c r="AP751" s="46"/>
      <c r="AQ751" s="69"/>
      <c r="AR751" s="69"/>
      <c r="AS751" s="69"/>
      <c r="AT751" s="69"/>
      <c r="AU751" s="69"/>
      <c r="AV751" s="69"/>
      <c r="AW751" s="69"/>
      <c r="AX751" s="71"/>
      <c r="AY751" s="18"/>
      <c r="AZ751" s="18"/>
    </row>
    <row r="752" spans="2:53" ht="16.5" customHeight="1" thickBot="1" x14ac:dyDescent="0.3">
      <c r="B752" s="1" t="s">
        <v>3</v>
      </c>
      <c r="C752" s="10"/>
      <c r="D752" s="7">
        <f t="shared" si="82"/>
        <v>0</v>
      </c>
      <c r="F752" s="1" t="s">
        <v>3</v>
      </c>
      <c r="G752" s="88"/>
      <c r="H752" s="73"/>
      <c r="I752" s="73"/>
      <c r="J752" s="74"/>
      <c r="K752" s="72"/>
      <c r="L752" s="73"/>
      <c r="M752" s="73"/>
      <c r="N752" s="73"/>
      <c r="O752" s="72"/>
      <c r="P752" s="74"/>
      <c r="Q752" s="72"/>
      <c r="R752" s="73"/>
      <c r="S752" s="73"/>
      <c r="T752" s="73"/>
      <c r="U752" s="73"/>
      <c r="V752" s="73"/>
      <c r="W752" s="73"/>
      <c r="X752" s="74"/>
      <c r="Y752" s="88"/>
      <c r="Z752" s="73"/>
      <c r="AA752" s="73"/>
      <c r="AB752" s="73"/>
      <c r="AC752" s="72"/>
      <c r="AD752" s="73"/>
      <c r="AE752" s="73"/>
      <c r="AF752" s="74"/>
      <c r="AG752" s="73"/>
      <c r="AH752" s="74"/>
      <c r="AI752" s="73"/>
      <c r="AJ752" s="73"/>
      <c r="AK752" s="73"/>
      <c r="AL752" s="73"/>
      <c r="AM752" s="73"/>
      <c r="AN752" s="73"/>
      <c r="AO752" s="73"/>
      <c r="AP752" s="73"/>
      <c r="AQ752" s="72"/>
      <c r="AR752" s="72"/>
      <c r="AS752" s="72"/>
      <c r="AT752" s="72"/>
      <c r="AU752" s="72"/>
      <c r="AV752" s="72"/>
      <c r="AW752" s="72"/>
      <c r="AX752" s="75"/>
      <c r="AY752" s="19"/>
      <c r="AZ752" s="19"/>
    </row>
    <row r="753" spans="2:52" ht="21" customHeight="1" x14ac:dyDescent="0.25">
      <c r="B753" s="2"/>
      <c r="C753" s="3" t="s">
        <v>25</v>
      </c>
      <c r="D753" s="9">
        <f>SUM(D749:D752)</f>
        <v>12</v>
      </c>
      <c r="G753" s="85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85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</row>
    <row r="754" spans="2:52" x14ac:dyDescent="0.25"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</row>
    <row r="755" spans="2:52" ht="15.75" x14ac:dyDescent="0.25">
      <c r="G755" s="100" t="s">
        <v>22</v>
      </c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1" t="s">
        <v>21</v>
      </c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46"/>
      <c r="AR755" s="46"/>
      <c r="AS755" s="46"/>
      <c r="AT755" s="46"/>
      <c r="AU755" s="46"/>
      <c r="AV755" s="46"/>
      <c r="AW755" s="46"/>
      <c r="AX755" s="46"/>
    </row>
    <row r="756" spans="2:52" ht="32.25" thickBot="1" x14ac:dyDescent="0.3">
      <c r="G756" s="102" t="s">
        <v>14</v>
      </c>
      <c r="H756" s="102"/>
      <c r="I756" s="102"/>
      <c r="J756" s="102"/>
      <c r="K756" s="102" t="s">
        <v>15</v>
      </c>
      <c r="L756" s="102"/>
      <c r="M756" s="102"/>
      <c r="N756" s="102"/>
      <c r="O756" s="102" t="s">
        <v>59</v>
      </c>
      <c r="P756" s="102"/>
      <c r="Q756" s="102" t="s">
        <v>16</v>
      </c>
      <c r="R756" s="102"/>
      <c r="S756" s="102"/>
      <c r="T756" s="102"/>
      <c r="U756" s="102"/>
      <c r="V756" s="102"/>
      <c r="W756" s="102"/>
      <c r="X756" s="102"/>
      <c r="Y756" s="102" t="s">
        <v>14</v>
      </c>
      <c r="Z756" s="102"/>
      <c r="AA756" s="102"/>
      <c r="AB756" s="102"/>
      <c r="AC756" s="102" t="s">
        <v>15</v>
      </c>
      <c r="AD756" s="102"/>
      <c r="AE756" s="102"/>
      <c r="AF756" s="102"/>
      <c r="AG756" s="102" t="s">
        <v>59</v>
      </c>
      <c r="AH756" s="102"/>
      <c r="AI756" s="102" t="s">
        <v>16</v>
      </c>
      <c r="AJ756" s="102"/>
      <c r="AK756" s="102"/>
      <c r="AL756" s="102"/>
      <c r="AM756" s="102"/>
      <c r="AN756" s="102"/>
      <c r="AO756" s="102"/>
      <c r="AP756" s="102"/>
      <c r="AQ756" s="76" t="s">
        <v>60</v>
      </c>
      <c r="AR756" s="76" t="s">
        <v>70</v>
      </c>
      <c r="AS756" s="76" t="s">
        <v>65</v>
      </c>
      <c r="AT756" s="76" t="s">
        <v>61</v>
      </c>
      <c r="AU756" s="76" t="s">
        <v>62</v>
      </c>
      <c r="AV756" s="76" t="s">
        <v>27</v>
      </c>
      <c r="AW756" s="76" t="s">
        <v>64</v>
      </c>
      <c r="AX756" s="76" t="s">
        <v>63</v>
      </c>
      <c r="AY756" s="76" t="s">
        <v>66</v>
      </c>
      <c r="AZ756" s="76" t="s">
        <v>67</v>
      </c>
    </row>
    <row r="757" spans="2:52" ht="48" thickBot="1" x14ac:dyDescent="0.3">
      <c r="B757" s="20">
        <v>0.86458333333333603</v>
      </c>
      <c r="C757" s="14" t="s">
        <v>13</v>
      </c>
      <c r="D757" s="8" t="s">
        <v>6</v>
      </c>
      <c r="F757" s="13"/>
      <c r="G757" s="81" t="s">
        <v>20</v>
      </c>
      <c r="H757" s="64" t="s">
        <v>17</v>
      </c>
      <c r="I757" s="64" t="s">
        <v>19</v>
      </c>
      <c r="J757" s="64" t="s">
        <v>18</v>
      </c>
      <c r="K757" s="64" t="s">
        <v>52</v>
      </c>
      <c r="L757" s="64" t="s">
        <v>51</v>
      </c>
      <c r="M757" s="64" t="s">
        <v>53</v>
      </c>
      <c r="N757" s="64" t="s">
        <v>54</v>
      </c>
      <c r="O757" s="64" t="s">
        <v>20</v>
      </c>
      <c r="P757" s="64" t="s">
        <v>19</v>
      </c>
      <c r="Q757" s="64" t="s">
        <v>55</v>
      </c>
      <c r="R757" s="64" t="s">
        <v>56</v>
      </c>
      <c r="S757" s="64" t="s">
        <v>52</v>
      </c>
      <c r="T757" s="64" t="s">
        <v>51</v>
      </c>
      <c r="U757" s="64" t="s">
        <v>57</v>
      </c>
      <c r="V757" s="64" t="s">
        <v>58</v>
      </c>
      <c r="W757" s="64" t="s">
        <v>53</v>
      </c>
      <c r="X757" s="64" t="s">
        <v>54</v>
      </c>
      <c r="Y757" s="81" t="s">
        <v>20</v>
      </c>
      <c r="Z757" s="64" t="s">
        <v>17</v>
      </c>
      <c r="AA757" s="64" t="s">
        <v>19</v>
      </c>
      <c r="AB757" s="64" t="s">
        <v>18</v>
      </c>
      <c r="AC757" s="64" t="s">
        <v>52</v>
      </c>
      <c r="AD757" s="64" t="s">
        <v>51</v>
      </c>
      <c r="AE757" s="64" t="s">
        <v>53</v>
      </c>
      <c r="AF757" s="64" t="s">
        <v>54</v>
      </c>
      <c r="AG757" s="64" t="s">
        <v>20</v>
      </c>
      <c r="AH757" s="64" t="s">
        <v>19</v>
      </c>
      <c r="AI757" s="64" t="s">
        <v>55</v>
      </c>
      <c r="AJ757" s="64" t="s">
        <v>56</v>
      </c>
      <c r="AK757" s="64" t="s">
        <v>52</v>
      </c>
      <c r="AL757" s="64" t="s">
        <v>51</v>
      </c>
      <c r="AM757" s="64" t="s">
        <v>57</v>
      </c>
      <c r="AN757" s="64" t="s">
        <v>58</v>
      </c>
      <c r="AO757" s="64" t="s">
        <v>53</v>
      </c>
      <c r="AP757" s="64" t="s">
        <v>54</v>
      </c>
      <c r="AQ757" s="46"/>
      <c r="AR757" s="46"/>
      <c r="AS757" s="46"/>
      <c r="AT757" s="46"/>
      <c r="AU757" s="46"/>
      <c r="AV757" s="46"/>
      <c r="AW757" s="46"/>
      <c r="AX757" s="46"/>
    </row>
    <row r="758" spans="2:52" ht="16.5" customHeight="1" thickBot="1" x14ac:dyDescent="0.3">
      <c r="B758" s="1" t="s">
        <v>0</v>
      </c>
      <c r="C758" s="10">
        <v>5</v>
      </c>
      <c r="D758">
        <f>C758</f>
        <v>5</v>
      </c>
      <c r="F758" s="12" t="s">
        <v>0</v>
      </c>
      <c r="G758" s="86"/>
      <c r="H758" s="66"/>
      <c r="I758" s="66"/>
      <c r="J758" s="67"/>
      <c r="K758" s="65"/>
      <c r="L758" s="66"/>
      <c r="M758" s="66"/>
      <c r="N758" s="66"/>
      <c r="O758" s="65">
        <v>2</v>
      </c>
      <c r="P758" s="67">
        <v>2</v>
      </c>
      <c r="Q758" s="65">
        <v>1</v>
      </c>
      <c r="R758" s="66"/>
      <c r="S758" s="66"/>
      <c r="T758" s="66"/>
      <c r="U758" s="66"/>
      <c r="V758" s="66"/>
      <c r="W758" s="66"/>
      <c r="X758" s="67"/>
      <c r="Y758" s="86"/>
      <c r="Z758" s="66"/>
      <c r="AA758" s="66"/>
      <c r="AB758" s="66"/>
      <c r="AC758" s="65"/>
      <c r="AD758" s="66"/>
      <c r="AE758" s="66"/>
      <c r="AF758" s="67"/>
      <c r="AG758" s="66">
        <v>2</v>
      </c>
      <c r="AH758" s="67">
        <v>2</v>
      </c>
      <c r="AI758" s="66"/>
      <c r="AJ758" s="66"/>
      <c r="AK758" s="66"/>
      <c r="AL758" s="66"/>
      <c r="AM758" s="66"/>
      <c r="AN758" s="66"/>
      <c r="AO758" s="66"/>
      <c r="AP758" s="66">
        <v>1</v>
      </c>
      <c r="AQ758" s="65"/>
      <c r="AR758" s="65">
        <v>1</v>
      </c>
      <c r="AS758" s="65"/>
      <c r="AT758" s="65"/>
      <c r="AU758" s="65"/>
      <c r="AV758" s="65"/>
      <c r="AW758" s="65"/>
      <c r="AX758" s="68"/>
      <c r="AY758" s="17"/>
      <c r="AZ758" s="17"/>
    </row>
    <row r="759" spans="2:52" ht="16.5" customHeight="1" thickBot="1" x14ac:dyDescent="0.3">
      <c r="B759" s="1" t="s">
        <v>1</v>
      </c>
      <c r="C759" s="10">
        <v>1</v>
      </c>
      <c r="D759">
        <f t="shared" ref="D759:D761" si="83">C759</f>
        <v>1</v>
      </c>
      <c r="F759" s="1" t="s">
        <v>1</v>
      </c>
      <c r="G759" s="87"/>
      <c r="H759" s="46"/>
      <c r="I759" s="46"/>
      <c r="J759" s="70"/>
      <c r="K759" s="69"/>
      <c r="L759" s="46"/>
      <c r="M759" s="46"/>
      <c r="N759" s="46"/>
      <c r="O759" s="69">
        <v>1</v>
      </c>
      <c r="P759" s="70"/>
      <c r="Q759" s="69"/>
      <c r="R759" s="46"/>
      <c r="S759" s="46"/>
      <c r="T759" s="46"/>
      <c r="U759" s="46"/>
      <c r="V759" s="46"/>
      <c r="W759" s="46"/>
      <c r="X759" s="70"/>
      <c r="Y759" s="87"/>
      <c r="Z759" s="46"/>
      <c r="AA759" s="46"/>
      <c r="AB759" s="46"/>
      <c r="AC759" s="69"/>
      <c r="AD759" s="46"/>
      <c r="AE759" s="46"/>
      <c r="AF759" s="70"/>
      <c r="AG759" s="46"/>
      <c r="AH759" s="70">
        <v>1</v>
      </c>
      <c r="AI759" s="46"/>
      <c r="AJ759" s="46"/>
      <c r="AK759" s="46"/>
      <c r="AL759" s="46"/>
      <c r="AM759" s="46"/>
      <c r="AN759" s="46"/>
      <c r="AO759" s="46"/>
      <c r="AP759" s="46"/>
      <c r="AQ759" s="69"/>
      <c r="AR759" s="69">
        <v>1</v>
      </c>
      <c r="AS759" s="69"/>
      <c r="AT759" s="69"/>
      <c r="AU759" s="69"/>
      <c r="AV759" s="69"/>
      <c r="AW759" s="69"/>
      <c r="AX759" s="71"/>
      <c r="AY759" s="18"/>
      <c r="AZ759" s="18"/>
    </row>
    <row r="760" spans="2:52" ht="16.5" customHeight="1" thickBot="1" x14ac:dyDescent="0.3">
      <c r="B760" s="1" t="s">
        <v>2</v>
      </c>
      <c r="C760" s="10"/>
      <c r="D760">
        <f>C760</f>
        <v>0</v>
      </c>
      <c r="F760" s="1" t="s">
        <v>2</v>
      </c>
      <c r="G760" s="87"/>
      <c r="H760" s="46"/>
      <c r="I760" s="46"/>
      <c r="J760" s="70"/>
      <c r="K760" s="69"/>
      <c r="L760" s="46"/>
      <c r="M760" s="46"/>
      <c r="N760" s="46"/>
      <c r="O760" s="69"/>
      <c r="P760" s="70"/>
      <c r="Q760" s="69"/>
      <c r="R760" s="46"/>
      <c r="S760" s="46"/>
      <c r="T760" s="46"/>
      <c r="U760" s="46"/>
      <c r="V760" s="46"/>
      <c r="W760" s="46"/>
      <c r="X760" s="70"/>
      <c r="Y760" s="87"/>
      <c r="Z760" s="46"/>
      <c r="AA760" s="46"/>
      <c r="AB760" s="46"/>
      <c r="AC760" s="69"/>
      <c r="AD760" s="46"/>
      <c r="AE760" s="46"/>
      <c r="AF760" s="70"/>
      <c r="AG760" s="46"/>
      <c r="AH760" s="70"/>
      <c r="AI760" s="46"/>
      <c r="AJ760" s="46"/>
      <c r="AK760" s="46"/>
      <c r="AL760" s="46"/>
      <c r="AM760" s="46"/>
      <c r="AN760" s="46"/>
      <c r="AO760" s="46"/>
      <c r="AP760" s="46"/>
      <c r="AQ760" s="69"/>
      <c r="AR760" s="69"/>
      <c r="AS760" s="69"/>
      <c r="AT760" s="69"/>
      <c r="AU760" s="69"/>
      <c r="AV760" s="69"/>
      <c r="AW760" s="69"/>
      <c r="AX760" s="71"/>
      <c r="AY760" s="18"/>
      <c r="AZ760" s="18"/>
    </row>
    <row r="761" spans="2:52" ht="16.5" customHeight="1" thickBot="1" x14ac:dyDescent="0.3">
      <c r="B761" s="1" t="s">
        <v>3</v>
      </c>
      <c r="C761" s="10"/>
      <c r="D761" s="7">
        <f t="shared" si="83"/>
        <v>0</v>
      </c>
      <c r="F761" s="1" t="s">
        <v>3</v>
      </c>
      <c r="G761" s="88"/>
      <c r="H761" s="73"/>
      <c r="I761" s="73"/>
      <c r="J761" s="74"/>
      <c r="K761" s="72"/>
      <c r="L761" s="73"/>
      <c r="M761" s="73"/>
      <c r="N761" s="73"/>
      <c r="O761" s="72"/>
      <c r="P761" s="74"/>
      <c r="Q761" s="72"/>
      <c r="R761" s="73"/>
      <c r="S761" s="73"/>
      <c r="T761" s="73"/>
      <c r="U761" s="73"/>
      <c r="V761" s="73"/>
      <c r="W761" s="73"/>
      <c r="X761" s="74"/>
      <c r="Y761" s="88"/>
      <c r="Z761" s="73"/>
      <c r="AA761" s="73"/>
      <c r="AB761" s="73"/>
      <c r="AC761" s="72"/>
      <c r="AD761" s="73"/>
      <c r="AE761" s="73"/>
      <c r="AF761" s="74"/>
      <c r="AG761" s="73"/>
      <c r="AH761" s="74"/>
      <c r="AI761" s="73"/>
      <c r="AJ761" s="73"/>
      <c r="AK761" s="73"/>
      <c r="AL761" s="73"/>
      <c r="AM761" s="73"/>
      <c r="AN761" s="73"/>
      <c r="AO761" s="73"/>
      <c r="AP761" s="73"/>
      <c r="AQ761" s="72"/>
      <c r="AR761" s="72"/>
      <c r="AS761" s="72"/>
      <c r="AT761" s="72"/>
      <c r="AU761" s="72"/>
      <c r="AV761" s="72"/>
      <c r="AW761" s="72"/>
      <c r="AX761" s="75"/>
      <c r="AY761" s="19"/>
      <c r="AZ761" s="19"/>
    </row>
    <row r="762" spans="2:52" ht="21" customHeight="1" x14ac:dyDescent="0.25">
      <c r="B762" s="2"/>
      <c r="C762" s="3" t="s">
        <v>25</v>
      </c>
      <c r="D762" s="9">
        <f>SUM(D758:D761)</f>
        <v>6</v>
      </c>
      <c r="G762" s="85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85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</row>
    <row r="763" spans="2:52" x14ac:dyDescent="0.25"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</row>
    <row r="764" spans="2:52" ht="15.75" x14ac:dyDescent="0.25">
      <c r="G764" s="100" t="s">
        <v>22</v>
      </c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1" t="s">
        <v>21</v>
      </c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46"/>
      <c r="AR764" s="46"/>
      <c r="AS764" s="46"/>
      <c r="AT764" s="46"/>
      <c r="AU764" s="46"/>
      <c r="AV764" s="46"/>
      <c r="AW764" s="46"/>
      <c r="AX764" s="46"/>
    </row>
    <row r="765" spans="2:52" ht="32.25" thickBot="1" x14ac:dyDescent="0.3">
      <c r="G765" s="102" t="s">
        <v>14</v>
      </c>
      <c r="H765" s="102"/>
      <c r="I765" s="102"/>
      <c r="J765" s="102"/>
      <c r="K765" s="102" t="s">
        <v>15</v>
      </c>
      <c r="L765" s="102"/>
      <c r="M765" s="102"/>
      <c r="N765" s="102"/>
      <c r="O765" s="102" t="s">
        <v>59</v>
      </c>
      <c r="P765" s="102"/>
      <c r="Q765" s="102" t="s">
        <v>16</v>
      </c>
      <c r="R765" s="102"/>
      <c r="S765" s="102"/>
      <c r="T765" s="102"/>
      <c r="U765" s="102"/>
      <c r="V765" s="102"/>
      <c r="W765" s="102"/>
      <c r="X765" s="102"/>
      <c r="Y765" s="102" t="s">
        <v>14</v>
      </c>
      <c r="Z765" s="102"/>
      <c r="AA765" s="102"/>
      <c r="AB765" s="102"/>
      <c r="AC765" s="102" t="s">
        <v>15</v>
      </c>
      <c r="AD765" s="102"/>
      <c r="AE765" s="102"/>
      <c r="AF765" s="102"/>
      <c r="AG765" s="102" t="s">
        <v>59</v>
      </c>
      <c r="AH765" s="102"/>
      <c r="AI765" s="102" t="s">
        <v>16</v>
      </c>
      <c r="AJ765" s="102"/>
      <c r="AK765" s="102"/>
      <c r="AL765" s="102"/>
      <c r="AM765" s="102"/>
      <c r="AN765" s="102"/>
      <c r="AO765" s="102"/>
      <c r="AP765" s="102"/>
      <c r="AQ765" s="76" t="s">
        <v>60</v>
      </c>
      <c r="AR765" s="76" t="s">
        <v>70</v>
      </c>
      <c r="AS765" s="76" t="s">
        <v>65</v>
      </c>
      <c r="AT765" s="76" t="s">
        <v>61</v>
      </c>
      <c r="AU765" s="76" t="s">
        <v>62</v>
      </c>
      <c r="AV765" s="76" t="s">
        <v>27</v>
      </c>
      <c r="AW765" s="76" t="s">
        <v>64</v>
      </c>
      <c r="AX765" s="76" t="s">
        <v>63</v>
      </c>
      <c r="AY765" s="76" t="s">
        <v>66</v>
      </c>
      <c r="AZ765" s="76" t="s">
        <v>67</v>
      </c>
    </row>
    <row r="766" spans="2:52" ht="48" thickBot="1" x14ac:dyDescent="0.3">
      <c r="B766" s="21">
        <v>0.875000000000003</v>
      </c>
      <c r="C766" s="14" t="s">
        <v>13</v>
      </c>
      <c r="D766" s="8" t="s">
        <v>6</v>
      </c>
      <c r="F766" s="13"/>
      <c r="G766" s="81" t="s">
        <v>20</v>
      </c>
      <c r="H766" s="64" t="s">
        <v>17</v>
      </c>
      <c r="I766" s="64" t="s">
        <v>19</v>
      </c>
      <c r="J766" s="64" t="s">
        <v>18</v>
      </c>
      <c r="K766" s="64" t="s">
        <v>52</v>
      </c>
      <c r="L766" s="64" t="s">
        <v>51</v>
      </c>
      <c r="M766" s="64" t="s">
        <v>53</v>
      </c>
      <c r="N766" s="64" t="s">
        <v>54</v>
      </c>
      <c r="O766" s="64" t="s">
        <v>20</v>
      </c>
      <c r="P766" s="64" t="s">
        <v>19</v>
      </c>
      <c r="Q766" s="64" t="s">
        <v>55</v>
      </c>
      <c r="R766" s="64" t="s">
        <v>56</v>
      </c>
      <c r="S766" s="64" t="s">
        <v>52</v>
      </c>
      <c r="T766" s="64" t="s">
        <v>51</v>
      </c>
      <c r="U766" s="64" t="s">
        <v>57</v>
      </c>
      <c r="V766" s="64" t="s">
        <v>58</v>
      </c>
      <c r="W766" s="64" t="s">
        <v>53</v>
      </c>
      <c r="X766" s="64" t="s">
        <v>54</v>
      </c>
      <c r="Y766" s="81" t="s">
        <v>20</v>
      </c>
      <c r="Z766" s="64" t="s">
        <v>17</v>
      </c>
      <c r="AA766" s="64" t="s">
        <v>19</v>
      </c>
      <c r="AB766" s="64" t="s">
        <v>18</v>
      </c>
      <c r="AC766" s="64" t="s">
        <v>52</v>
      </c>
      <c r="AD766" s="64" t="s">
        <v>51</v>
      </c>
      <c r="AE766" s="64" t="s">
        <v>53</v>
      </c>
      <c r="AF766" s="64" t="s">
        <v>54</v>
      </c>
      <c r="AG766" s="64" t="s">
        <v>20</v>
      </c>
      <c r="AH766" s="64" t="s">
        <v>19</v>
      </c>
      <c r="AI766" s="64" t="s">
        <v>55</v>
      </c>
      <c r="AJ766" s="64" t="s">
        <v>56</v>
      </c>
      <c r="AK766" s="64" t="s">
        <v>52</v>
      </c>
      <c r="AL766" s="64" t="s">
        <v>51</v>
      </c>
      <c r="AM766" s="64" t="s">
        <v>57</v>
      </c>
      <c r="AN766" s="64" t="s">
        <v>58</v>
      </c>
      <c r="AO766" s="64" t="s">
        <v>53</v>
      </c>
      <c r="AP766" s="64" t="s">
        <v>54</v>
      </c>
      <c r="AQ766" s="46"/>
      <c r="AR766" s="46"/>
      <c r="AS766" s="46"/>
      <c r="AT766" s="46"/>
      <c r="AU766" s="46"/>
      <c r="AV766" s="46"/>
      <c r="AW766" s="46"/>
      <c r="AX766" s="46"/>
    </row>
    <row r="767" spans="2:52" ht="16.5" customHeight="1" thickBot="1" x14ac:dyDescent="0.3">
      <c r="B767" s="1" t="s">
        <v>0</v>
      </c>
      <c r="C767" s="10"/>
      <c r="D767">
        <f>C767</f>
        <v>0</v>
      </c>
      <c r="F767" s="12" t="s">
        <v>0</v>
      </c>
      <c r="G767" s="86"/>
      <c r="H767" s="66"/>
      <c r="I767" s="66"/>
      <c r="J767" s="67"/>
      <c r="K767" s="65"/>
      <c r="L767" s="66"/>
      <c r="M767" s="66"/>
      <c r="N767" s="66"/>
      <c r="O767" s="65"/>
      <c r="P767" s="67"/>
      <c r="Q767" s="65"/>
      <c r="R767" s="66"/>
      <c r="S767" s="66"/>
      <c r="T767" s="66"/>
      <c r="U767" s="66"/>
      <c r="V767" s="66"/>
      <c r="W767" s="66"/>
      <c r="X767" s="67"/>
      <c r="Y767" s="86"/>
      <c r="Z767" s="66"/>
      <c r="AA767" s="66"/>
      <c r="AB767" s="66"/>
      <c r="AC767" s="65"/>
      <c r="AD767" s="66"/>
      <c r="AE767" s="66"/>
      <c r="AF767" s="67"/>
      <c r="AG767" s="66"/>
      <c r="AH767" s="67"/>
      <c r="AI767" s="66"/>
      <c r="AJ767" s="66"/>
      <c r="AK767" s="66"/>
      <c r="AL767" s="66"/>
      <c r="AM767" s="66"/>
      <c r="AN767" s="66"/>
      <c r="AO767" s="66"/>
      <c r="AP767" s="66"/>
      <c r="AQ767" s="65"/>
      <c r="AR767" s="65"/>
      <c r="AS767" s="65"/>
      <c r="AT767" s="65"/>
      <c r="AU767" s="65"/>
      <c r="AV767" s="65"/>
      <c r="AW767" s="65"/>
      <c r="AX767" s="68"/>
      <c r="AY767" s="17"/>
      <c r="AZ767" s="17"/>
    </row>
    <row r="768" spans="2:52" ht="16.5" customHeight="1" thickBot="1" x14ac:dyDescent="0.3">
      <c r="B768" s="1" t="s">
        <v>1</v>
      </c>
      <c r="C768" s="10"/>
      <c r="D768">
        <f t="shared" ref="D768:D770" si="84">C768</f>
        <v>0</v>
      </c>
      <c r="F768" s="1" t="s">
        <v>1</v>
      </c>
      <c r="G768" s="87"/>
      <c r="H768" s="46"/>
      <c r="I768" s="46"/>
      <c r="J768" s="70"/>
      <c r="K768" s="69"/>
      <c r="L768" s="46"/>
      <c r="M768" s="46"/>
      <c r="N768" s="46"/>
      <c r="O768" s="69"/>
      <c r="P768" s="70"/>
      <c r="Q768" s="69"/>
      <c r="R768" s="46"/>
      <c r="S768" s="46"/>
      <c r="T768" s="46"/>
      <c r="U768" s="46"/>
      <c r="V768" s="46"/>
      <c r="W768" s="46"/>
      <c r="X768" s="70"/>
      <c r="Y768" s="87"/>
      <c r="Z768" s="46"/>
      <c r="AA768" s="46"/>
      <c r="AB768" s="46"/>
      <c r="AC768" s="69"/>
      <c r="AD768" s="46"/>
      <c r="AE768" s="46"/>
      <c r="AF768" s="70"/>
      <c r="AG768" s="46"/>
      <c r="AH768" s="70"/>
      <c r="AI768" s="46"/>
      <c r="AJ768" s="46"/>
      <c r="AK768" s="46"/>
      <c r="AL768" s="46"/>
      <c r="AM768" s="46"/>
      <c r="AN768" s="46"/>
      <c r="AO768" s="46"/>
      <c r="AP768" s="46"/>
      <c r="AQ768" s="69"/>
      <c r="AR768" s="69"/>
      <c r="AS768" s="69"/>
      <c r="AT768" s="69"/>
      <c r="AU768" s="69"/>
      <c r="AV768" s="69"/>
      <c r="AW768" s="69"/>
      <c r="AX768" s="71"/>
      <c r="AY768" s="18"/>
      <c r="AZ768" s="18"/>
    </row>
    <row r="769" spans="2:52" ht="16.5" customHeight="1" thickBot="1" x14ac:dyDescent="0.3">
      <c r="B769" s="1" t="s">
        <v>2</v>
      </c>
      <c r="C769" s="10"/>
      <c r="D769">
        <f>C769</f>
        <v>0</v>
      </c>
      <c r="F769" s="1" t="s">
        <v>2</v>
      </c>
      <c r="G769" s="87"/>
      <c r="H769" s="46"/>
      <c r="I769" s="46"/>
      <c r="J769" s="70"/>
      <c r="K769" s="69"/>
      <c r="L769" s="46"/>
      <c r="M769" s="46"/>
      <c r="N769" s="46"/>
      <c r="O769" s="69"/>
      <c r="P769" s="70"/>
      <c r="Q769" s="69"/>
      <c r="R769" s="46"/>
      <c r="S769" s="46"/>
      <c r="T769" s="46"/>
      <c r="U769" s="46"/>
      <c r="V769" s="46"/>
      <c r="W769" s="46"/>
      <c r="X769" s="70"/>
      <c r="Y769" s="87"/>
      <c r="Z769" s="46"/>
      <c r="AA769" s="46"/>
      <c r="AB769" s="46"/>
      <c r="AC769" s="69"/>
      <c r="AD769" s="46"/>
      <c r="AE769" s="46"/>
      <c r="AF769" s="70"/>
      <c r="AG769" s="46"/>
      <c r="AH769" s="70"/>
      <c r="AI769" s="46"/>
      <c r="AJ769" s="46"/>
      <c r="AK769" s="46"/>
      <c r="AL769" s="46"/>
      <c r="AM769" s="46"/>
      <c r="AN769" s="46"/>
      <c r="AO769" s="46"/>
      <c r="AP769" s="46"/>
      <c r="AQ769" s="69"/>
      <c r="AR769" s="69"/>
      <c r="AS769" s="69"/>
      <c r="AT769" s="69"/>
      <c r="AU769" s="69"/>
      <c r="AV769" s="69"/>
      <c r="AW769" s="69"/>
      <c r="AX769" s="71"/>
      <c r="AY769" s="18"/>
      <c r="AZ769" s="18"/>
    </row>
    <row r="770" spans="2:52" ht="16.5" customHeight="1" thickBot="1" x14ac:dyDescent="0.3">
      <c r="B770" s="1" t="s">
        <v>3</v>
      </c>
      <c r="C770" s="10"/>
      <c r="D770" s="7">
        <f t="shared" si="84"/>
        <v>0</v>
      </c>
      <c r="F770" s="1" t="s">
        <v>3</v>
      </c>
      <c r="G770" s="88"/>
      <c r="H770" s="73"/>
      <c r="I770" s="73"/>
      <c r="J770" s="74"/>
      <c r="K770" s="72"/>
      <c r="L770" s="73"/>
      <c r="M770" s="73"/>
      <c r="N770" s="73"/>
      <c r="O770" s="72"/>
      <c r="P770" s="74"/>
      <c r="Q770" s="72"/>
      <c r="R770" s="73"/>
      <c r="S770" s="73"/>
      <c r="T770" s="73"/>
      <c r="U770" s="73"/>
      <c r="V770" s="73"/>
      <c r="W770" s="73"/>
      <c r="X770" s="74"/>
      <c r="Y770" s="88"/>
      <c r="Z770" s="73"/>
      <c r="AA770" s="73"/>
      <c r="AB770" s="73"/>
      <c r="AC770" s="72"/>
      <c r="AD770" s="73"/>
      <c r="AE770" s="73"/>
      <c r="AF770" s="74"/>
      <c r="AG770" s="73"/>
      <c r="AH770" s="74"/>
      <c r="AI770" s="73"/>
      <c r="AJ770" s="73"/>
      <c r="AK770" s="73"/>
      <c r="AL770" s="73"/>
      <c r="AM770" s="73"/>
      <c r="AN770" s="73"/>
      <c r="AO770" s="73"/>
      <c r="AP770" s="73"/>
      <c r="AQ770" s="72"/>
      <c r="AR770" s="72"/>
      <c r="AS770" s="72"/>
      <c r="AT770" s="72"/>
      <c r="AU770" s="72"/>
      <c r="AV770" s="72"/>
      <c r="AW770" s="72"/>
      <c r="AX770" s="75"/>
      <c r="AY770" s="19"/>
      <c r="AZ770" s="19"/>
    </row>
    <row r="771" spans="2:52" ht="21" customHeight="1" x14ac:dyDescent="0.25">
      <c r="B771" s="2"/>
      <c r="C771" s="3" t="s">
        <v>25</v>
      </c>
      <c r="D771" s="9">
        <f>SUM(D767:D770)</f>
        <v>0</v>
      </c>
      <c r="G771" s="85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85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</row>
    <row r="772" spans="2:52" x14ac:dyDescent="0.25"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</row>
    <row r="773" spans="2:52" ht="15.75" x14ac:dyDescent="0.25">
      <c r="G773" s="100" t="s">
        <v>22</v>
      </c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1" t="s">
        <v>21</v>
      </c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46"/>
      <c r="AR773" s="46"/>
      <c r="AS773" s="46"/>
      <c r="AT773" s="46"/>
      <c r="AU773" s="46"/>
      <c r="AV773" s="46"/>
      <c r="AW773" s="46"/>
      <c r="AX773" s="46"/>
    </row>
    <row r="774" spans="2:52" ht="32.25" thickBot="1" x14ac:dyDescent="0.3">
      <c r="G774" s="102" t="s">
        <v>14</v>
      </c>
      <c r="H774" s="102"/>
      <c r="I774" s="102"/>
      <c r="J774" s="102"/>
      <c r="K774" s="102" t="s">
        <v>15</v>
      </c>
      <c r="L774" s="102"/>
      <c r="M774" s="102"/>
      <c r="N774" s="102"/>
      <c r="O774" s="102" t="s">
        <v>59</v>
      </c>
      <c r="P774" s="102"/>
      <c r="Q774" s="102" t="s">
        <v>16</v>
      </c>
      <c r="R774" s="102"/>
      <c r="S774" s="102"/>
      <c r="T774" s="102"/>
      <c r="U774" s="102"/>
      <c r="V774" s="102"/>
      <c r="W774" s="102"/>
      <c r="X774" s="102"/>
      <c r="Y774" s="102" t="s">
        <v>14</v>
      </c>
      <c r="Z774" s="102"/>
      <c r="AA774" s="102"/>
      <c r="AB774" s="102"/>
      <c r="AC774" s="102" t="s">
        <v>15</v>
      </c>
      <c r="AD774" s="102"/>
      <c r="AE774" s="102"/>
      <c r="AF774" s="102"/>
      <c r="AG774" s="102" t="s">
        <v>59</v>
      </c>
      <c r="AH774" s="102"/>
      <c r="AI774" s="102" t="s">
        <v>16</v>
      </c>
      <c r="AJ774" s="102"/>
      <c r="AK774" s="102"/>
      <c r="AL774" s="102"/>
      <c r="AM774" s="102"/>
      <c r="AN774" s="102"/>
      <c r="AO774" s="102"/>
      <c r="AP774" s="102"/>
      <c r="AQ774" s="76" t="s">
        <v>60</v>
      </c>
      <c r="AR774" s="76" t="s">
        <v>70</v>
      </c>
      <c r="AS774" s="76" t="s">
        <v>65</v>
      </c>
      <c r="AT774" s="76" t="s">
        <v>61</v>
      </c>
      <c r="AU774" s="76" t="s">
        <v>62</v>
      </c>
      <c r="AV774" s="76" t="s">
        <v>27</v>
      </c>
      <c r="AW774" s="76" t="s">
        <v>64</v>
      </c>
      <c r="AX774" s="76" t="s">
        <v>63</v>
      </c>
      <c r="AY774" s="76" t="s">
        <v>66</v>
      </c>
      <c r="AZ774" s="76" t="s">
        <v>67</v>
      </c>
    </row>
    <row r="775" spans="2:52" ht="48" thickBot="1" x14ac:dyDescent="0.3">
      <c r="B775" s="21">
        <v>0.88541666666666896</v>
      </c>
      <c r="C775" s="14" t="s">
        <v>13</v>
      </c>
      <c r="D775" s="8" t="s">
        <v>6</v>
      </c>
      <c r="F775" s="13"/>
      <c r="G775" s="81" t="s">
        <v>20</v>
      </c>
      <c r="H775" s="64" t="s">
        <v>17</v>
      </c>
      <c r="I775" s="64" t="s">
        <v>19</v>
      </c>
      <c r="J775" s="64" t="s">
        <v>18</v>
      </c>
      <c r="K775" s="64" t="s">
        <v>52</v>
      </c>
      <c r="L775" s="64" t="s">
        <v>51</v>
      </c>
      <c r="M775" s="64" t="s">
        <v>53</v>
      </c>
      <c r="N775" s="64" t="s">
        <v>54</v>
      </c>
      <c r="O775" s="64" t="s">
        <v>20</v>
      </c>
      <c r="P775" s="64" t="s">
        <v>19</v>
      </c>
      <c r="Q775" s="64" t="s">
        <v>55</v>
      </c>
      <c r="R775" s="64" t="s">
        <v>56</v>
      </c>
      <c r="S775" s="64" t="s">
        <v>52</v>
      </c>
      <c r="T775" s="64" t="s">
        <v>51</v>
      </c>
      <c r="U775" s="64" t="s">
        <v>57</v>
      </c>
      <c r="V775" s="64" t="s">
        <v>58</v>
      </c>
      <c r="W775" s="64" t="s">
        <v>53</v>
      </c>
      <c r="X775" s="64" t="s">
        <v>54</v>
      </c>
      <c r="Y775" s="81" t="s">
        <v>20</v>
      </c>
      <c r="Z775" s="64" t="s">
        <v>17</v>
      </c>
      <c r="AA775" s="64" t="s">
        <v>19</v>
      </c>
      <c r="AB775" s="64" t="s">
        <v>18</v>
      </c>
      <c r="AC775" s="64" t="s">
        <v>52</v>
      </c>
      <c r="AD775" s="64" t="s">
        <v>51</v>
      </c>
      <c r="AE775" s="64" t="s">
        <v>53</v>
      </c>
      <c r="AF775" s="64" t="s">
        <v>54</v>
      </c>
      <c r="AG775" s="64" t="s">
        <v>20</v>
      </c>
      <c r="AH775" s="64" t="s">
        <v>19</v>
      </c>
      <c r="AI775" s="64" t="s">
        <v>55</v>
      </c>
      <c r="AJ775" s="64" t="s">
        <v>56</v>
      </c>
      <c r="AK775" s="64" t="s">
        <v>52</v>
      </c>
      <c r="AL775" s="64" t="s">
        <v>51</v>
      </c>
      <c r="AM775" s="64" t="s">
        <v>57</v>
      </c>
      <c r="AN775" s="64" t="s">
        <v>58</v>
      </c>
      <c r="AO775" s="64" t="s">
        <v>53</v>
      </c>
      <c r="AP775" s="64" t="s">
        <v>54</v>
      </c>
      <c r="AQ775" s="46"/>
      <c r="AR775" s="46"/>
      <c r="AS775" s="46"/>
      <c r="AT775" s="46"/>
      <c r="AU775" s="46"/>
      <c r="AV775" s="46"/>
      <c r="AW775" s="46"/>
      <c r="AX775" s="46"/>
    </row>
    <row r="776" spans="2:52" ht="16.5" customHeight="1" thickBot="1" x14ac:dyDescent="0.3">
      <c r="B776" s="1" t="s">
        <v>0</v>
      </c>
      <c r="C776" s="10"/>
      <c r="D776">
        <f>C776</f>
        <v>0</v>
      </c>
      <c r="F776" s="12" t="s">
        <v>0</v>
      </c>
      <c r="G776" s="86"/>
      <c r="H776" s="66"/>
      <c r="I776" s="66"/>
      <c r="J776" s="67"/>
      <c r="K776" s="65"/>
      <c r="L776" s="66"/>
      <c r="M776" s="66"/>
      <c r="N776" s="66"/>
      <c r="O776" s="65"/>
      <c r="P776" s="67"/>
      <c r="Q776" s="65"/>
      <c r="R776" s="66"/>
      <c r="S776" s="66"/>
      <c r="T776" s="66"/>
      <c r="U776" s="66"/>
      <c r="V776" s="66"/>
      <c r="W776" s="66"/>
      <c r="X776" s="67"/>
      <c r="Y776" s="86"/>
      <c r="Z776" s="66"/>
      <c r="AA776" s="66"/>
      <c r="AB776" s="66"/>
      <c r="AC776" s="65"/>
      <c r="AD776" s="66"/>
      <c r="AE776" s="66"/>
      <c r="AF776" s="67"/>
      <c r="AG776" s="66"/>
      <c r="AH776" s="67"/>
      <c r="AI776" s="66"/>
      <c r="AJ776" s="66"/>
      <c r="AK776" s="66"/>
      <c r="AL776" s="66"/>
      <c r="AM776" s="66"/>
      <c r="AN776" s="66"/>
      <c r="AO776" s="66"/>
      <c r="AP776" s="66"/>
      <c r="AQ776" s="65"/>
      <c r="AR776" s="65"/>
      <c r="AS776" s="65"/>
      <c r="AT776" s="65"/>
      <c r="AU776" s="65"/>
      <c r="AV776" s="65"/>
      <c r="AW776" s="65"/>
      <c r="AX776" s="68"/>
      <c r="AY776" s="17"/>
      <c r="AZ776" s="17"/>
    </row>
    <row r="777" spans="2:52" ht="16.5" customHeight="1" thickBot="1" x14ac:dyDescent="0.3">
      <c r="B777" s="1" t="s">
        <v>1</v>
      </c>
      <c r="C777" s="10"/>
      <c r="D777">
        <f t="shared" ref="D777:D779" si="85">C777</f>
        <v>0</v>
      </c>
      <c r="F777" s="1" t="s">
        <v>1</v>
      </c>
      <c r="G777" s="87"/>
      <c r="H777" s="46"/>
      <c r="I777" s="46"/>
      <c r="J777" s="70"/>
      <c r="K777" s="69"/>
      <c r="L777" s="46"/>
      <c r="M777" s="46"/>
      <c r="N777" s="46"/>
      <c r="O777" s="69"/>
      <c r="P777" s="70"/>
      <c r="Q777" s="69"/>
      <c r="R777" s="46"/>
      <c r="S777" s="46"/>
      <c r="T777" s="46"/>
      <c r="U777" s="46"/>
      <c r="V777" s="46"/>
      <c r="W777" s="46"/>
      <c r="X777" s="70"/>
      <c r="Y777" s="87"/>
      <c r="Z777" s="46"/>
      <c r="AA777" s="46"/>
      <c r="AB777" s="46"/>
      <c r="AC777" s="69"/>
      <c r="AD777" s="46"/>
      <c r="AE777" s="46"/>
      <c r="AF777" s="70"/>
      <c r="AG777" s="46"/>
      <c r="AH777" s="70"/>
      <c r="AI777" s="46"/>
      <c r="AJ777" s="46"/>
      <c r="AK777" s="46"/>
      <c r="AL777" s="46"/>
      <c r="AM777" s="46"/>
      <c r="AN777" s="46"/>
      <c r="AO777" s="46"/>
      <c r="AP777" s="46"/>
      <c r="AQ777" s="69"/>
      <c r="AR777" s="69"/>
      <c r="AS777" s="69"/>
      <c r="AT777" s="69"/>
      <c r="AU777" s="69"/>
      <c r="AV777" s="69"/>
      <c r="AW777" s="69"/>
      <c r="AX777" s="71"/>
      <c r="AY777" s="18"/>
      <c r="AZ777" s="18"/>
    </row>
    <row r="778" spans="2:52" ht="16.5" customHeight="1" thickBot="1" x14ac:dyDescent="0.3">
      <c r="B778" s="1" t="s">
        <v>2</v>
      </c>
      <c r="C778" s="10"/>
      <c r="D778">
        <f>C778</f>
        <v>0</v>
      </c>
      <c r="F778" s="1" t="s">
        <v>2</v>
      </c>
      <c r="G778" s="87"/>
      <c r="H778" s="46"/>
      <c r="I778" s="46"/>
      <c r="J778" s="70"/>
      <c r="K778" s="69"/>
      <c r="L778" s="46"/>
      <c r="M778" s="46"/>
      <c r="N778" s="46"/>
      <c r="O778" s="69"/>
      <c r="P778" s="70"/>
      <c r="Q778" s="69"/>
      <c r="R778" s="46"/>
      <c r="S778" s="46"/>
      <c r="T778" s="46"/>
      <c r="U778" s="46"/>
      <c r="V778" s="46"/>
      <c r="W778" s="46"/>
      <c r="X778" s="70"/>
      <c r="Y778" s="87"/>
      <c r="Z778" s="46"/>
      <c r="AA778" s="46"/>
      <c r="AB778" s="46"/>
      <c r="AC778" s="69"/>
      <c r="AD778" s="46"/>
      <c r="AE778" s="46"/>
      <c r="AF778" s="70"/>
      <c r="AG778" s="46"/>
      <c r="AH778" s="70"/>
      <c r="AI778" s="46"/>
      <c r="AJ778" s="46"/>
      <c r="AK778" s="46"/>
      <c r="AL778" s="46"/>
      <c r="AM778" s="46"/>
      <c r="AN778" s="46"/>
      <c r="AO778" s="46"/>
      <c r="AP778" s="46"/>
      <c r="AQ778" s="69"/>
      <c r="AR778" s="69"/>
      <c r="AS778" s="69"/>
      <c r="AT778" s="69"/>
      <c r="AU778" s="69"/>
      <c r="AV778" s="69"/>
      <c r="AW778" s="69"/>
      <c r="AX778" s="71"/>
      <c r="AY778" s="18"/>
      <c r="AZ778" s="18"/>
    </row>
    <row r="779" spans="2:52" ht="16.5" customHeight="1" thickBot="1" x14ac:dyDescent="0.3">
      <c r="B779" s="1" t="s">
        <v>3</v>
      </c>
      <c r="C779" s="10"/>
      <c r="D779" s="7">
        <f t="shared" si="85"/>
        <v>0</v>
      </c>
      <c r="F779" s="1" t="s">
        <v>3</v>
      </c>
      <c r="G779" s="88"/>
      <c r="H779" s="73"/>
      <c r="I779" s="73"/>
      <c r="J779" s="74"/>
      <c r="K779" s="72"/>
      <c r="L779" s="73"/>
      <c r="M779" s="73"/>
      <c r="N779" s="73"/>
      <c r="O779" s="72"/>
      <c r="P779" s="74"/>
      <c r="Q779" s="72"/>
      <c r="R779" s="73"/>
      <c r="S779" s="73"/>
      <c r="T779" s="73"/>
      <c r="U779" s="73"/>
      <c r="V779" s="73"/>
      <c r="W779" s="73"/>
      <c r="X779" s="74"/>
      <c r="Y779" s="88"/>
      <c r="Z779" s="73"/>
      <c r="AA779" s="73"/>
      <c r="AB779" s="73"/>
      <c r="AC779" s="72"/>
      <c r="AD779" s="73"/>
      <c r="AE779" s="73"/>
      <c r="AF779" s="74"/>
      <c r="AG779" s="73"/>
      <c r="AH779" s="74"/>
      <c r="AI779" s="73"/>
      <c r="AJ779" s="73"/>
      <c r="AK779" s="73"/>
      <c r="AL779" s="73"/>
      <c r="AM779" s="73"/>
      <c r="AN779" s="73"/>
      <c r="AO779" s="73"/>
      <c r="AP779" s="73"/>
      <c r="AQ779" s="72"/>
      <c r="AR779" s="72"/>
      <c r="AS779" s="72"/>
      <c r="AT779" s="72"/>
      <c r="AU779" s="72"/>
      <c r="AV779" s="72"/>
      <c r="AW779" s="72"/>
      <c r="AX779" s="75"/>
      <c r="AY779" s="19"/>
      <c r="AZ779" s="19"/>
    </row>
    <row r="780" spans="2:52" ht="21" customHeight="1" x14ac:dyDescent="0.25">
      <c r="B780" s="2"/>
      <c r="C780" s="3" t="s">
        <v>25</v>
      </c>
      <c r="D780" s="9">
        <f>SUM(D776:D779)</f>
        <v>0</v>
      </c>
      <c r="G780" s="85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85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</row>
    <row r="781" spans="2:52" x14ac:dyDescent="0.25"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</row>
    <row r="782" spans="2:52" ht="15.75" x14ac:dyDescent="0.25">
      <c r="G782" s="100" t="s">
        <v>22</v>
      </c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1" t="s">
        <v>21</v>
      </c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46"/>
      <c r="AR782" s="46"/>
      <c r="AS782" s="46"/>
      <c r="AT782" s="46"/>
      <c r="AU782" s="46"/>
      <c r="AV782" s="46"/>
      <c r="AW782" s="46"/>
      <c r="AX782" s="46"/>
    </row>
    <row r="783" spans="2:52" ht="32.25" thickBot="1" x14ac:dyDescent="0.3">
      <c r="G783" s="102" t="s">
        <v>14</v>
      </c>
      <c r="H783" s="102"/>
      <c r="I783" s="102"/>
      <c r="J783" s="102"/>
      <c r="K783" s="102" t="s">
        <v>15</v>
      </c>
      <c r="L783" s="102"/>
      <c r="M783" s="102"/>
      <c r="N783" s="102"/>
      <c r="O783" s="102" t="s">
        <v>59</v>
      </c>
      <c r="P783" s="102"/>
      <c r="Q783" s="102" t="s">
        <v>16</v>
      </c>
      <c r="R783" s="102"/>
      <c r="S783" s="102"/>
      <c r="T783" s="102"/>
      <c r="U783" s="102"/>
      <c r="V783" s="102"/>
      <c r="W783" s="102"/>
      <c r="X783" s="102"/>
      <c r="Y783" s="102" t="s">
        <v>14</v>
      </c>
      <c r="Z783" s="102"/>
      <c r="AA783" s="102"/>
      <c r="AB783" s="102"/>
      <c r="AC783" s="102" t="s">
        <v>15</v>
      </c>
      <c r="AD783" s="102"/>
      <c r="AE783" s="102"/>
      <c r="AF783" s="102"/>
      <c r="AG783" s="102" t="s">
        <v>59</v>
      </c>
      <c r="AH783" s="102"/>
      <c r="AI783" s="102" t="s">
        <v>16</v>
      </c>
      <c r="AJ783" s="102"/>
      <c r="AK783" s="102"/>
      <c r="AL783" s="102"/>
      <c r="AM783" s="102"/>
      <c r="AN783" s="102"/>
      <c r="AO783" s="102"/>
      <c r="AP783" s="102"/>
      <c r="AQ783" s="76" t="s">
        <v>60</v>
      </c>
      <c r="AR783" s="76" t="s">
        <v>70</v>
      </c>
      <c r="AS783" s="76" t="s">
        <v>65</v>
      </c>
      <c r="AT783" s="76" t="s">
        <v>61</v>
      </c>
      <c r="AU783" s="76" t="s">
        <v>62</v>
      </c>
      <c r="AV783" s="76" t="s">
        <v>27</v>
      </c>
      <c r="AW783" s="76" t="s">
        <v>64</v>
      </c>
      <c r="AX783" s="76" t="s">
        <v>63</v>
      </c>
      <c r="AY783" s="76" t="s">
        <v>66</v>
      </c>
      <c r="AZ783" s="76" t="s">
        <v>67</v>
      </c>
    </row>
    <row r="784" spans="2:52" ht="48" thickBot="1" x14ac:dyDescent="0.3">
      <c r="B784" s="21">
        <v>0.89583333333333603</v>
      </c>
      <c r="C784" s="14" t="s">
        <v>13</v>
      </c>
      <c r="D784" s="8" t="s">
        <v>6</v>
      </c>
      <c r="F784" s="13"/>
      <c r="G784" s="81" t="s">
        <v>20</v>
      </c>
      <c r="H784" s="64" t="s">
        <v>17</v>
      </c>
      <c r="I784" s="64" t="s">
        <v>19</v>
      </c>
      <c r="J784" s="64" t="s">
        <v>18</v>
      </c>
      <c r="K784" s="64" t="s">
        <v>52</v>
      </c>
      <c r="L784" s="64" t="s">
        <v>51</v>
      </c>
      <c r="M784" s="64" t="s">
        <v>53</v>
      </c>
      <c r="N784" s="64" t="s">
        <v>54</v>
      </c>
      <c r="O784" s="64" t="s">
        <v>20</v>
      </c>
      <c r="P784" s="64" t="s">
        <v>19</v>
      </c>
      <c r="Q784" s="64" t="s">
        <v>55</v>
      </c>
      <c r="R784" s="64" t="s">
        <v>56</v>
      </c>
      <c r="S784" s="64" t="s">
        <v>52</v>
      </c>
      <c r="T784" s="64" t="s">
        <v>51</v>
      </c>
      <c r="U784" s="64" t="s">
        <v>57</v>
      </c>
      <c r="V784" s="64" t="s">
        <v>58</v>
      </c>
      <c r="W784" s="64" t="s">
        <v>53</v>
      </c>
      <c r="X784" s="64" t="s">
        <v>54</v>
      </c>
      <c r="Y784" s="81" t="s">
        <v>20</v>
      </c>
      <c r="Z784" s="64" t="s">
        <v>17</v>
      </c>
      <c r="AA784" s="64" t="s">
        <v>19</v>
      </c>
      <c r="AB784" s="64" t="s">
        <v>18</v>
      </c>
      <c r="AC784" s="64" t="s">
        <v>52</v>
      </c>
      <c r="AD784" s="64" t="s">
        <v>51</v>
      </c>
      <c r="AE784" s="64" t="s">
        <v>53</v>
      </c>
      <c r="AF784" s="64" t="s">
        <v>54</v>
      </c>
      <c r="AG784" s="64" t="s">
        <v>20</v>
      </c>
      <c r="AH784" s="64" t="s">
        <v>19</v>
      </c>
      <c r="AI784" s="64" t="s">
        <v>55</v>
      </c>
      <c r="AJ784" s="64" t="s">
        <v>56</v>
      </c>
      <c r="AK784" s="64" t="s">
        <v>52</v>
      </c>
      <c r="AL784" s="64" t="s">
        <v>51</v>
      </c>
      <c r="AM784" s="64" t="s">
        <v>57</v>
      </c>
      <c r="AN784" s="64" t="s">
        <v>58</v>
      </c>
      <c r="AO784" s="64" t="s">
        <v>53</v>
      </c>
      <c r="AP784" s="64" t="s">
        <v>54</v>
      </c>
      <c r="AQ784" s="46"/>
      <c r="AR784" s="46"/>
      <c r="AS784" s="46"/>
      <c r="AT784" s="46"/>
      <c r="AU784" s="46"/>
      <c r="AV784" s="46"/>
      <c r="AW784" s="46"/>
      <c r="AX784" s="46"/>
    </row>
    <row r="785" spans="2:52" ht="16.5" customHeight="1" thickBot="1" x14ac:dyDescent="0.3">
      <c r="B785" s="1" t="s">
        <v>0</v>
      </c>
      <c r="C785" s="10">
        <v>2</v>
      </c>
      <c r="D785">
        <f>C785</f>
        <v>2</v>
      </c>
      <c r="F785" s="12" t="s">
        <v>0</v>
      </c>
      <c r="G785" s="86"/>
      <c r="H785" s="66"/>
      <c r="I785" s="66">
        <v>2</v>
      </c>
      <c r="J785" s="67"/>
      <c r="K785" s="65"/>
      <c r="L785" s="66"/>
      <c r="M785" s="66"/>
      <c r="N785" s="66"/>
      <c r="O785" s="65"/>
      <c r="P785" s="67"/>
      <c r="Q785" s="65"/>
      <c r="R785" s="66"/>
      <c r="S785" s="66"/>
      <c r="T785" s="66"/>
      <c r="U785" s="66"/>
      <c r="V785" s="66"/>
      <c r="W785" s="66"/>
      <c r="X785" s="67"/>
      <c r="Y785" s="86">
        <v>2</v>
      </c>
      <c r="Z785" s="66"/>
      <c r="AA785" s="66"/>
      <c r="AB785" s="66"/>
      <c r="AC785" s="65"/>
      <c r="AD785" s="66"/>
      <c r="AE785" s="66"/>
      <c r="AF785" s="67"/>
      <c r="AG785" s="66"/>
      <c r="AH785" s="67"/>
      <c r="AI785" s="66"/>
      <c r="AJ785" s="66"/>
      <c r="AK785" s="66"/>
      <c r="AL785" s="66"/>
      <c r="AM785" s="66"/>
      <c r="AN785" s="66"/>
      <c r="AO785" s="66"/>
      <c r="AP785" s="66"/>
      <c r="AQ785" s="65"/>
      <c r="AR785" s="65"/>
      <c r="AS785" s="65"/>
      <c r="AT785" s="65"/>
      <c r="AU785" s="65"/>
      <c r="AV785" s="65"/>
      <c r="AW785" s="65"/>
      <c r="AX785" s="68"/>
      <c r="AY785" s="17"/>
      <c r="AZ785" s="17"/>
    </row>
    <row r="786" spans="2:52" ht="16.5" customHeight="1" thickBot="1" x14ac:dyDescent="0.3">
      <c r="B786" s="1" t="s">
        <v>1</v>
      </c>
      <c r="C786" s="10">
        <v>2</v>
      </c>
      <c r="D786">
        <f t="shared" ref="D786:D788" si="86">C786</f>
        <v>2</v>
      </c>
      <c r="F786" s="1" t="s">
        <v>1</v>
      </c>
      <c r="G786" s="87"/>
      <c r="H786" s="46"/>
      <c r="I786" s="46"/>
      <c r="J786" s="70"/>
      <c r="K786" s="69"/>
      <c r="L786" s="46"/>
      <c r="M786" s="46"/>
      <c r="N786" s="46"/>
      <c r="O786" s="69">
        <v>2</v>
      </c>
      <c r="P786" s="70"/>
      <c r="Q786" s="69"/>
      <c r="R786" s="46"/>
      <c r="S786" s="46"/>
      <c r="T786" s="46"/>
      <c r="U786" s="46"/>
      <c r="V786" s="46"/>
      <c r="W786" s="46"/>
      <c r="X786" s="70"/>
      <c r="Y786" s="87"/>
      <c r="Z786" s="46"/>
      <c r="AA786" s="46"/>
      <c r="AB786" s="46"/>
      <c r="AC786" s="69"/>
      <c r="AD786" s="46"/>
      <c r="AE786" s="46"/>
      <c r="AF786" s="70"/>
      <c r="AG786" s="46"/>
      <c r="AH786" s="70">
        <v>2</v>
      </c>
      <c r="AI786" s="46"/>
      <c r="AJ786" s="46"/>
      <c r="AK786" s="46"/>
      <c r="AL786" s="46"/>
      <c r="AM786" s="46"/>
      <c r="AN786" s="46"/>
      <c r="AO786" s="46"/>
      <c r="AP786" s="46"/>
      <c r="AQ786" s="69"/>
      <c r="AR786" s="69"/>
      <c r="AS786" s="69"/>
      <c r="AT786" s="69"/>
      <c r="AU786" s="69"/>
      <c r="AV786" s="69"/>
      <c r="AW786" s="69"/>
      <c r="AX786" s="71"/>
      <c r="AY786" s="18"/>
      <c r="AZ786" s="18"/>
    </row>
    <row r="787" spans="2:52" ht="16.5" customHeight="1" thickBot="1" x14ac:dyDescent="0.3">
      <c r="B787" s="1" t="s">
        <v>2</v>
      </c>
      <c r="C787" s="10"/>
      <c r="D787">
        <f>C787</f>
        <v>0</v>
      </c>
      <c r="F787" s="1" t="s">
        <v>2</v>
      </c>
      <c r="G787" s="87"/>
      <c r="H787" s="46"/>
      <c r="I787" s="46"/>
      <c r="J787" s="70"/>
      <c r="K787" s="69"/>
      <c r="L787" s="46"/>
      <c r="M787" s="46"/>
      <c r="N787" s="46"/>
      <c r="O787" s="69"/>
      <c r="P787" s="70"/>
      <c r="Q787" s="69"/>
      <c r="R787" s="46"/>
      <c r="S787" s="46"/>
      <c r="T787" s="46"/>
      <c r="U787" s="46"/>
      <c r="V787" s="46"/>
      <c r="W787" s="46"/>
      <c r="X787" s="70"/>
      <c r="Y787" s="87"/>
      <c r="Z787" s="46"/>
      <c r="AA787" s="46"/>
      <c r="AB787" s="46"/>
      <c r="AC787" s="69"/>
      <c r="AD787" s="46"/>
      <c r="AE787" s="46"/>
      <c r="AF787" s="70"/>
      <c r="AG787" s="46"/>
      <c r="AH787" s="70"/>
      <c r="AI787" s="46"/>
      <c r="AJ787" s="46"/>
      <c r="AK787" s="46"/>
      <c r="AL787" s="46"/>
      <c r="AM787" s="46"/>
      <c r="AN787" s="46"/>
      <c r="AO787" s="46"/>
      <c r="AP787" s="46"/>
      <c r="AQ787" s="69"/>
      <c r="AR787" s="69"/>
      <c r="AS787" s="69"/>
      <c r="AT787" s="69"/>
      <c r="AU787" s="69"/>
      <c r="AV787" s="69"/>
      <c r="AW787" s="69"/>
      <c r="AX787" s="71"/>
      <c r="AY787" s="18"/>
      <c r="AZ787" s="18"/>
    </row>
    <row r="788" spans="2:52" ht="16.5" customHeight="1" thickBot="1" x14ac:dyDescent="0.3">
      <c r="B788" s="1" t="s">
        <v>3</v>
      </c>
      <c r="C788" s="10"/>
      <c r="D788" s="7">
        <f t="shared" si="86"/>
        <v>0</v>
      </c>
      <c r="F788" s="1" t="s">
        <v>3</v>
      </c>
      <c r="G788" s="88"/>
      <c r="H788" s="73"/>
      <c r="I788" s="73"/>
      <c r="J788" s="74"/>
      <c r="K788" s="72"/>
      <c r="L788" s="73"/>
      <c r="M788" s="73"/>
      <c r="N788" s="73"/>
      <c r="O788" s="72"/>
      <c r="P788" s="74"/>
      <c r="Q788" s="72"/>
      <c r="R788" s="73"/>
      <c r="S788" s="73"/>
      <c r="T788" s="73"/>
      <c r="U788" s="73"/>
      <c r="V788" s="73"/>
      <c r="W788" s="73"/>
      <c r="X788" s="74"/>
      <c r="Y788" s="88"/>
      <c r="Z788" s="73"/>
      <c r="AA788" s="73"/>
      <c r="AB788" s="73"/>
      <c r="AC788" s="72"/>
      <c r="AD788" s="73"/>
      <c r="AE788" s="73"/>
      <c r="AF788" s="74"/>
      <c r="AG788" s="73"/>
      <c r="AH788" s="74"/>
      <c r="AI788" s="73"/>
      <c r="AJ788" s="73"/>
      <c r="AK788" s="73"/>
      <c r="AL788" s="73"/>
      <c r="AM788" s="73"/>
      <c r="AN788" s="73"/>
      <c r="AO788" s="73"/>
      <c r="AP788" s="73"/>
      <c r="AQ788" s="72"/>
      <c r="AR788" s="72"/>
      <c r="AS788" s="72"/>
      <c r="AT788" s="72"/>
      <c r="AU788" s="72"/>
      <c r="AV788" s="72"/>
      <c r="AW788" s="72"/>
      <c r="AX788" s="75"/>
      <c r="AY788" s="19"/>
      <c r="AZ788" s="19"/>
    </row>
    <row r="789" spans="2:52" ht="21" customHeight="1" x14ac:dyDescent="0.25">
      <c r="B789" s="2"/>
      <c r="C789" s="3" t="s">
        <v>25</v>
      </c>
      <c r="D789" s="9">
        <f>SUM(D785:D788)</f>
        <v>4</v>
      </c>
      <c r="G789" s="85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85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</row>
    <row r="790" spans="2:52" x14ac:dyDescent="0.25"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</row>
    <row r="791" spans="2:52" ht="15.75" x14ac:dyDescent="0.25">
      <c r="G791" s="100" t="s">
        <v>22</v>
      </c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1" t="s">
        <v>21</v>
      </c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46"/>
      <c r="AR791" s="46"/>
      <c r="AS791" s="46"/>
      <c r="AT791" s="46"/>
      <c r="AU791" s="46"/>
      <c r="AV791" s="46"/>
      <c r="AW791" s="46"/>
      <c r="AX791" s="46"/>
    </row>
    <row r="792" spans="2:52" ht="32.25" thickBot="1" x14ac:dyDescent="0.3">
      <c r="G792" s="102" t="s">
        <v>14</v>
      </c>
      <c r="H792" s="102"/>
      <c r="I792" s="102"/>
      <c r="J792" s="102"/>
      <c r="K792" s="102" t="s">
        <v>15</v>
      </c>
      <c r="L792" s="102"/>
      <c r="M792" s="102"/>
      <c r="N792" s="102"/>
      <c r="O792" s="102" t="s">
        <v>59</v>
      </c>
      <c r="P792" s="102"/>
      <c r="Q792" s="102" t="s">
        <v>16</v>
      </c>
      <c r="R792" s="102"/>
      <c r="S792" s="102"/>
      <c r="T792" s="102"/>
      <c r="U792" s="102"/>
      <c r="V792" s="102"/>
      <c r="W792" s="102"/>
      <c r="X792" s="102"/>
      <c r="Y792" s="102" t="s">
        <v>14</v>
      </c>
      <c r="Z792" s="102"/>
      <c r="AA792" s="102"/>
      <c r="AB792" s="102"/>
      <c r="AC792" s="102" t="s">
        <v>15</v>
      </c>
      <c r="AD792" s="102"/>
      <c r="AE792" s="102"/>
      <c r="AF792" s="102"/>
      <c r="AG792" s="102" t="s">
        <v>59</v>
      </c>
      <c r="AH792" s="102"/>
      <c r="AI792" s="102" t="s">
        <v>16</v>
      </c>
      <c r="AJ792" s="102"/>
      <c r="AK792" s="102"/>
      <c r="AL792" s="102"/>
      <c r="AM792" s="102"/>
      <c r="AN792" s="102"/>
      <c r="AO792" s="102"/>
      <c r="AP792" s="102"/>
      <c r="AQ792" s="76" t="s">
        <v>60</v>
      </c>
      <c r="AR792" s="76" t="s">
        <v>70</v>
      </c>
      <c r="AS792" s="76" t="s">
        <v>65</v>
      </c>
      <c r="AT792" s="76" t="s">
        <v>61</v>
      </c>
      <c r="AU792" s="76" t="s">
        <v>62</v>
      </c>
      <c r="AV792" s="76" t="s">
        <v>27</v>
      </c>
      <c r="AW792" s="76" t="s">
        <v>64</v>
      </c>
      <c r="AX792" s="76" t="s">
        <v>63</v>
      </c>
      <c r="AY792" s="76" t="s">
        <v>66</v>
      </c>
      <c r="AZ792" s="76" t="s">
        <v>67</v>
      </c>
    </row>
    <row r="793" spans="2:52" ht="48" thickBot="1" x14ac:dyDescent="0.3">
      <c r="B793" s="21">
        <v>0.906250000000003</v>
      </c>
      <c r="C793" s="14" t="s">
        <v>13</v>
      </c>
      <c r="D793" s="8" t="s">
        <v>6</v>
      </c>
      <c r="F793" s="13"/>
      <c r="G793" s="81" t="s">
        <v>20</v>
      </c>
      <c r="H793" s="64" t="s">
        <v>17</v>
      </c>
      <c r="I793" s="64" t="s">
        <v>19</v>
      </c>
      <c r="J793" s="64" t="s">
        <v>18</v>
      </c>
      <c r="K793" s="64" t="s">
        <v>52</v>
      </c>
      <c r="L793" s="64" t="s">
        <v>51</v>
      </c>
      <c r="M793" s="64" t="s">
        <v>53</v>
      </c>
      <c r="N793" s="64" t="s">
        <v>54</v>
      </c>
      <c r="O793" s="64" t="s">
        <v>20</v>
      </c>
      <c r="P793" s="64" t="s">
        <v>19</v>
      </c>
      <c r="Q793" s="64" t="s">
        <v>55</v>
      </c>
      <c r="R793" s="64" t="s">
        <v>56</v>
      </c>
      <c r="S793" s="64" t="s">
        <v>52</v>
      </c>
      <c r="T793" s="64" t="s">
        <v>51</v>
      </c>
      <c r="U793" s="64" t="s">
        <v>57</v>
      </c>
      <c r="V793" s="64" t="s">
        <v>58</v>
      </c>
      <c r="W793" s="64" t="s">
        <v>53</v>
      </c>
      <c r="X793" s="64" t="s">
        <v>54</v>
      </c>
      <c r="Y793" s="81" t="s">
        <v>20</v>
      </c>
      <c r="Z793" s="64" t="s">
        <v>17</v>
      </c>
      <c r="AA793" s="64" t="s">
        <v>19</v>
      </c>
      <c r="AB793" s="64" t="s">
        <v>18</v>
      </c>
      <c r="AC793" s="64" t="s">
        <v>52</v>
      </c>
      <c r="AD793" s="64" t="s">
        <v>51</v>
      </c>
      <c r="AE793" s="64" t="s">
        <v>53</v>
      </c>
      <c r="AF793" s="64" t="s">
        <v>54</v>
      </c>
      <c r="AG793" s="64" t="s">
        <v>20</v>
      </c>
      <c r="AH793" s="64" t="s">
        <v>19</v>
      </c>
      <c r="AI793" s="64" t="s">
        <v>55</v>
      </c>
      <c r="AJ793" s="64" t="s">
        <v>56</v>
      </c>
      <c r="AK793" s="64" t="s">
        <v>52</v>
      </c>
      <c r="AL793" s="64" t="s">
        <v>51</v>
      </c>
      <c r="AM793" s="64" t="s">
        <v>57</v>
      </c>
      <c r="AN793" s="64" t="s">
        <v>58</v>
      </c>
      <c r="AO793" s="64" t="s">
        <v>53</v>
      </c>
      <c r="AP793" s="64" t="s">
        <v>54</v>
      </c>
      <c r="AQ793" s="46"/>
      <c r="AR793" s="46"/>
      <c r="AS793" s="46"/>
      <c r="AT793" s="46"/>
      <c r="AU793" s="46"/>
      <c r="AV793" s="46"/>
      <c r="AW793" s="46"/>
      <c r="AX793" s="46"/>
    </row>
    <row r="794" spans="2:52" ht="16.5" customHeight="1" thickBot="1" x14ac:dyDescent="0.3">
      <c r="B794" s="1" t="s">
        <v>0</v>
      </c>
      <c r="C794" s="10">
        <v>4</v>
      </c>
      <c r="D794">
        <f>C794</f>
        <v>4</v>
      </c>
      <c r="F794" s="12" t="s">
        <v>0</v>
      </c>
      <c r="G794" s="86">
        <v>2</v>
      </c>
      <c r="H794" s="66"/>
      <c r="I794" s="66"/>
      <c r="J794" s="67"/>
      <c r="K794" s="65"/>
      <c r="L794" s="66"/>
      <c r="M794" s="66"/>
      <c r="N794" s="66"/>
      <c r="O794" s="65"/>
      <c r="P794" s="67">
        <v>2</v>
      </c>
      <c r="Q794" s="65"/>
      <c r="R794" s="66"/>
      <c r="S794" s="66"/>
      <c r="T794" s="66"/>
      <c r="U794" s="66"/>
      <c r="V794" s="66"/>
      <c r="W794" s="66"/>
      <c r="X794" s="67"/>
      <c r="Y794" s="86"/>
      <c r="Z794" s="66"/>
      <c r="AA794" s="66">
        <v>2</v>
      </c>
      <c r="AB794" s="66"/>
      <c r="AC794" s="65"/>
      <c r="AD794" s="66"/>
      <c r="AE794" s="66"/>
      <c r="AF794" s="67"/>
      <c r="AG794" s="66">
        <v>2</v>
      </c>
      <c r="AH794" s="67"/>
      <c r="AI794" s="66"/>
      <c r="AJ794" s="66"/>
      <c r="AK794" s="66"/>
      <c r="AL794" s="66"/>
      <c r="AM794" s="66"/>
      <c r="AN794" s="66"/>
      <c r="AO794" s="66"/>
      <c r="AP794" s="66"/>
      <c r="AQ794" s="65"/>
      <c r="AR794" s="65">
        <v>1</v>
      </c>
      <c r="AS794" s="65"/>
      <c r="AT794" s="65"/>
      <c r="AU794" s="65"/>
      <c r="AV794" s="65"/>
      <c r="AW794" s="65"/>
      <c r="AX794" s="68"/>
      <c r="AY794" s="17"/>
      <c r="AZ794" s="17"/>
    </row>
    <row r="795" spans="2:52" ht="16.5" customHeight="1" thickBot="1" x14ac:dyDescent="0.3">
      <c r="B795" s="1" t="s">
        <v>1</v>
      </c>
      <c r="C795" s="10"/>
      <c r="D795">
        <f t="shared" ref="D795:D797" si="87">C795</f>
        <v>0</v>
      </c>
      <c r="F795" s="1" t="s">
        <v>1</v>
      </c>
      <c r="G795" s="87"/>
      <c r="H795" s="46"/>
      <c r="I795" s="46"/>
      <c r="J795" s="70"/>
      <c r="K795" s="69"/>
      <c r="L795" s="46"/>
      <c r="M795" s="46"/>
      <c r="N795" s="46"/>
      <c r="O795" s="69"/>
      <c r="P795" s="70"/>
      <c r="Q795" s="69"/>
      <c r="R795" s="46"/>
      <c r="S795" s="46"/>
      <c r="T795" s="46"/>
      <c r="U795" s="46"/>
      <c r="V795" s="46"/>
      <c r="W795" s="46"/>
      <c r="X795" s="70"/>
      <c r="Y795" s="87"/>
      <c r="Z795" s="46"/>
      <c r="AA795" s="46"/>
      <c r="AB795" s="46"/>
      <c r="AC795" s="69"/>
      <c r="AD795" s="46"/>
      <c r="AE795" s="46"/>
      <c r="AF795" s="70"/>
      <c r="AG795" s="46"/>
      <c r="AH795" s="70"/>
      <c r="AI795" s="46"/>
      <c r="AJ795" s="46"/>
      <c r="AK795" s="46"/>
      <c r="AL795" s="46"/>
      <c r="AM795" s="46"/>
      <c r="AN795" s="46"/>
      <c r="AO795" s="46"/>
      <c r="AP795" s="46"/>
      <c r="AQ795" s="69"/>
      <c r="AR795" s="69"/>
      <c r="AS795" s="69"/>
      <c r="AT795" s="69"/>
      <c r="AU795" s="69"/>
      <c r="AV795" s="69"/>
      <c r="AW795" s="69"/>
      <c r="AX795" s="71"/>
      <c r="AY795" s="18"/>
      <c r="AZ795" s="18"/>
    </row>
    <row r="796" spans="2:52" ht="16.5" customHeight="1" thickBot="1" x14ac:dyDescent="0.3">
      <c r="B796" s="1" t="s">
        <v>2</v>
      </c>
      <c r="C796" s="10"/>
      <c r="D796">
        <f>C796</f>
        <v>0</v>
      </c>
      <c r="F796" s="1" t="s">
        <v>2</v>
      </c>
      <c r="G796" s="87"/>
      <c r="H796" s="46"/>
      <c r="I796" s="46"/>
      <c r="J796" s="70"/>
      <c r="K796" s="69"/>
      <c r="L796" s="46"/>
      <c r="M796" s="46"/>
      <c r="N796" s="46"/>
      <c r="O796" s="69"/>
      <c r="P796" s="70"/>
      <c r="Q796" s="69"/>
      <c r="R796" s="46"/>
      <c r="S796" s="46"/>
      <c r="T796" s="46"/>
      <c r="U796" s="46"/>
      <c r="V796" s="46"/>
      <c r="W796" s="46"/>
      <c r="X796" s="70"/>
      <c r="Y796" s="87"/>
      <c r="Z796" s="46"/>
      <c r="AA796" s="46"/>
      <c r="AB796" s="46"/>
      <c r="AC796" s="69"/>
      <c r="AD796" s="46"/>
      <c r="AE796" s="46"/>
      <c r="AF796" s="70"/>
      <c r="AG796" s="46"/>
      <c r="AH796" s="70"/>
      <c r="AI796" s="46"/>
      <c r="AJ796" s="46"/>
      <c r="AK796" s="46"/>
      <c r="AL796" s="46"/>
      <c r="AM796" s="46"/>
      <c r="AN796" s="46"/>
      <c r="AO796" s="46"/>
      <c r="AP796" s="46"/>
      <c r="AQ796" s="69"/>
      <c r="AR796" s="69"/>
      <c r="AS796" s="69"/>
      <c r="AT796" s="69"/>
      <c r="AU796" s="69"/>
      <c r="AV796" s="69"/>
      <c r="AW796" s="69"/>
      <c r="AX796" s="71"/>
      <c r="AY796" s="18"/>
      <c r="AZ796" s="18"/>
    </row>
    <row r="797" spans="2:52" ht="16.5" customHeight="1" thickBot="1" x14ac:dyDescent="0.3">
      <c r="B797" s="1" t="s">
        <v>3</v>
      </c>
      <c r="C797" s="10"/>
      <c r="D797" s="7">
        <f t="shared" si="87"/>
        <v>0</v>
      </c>
      <c r="F797" s="1" t="s">
        <v>3</v>
      </c>
      <c r="G797" s="88"/>
      <c r="H797" s="73"/>
      <c r="I797" s="73"/>
      <c r="J797" s="74"/>
      <c r="K797" s="72"/>
      <c r="L797" s="73"/>
      <c r="M797" s="73"/>
      <c r="N797" s="73"/>
      <c r="O797" s="72"/>
      <c r="P797" s="74"/>
      <c r="Q797" s="72"/>
      <c r="R797" s="73"/>
      <c r="S797" s="73"/>
      <c r="T797" s="73"/>
      <c r="U797" s="73"/>
      <c r="V797" s="73"/>
      <c r="W797" s="73"/>
      <c r="X797" s="74"/>
      <c r="Y797" s="88"/>
      <c r="Z797" s="73"/>
      <c r="AA797" s="73"/>
      <c r="AB797" s="73"/>
      <c r="AC797" s="72"/>
      <c r="AD797" s="73"/>
      <c r="AE797" s="73"/>
      <c r="AF797" s="74"/>
      <c r="AG797" s="73"/>
      <c r="AH797" s="74"/>
      <c r="AI797" s="73"/>
      <c r="AJ797" s="73"/>
      <c r="AK797" s="73"/>
      <c r="AL797" s="73"/>
      <c r="AM797" s="73"/>
      <c r="AN797" s="73"/>
      <c r="AO797" s="73"/>
      <c r="AP797" s="73"/>
      <c r="AQ797" s="72"/>
      <c r="AR797" s="72"/>
      <c r="AS797" s="72"/>
      <c r="AT797" s="72"/>
      <c r="AU797" s="72"/>
      <c r="AV797" s="72"/>
      <c r="AW797" s="72"/>
      <c r="AX797" s="75"/>
      <c r="AY797" s="19"/>
      <c r="AZ797" s="19"/>
    </row>
    <row r="798" spans="2:52" ht="21" customHeight="1" x14ac:dyDescent="0.25">
      <c r="B798" s="2"/>
      <c r="C798" s="3" t="s">
        <v>25</v>
      </c>
      <c r="D798" s="9">
        <f>SUM(D794:D797)</f>
        <v>4</v>
      </c>
      <c r="G798" s="85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85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</row>
    <row r="799" spans="2:52" x14ac:dyDescent="0.25"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</row>
    <row r="800" spans="2:52" ht="15.75" x14ac:dyDescent="0.25">
      <c r="G800" s="100" t="s">
        <v>22</v>
      </c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1" t="s">
        <v>21</v>
      </c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46"/>
      <c r="AR800" s="46"/>
      <c r="AS800" s="46"/>
      <c r="AT800" s="46"/>
      <c r="AU800" s="46"/>
      <c r="AV800" s="46"/>
      <c r="AW800" s="46"/>
      <c r="AX800" s="46"/>
    </row>
    <row r="801" spans="2:52" ht="32.25" thickBot="1" x14ac:dyDescent="0.3">
      <c r="G801" s="102" t="s">
        <v>14</v>
      </c>
      <c r="H801" s="102"/>
      <c r="I801" s="102"/>
      <c r="J801" s="102"/>
      <c r="K801" s="102" t="s">
        <v>15</v>
      </c>
      <c r="L801" s="102"/>
      <c r="M801" s="102"/>
      <c r="N801" s="102"/>
      <c r="O801" s="102" t="s">
        <v>59</v>
      </c>
      <c r="P801" s="102"/>
      <c r="Q801" s="102" t="s">
        <v>16</v>
      </c>
      <c r="R801" s="102"/>
      <c r="S801" s="102"/>
      <c r="T801" s="102"/>
      <c r="U801" s="102"/>
      <c r="V801" s="102"/>
      <c r="W801" s="102"/>
      <c r="X801" s="102"/>
      <c r="Y801" s="102" t="s">
        <v>14</v>
      </c>
      <c r="Z801" s="102"/>
      <c r="AA801" s="102"/>
      <c r="AB801" s="102"/>
      <c r="AC801" s="102" t="s">
        <v>15</v>
      </c>
      <c r="AD801" s="102"/>
      <c r="AE801" s="102"/>
      <c r="AF801" s="102"/>
      <c r="AG801" s="102" t="s">
        <v>59</v>
      </c>
      <c r="AH801" s="102"/>
      <c r="AI801" s="102" t="s">
        <v>16</v>
      </c>
      <c r="AJ801" s="102"/>
      <c r="AK801" s="102"/>
      <c r="AL801" s="102"/>
      <c r="AM801" s="102"/>
      <c r="AN801" s="102"/>
      <c r="AO801" s="102"/>
      <c r="AP801" s="102"/>
      <c r="AQ801" s="76" t="s">
        <v>60</v>
      </c>
      <c r="AR801" s="76" t="s">
        <v>70</v>
      </c>
      <c r="AS801" s="76" t="s">
        <v>65</v>
      </c>
      <c r="AT801" s="76" t="s">
        <v>61</v>
      </c>
      <c r="AU801" s="76" t="s">
        <v>62</v>
      </c>
      <c r="AV801" s="76" t="s">
        <v>27</v>
      </c>
      <c r="AW801" s="76" t="s">
        <v>64</v>
      </c>
      <c r="AX801" s="76" t="s">
        <v>63</v>
      </c>
      <c r="AY801" s="76" t="s">
        <v>66</v>
      </c>
      <c r="AZ801" s="76" t="s">
        <v>67</v>
      </c>
    </row>
    <row r="802" spans="2:52" ht="48" thickBot="1" x14ac:dyDescent="0.3">
      <c r="B802" s="20">
        <v>0.91666666666666996</v>
      </c>
      <c r="C802" s="14" t="s">
        <v>13</v>
      </c>
      <c r="D802" s="8" t="s">
        <v>6</v>
      </c>
      <c r="F802" s="13"/>
      <c r="G802" s="81" t="s">
        <v>20</v>
      </c>
      <c r="H802" s="64" t="s">
        <v>17</v>
      </c>
      <c r="I802" s="64" t="s">
        <v>19</v>
      </c>
      <c r="J802" s="64" t="s">
        <v>18</v>
      </c>
      <c r="K802" s="64" t="s">
        <v>52</v>
      </c>
      <c r="L802" s="64" t="s">
        <v>51</v>
      </c>
      <c r="M802" s="64" t="s">
        <v>53</v>
      </c>
      <c r="N802" s="64" t="s">
        <v>54</v>
      </c>
      <c r="O802" s="64" t="s">
        <v>20</v>
      </c>
      <c r="P802" s="64" t="s">
        <v>19</v>
      </c>
      <c r="Q802" s="64" t="s">
        <v>55</v>
      </c>
      <c r="R802" s="64" t="s">
        <v>56</v>
      </c>
      <c r="S802" s="64" t="s">
        <v>52</v>
      </c>
      <c r="T802" s="64" t="s">
        <v>51</v>
      </c>
      <c r="U802" s="64" t="s">
        <v>57</v>
      </c>
      <c r="V802" s="64" t="s">
        <v>58</v>
      </c>
      <c r="W802" s="64" t="s">
        <v>53</v>
      </c>
      <c r="X802" s="64" t="s">
        <v>54</v>
      </c>
      <c r="Y802" s="81" t="s">
        <v>20</v>
      </c>
      <c r="Z802" s="64" t="s">
        <v>17</v>
      </c>
      <c r="AA802" s="64" t="s">
        <v>19</v>
      </c>
      <c r="AB802" s="64" t="s">
        <v>18</v>
      </c>
      <c r="AC802" s="64" t="s">
        <v>52</v>
      </c>
      <c r="AD802" s="64" t="s">
        <v>51</v>
      </c>
      <c r="AE802" s="64" t="s">
        <v>53</v>
      </c>
      <c r="AF802" s="64" t="s">
        <v>54</v>
      </c>
      <c r="AG802" s="64" t="s">
        <v>20</v>
      </c>
      <c r="AH802" s="64" t="s">
        <v>19</v>
      </c>
      <c r="AI802" s="64" t="s">
        <v>55</v>
      </c>
      <c r="AJ802" s="64" t="s">
        <v>56</v>
      </c>
      <c r="AK802" s="64" t="s">
        <v>52</v>
      </c>
      <c r="AL802" s="64" t="s">
        <v>51</v>
      </c>
      <c r="AM802" s="64" t="s">
        <v>57</v>
      </c>
      <c r="AN802" s="64" t="s">
        <v>58</v>
      </c>
      <c r="AO802" s="64" t="s">
        <v>53</v>
      </c>
      <c r="AP802" s="64" t="s">
        <v>54</v>
      </c>
      <c r="AQ802" s="46"/>
      <c r="AR802" s="46"/>
      <c r="AS802" s="46"/>
      <c r="AT802" s="46"/>
      <c r="AU802" s="46"/>
      <c r="AV802" s="46"/>
      <c r="AW802" s="46"/>
      <c r="AX802" s="46"/>
    </row>
    <row r="803" spans="2:52" ht="16.5" customHeight="1" thickBot="1" x14ac:dyDescent="0.3">
      <c r="B803" s="1" t="s">
        <v>0</v>
      </c>
      <c r="C803" s="10"/>
      <c r="D803">
        <f>C803</f>
        <v>0</v>
      </c>
      <c r="F803" s="12" t="s">
        <v>0</v>
      </c>
      <c r="G803" s="86"/>
      <c r="H803" s="66"/>
      <c r="I803" s="66"/>
      <c r="J803" s="67"/>
      <c r="K803" s="65"/>
      <c r="L803" s="66"/>
      <c r="M803" s="66"/>
      <c r="N803" s="66"/>
      <c r="O803" s="65"/>
      <c r="P803" s="67"/>
      <c r="Q803" s="65"/>
      <c r="R803" s="66"/>
      <c r="S803" s="66"/>
      <c r="T803" s="66"/>
      <c r="U803" s="66"/>
      <c r="V803" s="66"/>
      <c r="W803" s="66"/>
      <c r="X803" s="67"/>
      <c r="Y803" s="86"/>
      <c r="Z803" s="66"/>
      <c r="AA803" s="66"/>
      <c r="AB803" s="66"/>
      <c r="AC803" s="65"/>
      <c r="AD803" s="66"/>
      <c r="AE803" s="66"/>
      <c r="AF803" s="67"/>
      <c r="AG803" s="66"/>
      <c r="AH803" s="67"/>
      <c r="AI803" s="66"/>
      <c r="AJ803" s="66"/>
      <c r="AK803" s="66"/>
      <c r="AL803" s="66"/>
      <c r="AM803" s="66"/>
      <c r="AN803" s="66"/>
      <c r="AO803" s="66"/>
      <c r="AP803" s="66"/>
      <c r="AQ803" s="65"/>
      <c r="AR803" s="65"/>
      <c r="AS803" s="65"/>
      <c r="AT803" s="65"/>
      <c r="AU803" s="65"/>
      <c r="AV803" s="65"/>
      <c r="AW803" s="65"/>
      <c r="AX803" s="68"/>
      <c r="AY803" s="17"/>
      <c r="AZ803" s="17"/>
    </row>
    <row r="804" spans="2:52" ht="16.5" customHeight="1" thickBot="1" x14ac:dyDescent="0.3">
      <c r="B804" s="1" t="s">
        <v>1</v>
      </c>
      <c r="C804" s="10"/>
      <c r="D804">
        <f t="shared" ref="D804:D806" si="88">C804</f>
        <v>0</v>
      </c>
      <c r="F804" s="1" t="s">
        <v>1</v>
      </c>
      <c r="G804" s="87"/>
      <c r="H804" s="46"/>
      <c r="I804" s="46"/>
      <c r="J804" s="70"/>
      <c r="K804" s="69"/>
      <c r="L804" s="46"/>
      <c r="M804" s="46"/>
      <c r="N804" s="46"/>
      <c r="O804" s="69"/>
      <c r="P804" s="70"/>
      <c r="Q804" s="69"/>
      <c r="R804" s="46"/>
      <c r="S804" s="46"/>
      <c r="T804" s="46"/>
      <c r="U804" s="46"/>
      <c r="V804" s="46"/>
      <c r="W804" s="46"/>
      <c r="X804" s="70"/>
      <c r="Y804" s="87"/>
      <c r="Z804" s="46"/>
      <c r="AA804" s="46"/>
      <c r="AB804" s="46"/>
      <c r="AC804" s="69"/>
      <c r="AD804" s="46"/>
      <c r="AE804" s="46"/>
      <c r="AF804" s="70"/>
      <c r="AG804" s="46"/>
      <c r="AH804" s="70"/>
      <c r="AI804" s="46"/>
      <c r="AJ804" s="46"/>
      <c r="AK804" s="46"/>
      <c r="AL804" s="46"/>
      <c r="AM804" s="46"/>
      <c r="AN804" s="46"/>
      <c r="AO804" s="46"/>
      <c r="AP804" s="46"/>
      <c r="AQ804" s="69"/>
      <c r="AR804" s="69"/>
      <c r="AS804" s="69"/>
      <c r="AT804" s="69"/>
      <c r="AU804" s="69"/>
      <c r="AV804" s="69"/>
      <c r="AW804" s="69"/>
      <c r="AX804" s="71"/>
      <c r="AY804" s="18"/>
      <c r="AZ804" s="18"/>
    </row>
    <row r="805" spans="2:52" ht="16.5" customHeight="1" thickBot="1" x14ac:dyDescent="0.3">
      <c r="B805" s="1" t="s">
        <v>2</v>
      </c>
      <c r="C805" s="10"/>
      <c r="D805">
        <f>C805</f>
        <v>0</v>
      </c>
      <c r="F805" s="1" t="s">
        <v>2</v>
      </c>
      <c r="G805" s="87"/>
      <c r="H805" s="46"/>
      <c r="I805" s="46"/>
      <c r="J805" s="70"/>
      <c r="K805" s="69"/>
      <c r="L805" s="46"/>
      <c r="M805" s="46"/>
      <c r="N805" s="46"/>
      <c r="O805" s="69"/>
      <c r="P805" s="70"/>
      <c r="Q805" s="69"/>
      <c r="R805" s="46"/>
      <c r="S805" s="46"/>
      <c r="T805" s="46"/>
      <c r="U805" s="46"/>
      <c r="V805" s="46"/>
      <c r="W805" s="46"/>
      <c r="X805" s="70"/>
      <c r="Y805" s="87"/>
      <c r="Z805" s="46"/>
      <c r="AA805" s="46"/>
      <c r="AB805" s="46"/>
      <c r="AC805" s="69"/>
      <c r="AD805" s="46"/>
      <c r="AE805" s="46"/>
      <c r="AF805" s="70"/>
      <c r="AG805" s="46"/>
      <c r="AH805" s="70"/>
      <c r="AI805" s="46"/>
      <c r="AJ805" s="46"/>
      <c r="AK805" s="46"/>
      <c r="AL805" s="46"/>
      <c r="AM805" s="46"/>
      <c r="AN805" s="46"/>
      <c r="AO805" s="46"/>
      <c r="AP805" s="46"/>
      <c r="AQ805" s="69"/>
      <c r="AR805" s="69"/>
      <c r="AS805" s="69"/>
      <c r="AT805" s="69"/>
      <c r="AU805" s="69"/>
      <c r="AV805" s="69"/>
      <c r="AW805" s="69"/>
      <c r="AX805" s="71"/>
      <c r="AY805" s="18"/>
      <c r="AZ805" s="18"/>
    </row>
    <row r="806" spans="2:52" ht="16.5" customHeight="1" thickBot="1" x14ac:dyDescent="0.3">
      <c r="B806" s="1" t="s">
        <v>3</v>
      </c>
      <c r="C806" s="10"/>
      <c r="D806" s="7">
        <f t="shared" si="88"/>
        <v>0</v>
      </c>
      <c r="F806" s="1" t="s">
        <v>3</v>
      </c>
      <c r="G806" s="88"/>
      <c r="H806" s="73"/>
      <c r="I806" s="73"/>
      <c r="J806" s="74"/>
      <c r="K806" s="72"/>
      <c r="L806" s="73"/>
      <c r="M806" s="73"/>
      <c r="N806" s="73"/>
      <c r="O806" s="72"/>
      <c r="P806" s="74"/>
      <c r="Q806" s="72"/>
      <c r="R806" s="73"/>
      <c r="S806" s="73"/>
      <c r="T806" s="73"/>
      <c r="U806" s="73"/>
      <c r="V806" s="73"/>
      <c r="W806" s="73"/>
      <c r="X806" s="74"/>
      <c r="Y806" s="88"/>
      <c r="Z806" s="73"/>
      <c r="AA806" s="73"/>
      <c r="AB806" s="73"/>
      <c r="AC806" s="72"/>
      <c r="AD806" s="73"/>
      <c r="AE806" s="73"/>
      <c r="AF806" s="74"/>
      <c r="AG806" s="73"/>
      <c r="AH806" s="74"/>
      <c r="AI806" s="73"/>
      <c r="AJ806" s="73"/>
      <c r="AK806" s="73"/>
      <c r="AL806" s="73"/>
      <c r="AM806" s="73"/>
      <c r="AN806" s="73"/>
      <c r="AO806" s="73"/>
      <c r="AP806" s="73"/>
      <c r="AQ806" s="72"/>
      <c r="AR806" s="72"/>
      <c r="AS806" s="72"/>
      <c r="AT806" s="72"/>
      <c r="AU806" s="72"/>
      <c r="AV806" s="72"/>
      <c r="AW806" s="72"/>
      <c r="AX806" s="75"/>
      <c r="AY806" s="19"/>
      <c r="AZ806" s="19"/>
    </row>
    <row r="807" spans="2:52" ht="21" customHeight="1" x14ac:dyDescent="0.25">
      <c r="B807" s="2"/>
      <c r="C807" s="3" t="s">
        <v>25</v>
      </c>
      <c r="D807" s="9">
        <f>SUM(D803:D806)</f>
        <v>0</v>
      </c>
      <c r="G807" s="85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85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</row>
    <row r="808" spans="2:52" x14ac:dyDescent="0.25"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</row>
    <row r="809" spans="2:52" ht="15.75" x14ac:dyDescent="0.25">
      <c r="G809" s="100" t="s">
        <v>22</v>
      </c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1" t="s">
        <v>21</v>
      </c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46"/>
      <c r="AR809" s="46"/>
      <c r="AS809" s="46"/>
      <c r="AT809" s="46"/>
      <c r="AU809" s="46"/>
      <c r="AV809" s="46"/>
      <c r="AW809" s="46"/>
      <c r="AX809" s="46"/>
    </row>
    <row r="810" spans="2:52" ht="32.25" thickBot="1" x14ac:dyDescent="0.3">
      <c r="G810" s="102" t="s">
        <v>14</v>
      </c>
      <c r="H810" s="102"/>
      <c r="I810" s="102"/>
      <c r="J810" s="102"/>
      <c r="K810" s="102" t="s">
        <v>15</v>
      </c>
      <c r="L810" s="102"/>
      <c r="M810" s="102"/>
      <c r="N810" s="102"/>
      <c r="O810" s="102" t="s">
        <v>59</v>
      </c>
      <c r="P810" s="102"/>
      <c r="Q810" s="102" t="s">
        <v>16</v>
      </c>
      <c r="R810" s="102"/>
      <c r="S810" s="102"/>
      <c r="T810" s="102"/>
      <c r="U810" s="102"/>
      <c r="V810" s="102"/>
      <c r="W810" s="102"/>
      <c r="X810" s="102"/>
      <c r="Y810" s="102" t="s">
        <v>14</v>
      </c>
      <c r="Z810" s="102"/>
      <c r="AA810" s="102"/>
      <c r="AB810" s="102"/>
      <c r="AC810" s="102" t="s">
        <v>15</v>
      </c>
      <c r="AD810" s="102"/>
      <c r="AE810" s="102"/>
      <c r="AF810" s="102"/>
      <c r="AG810" s="102" t="s">
        <v>59</v>
      </c>
      <c r="AH810" s="102"/>
      <c r="AI810" s="102" t="s">
        <v>16</v>
      </c>
      <c r="AJ810" s="102"/>
      <c r="AK810" s="102"/>
      <c r="AL810" s="102"/>
      <c r="AM810" s="102"/>
      <c r="AN810" s="102"/>
      <c r="AO810" s="102"/>
      <c r="AP810" s="102"/>
      <c r="AQ810" s="76" t="s">
        <v>60</v>
      </c>
      <c r="AR810" s="76" t="s">
        <v>70</v>
      </c>
      <c r="AS810" s="76" t="s">
        <v>65</v>
      </c>
      <c r="AT810" s="76" t="s">
        <v>61</v>
      </c>
      <c r="AU810" s="76" t="s">
        <v>62</v>
      </c>
      <c r="AV810" s="76" t="s">
        <v>27</v>
      </c>
      <c r="AW810" s="76" t="s">
        <v>64</v>
      </c>
      <c r="AX810" s="76" t="s">
        <v>63</v>
      </c>
      <c r="AY810" s="76" t="s">
        <v>66</v>
      </c>
      <c r="AZ810" s="76" t="s">
        <v>67</v>
      </c>
    </row>
    <row r="811" spans="2:52" ht="48" thickBot="1" x14ac:dyDescent="0.3">
      <c r="B811" s="20">
        <v>0.92708333333333603</v>
      </c>
      <c r="C811" s="14" t="s">
        <v>13</v>
      </c>
      <c r="D811" s="8" t="s">
        <v>6</v>
      </c>
      <c r="F811" s="13"/>
      <c r="G811" s="81" t="s">
        <v>20</v>
      </c>
      <c r="H811" s="64" t="s">
        <v>17</v>
      </c>
      <c r="I811" s="64" t="s">
        <v>19</v>
      </c>
      <c r="J811" s="64" t="s">
        <v>18</v>
      </c>
      <c r="K811" s="64" t="s">
        <v>52</v>
      </c>
      <c r="L811" s="64" t="s">
        <v>51</v>
      </c>
      <c r="M811" s="64" t="s">
        <v>53</v>
      </c>
      <c r="N811" s="64" t="s">
        <v>54</v>
      </c>
      <c r="O811" s="64" t="s">
        <v>20</v>
      </c>
      <c r="P811" s="64" t="s">
        <v>19</v>
      </c>
      <c r="Q811" s="64" t="s">
        <v>55</v>
      </c>
      <c r="R811" s="64" t="s">
        <v>56</v>
      </c>
      <c r="S811" s="64" t="s">
        <v>52</v>
      </c>
      <c r="T811" s="64" t="s">
        <v>51</v>
      </c>
      <c r="U811" s="64" t="s">
        <v>57</v>
      </c>
      <c r="V811" s="64" t="s">
        <v>58</v>
      </c>
      <c r="W811" s="64" t="s">
        <v>53</v>
      </c>
      <c r="X811" s="64" t="s">
        <v>54</v>
      </c>
      <c r="Y811" s="81" t="s">
        <v>20</v>
      </c>
      <c r="Z811" s="64" t="s">
        <v>17</v>
      </c>
      <c r="AA811" s="64" t="s">
        <v>19</v>
      </c>
      <c r="AB811" s="64" t="s">
        <v>18</v>
      </c>
      <c r="AC811" s="64" t="s">
        <v>52</v>
      </c>
      <c r="AD811" s="64" t="s">
        <v>51</v>
      </c>
      <c r="AE811" s="64" t="s">
        <v>53</v>
      </c>
      <c r="AF811" s="64" t="s">
        <v>54</v>
      </c>
      <c r="AG811" s="64" t="s">
        <v>20</v>
      </c>
      <c r="AH811" s="64" t="s">
        <v>19</v>
      </c>
      <c r="AI811" s="64" t="s">
        <v>55</v>
      </c>
      <c r="AJ811" s="64" t="s">
        <v>56</v>
      </c>
      <c r="AK811" s="64" t="s">
        <v>52</v>
      </c>
      <c r="AL811" s="64" t="s">
        <v>51</v>
      </c>
      <c r="AM811" s="64" t="s">
        <v>57</v>
      </c>
      <c r="AN811" s="64" t="s">
        <v>58</v>
      </c>
      <c r="AO811" s="64" t="s">
        <v>53</v>
      </c>
      <c r="AP811" s="64" t="s">
        <v>54</v>
      </c>
      <c r="AQ811" s="46"/>
      <c r="AR811" s="46"/>
      <c r="AS811" s="46"/>
      <c r="AT811" s="46"/>
      <c r="AU811" s="46"/>
      <c r="AV811" s="46"/>
      <c r="AW811" s="46"/>
      <c r="AX811" s="46"/>
    </row>
    <row r="812" spans="2:52" ht="16.5" customHeight="1" thickBot="1" x14ac:dyDescent="0.3">
      <c r="B812" s="1" t="s">
        <v>0</v>
      </c>
      <c r="C812" s="10">
        <v>2</v>
      </c>
      <c r="D812">
        <f>C812</f>
        <v>2</v>
      </c>
      <c r="F812" s="12" t="s">
        <v>0</v>
      </c>
      <c r="G812" s="86"/>
      <c r="H812" s="66"/>
      <c r="I812" s="66"/>
      <c r="J812" s="67"/>
      <c r="K812" s="65"/>
      <c r="L812" s="66"/>
      <c r="M812" s="66"/>
      <c r="N812" s="66"/>
      <c r="O812" s="65"/>
      <c r="P812" s="67"/>
      <c r="Q812" s="65">
        <v>2</v>
      </c>
      <c r="R812" s="66"/>
      <c r="S812" s="66"/>
      <c r="T812" s="66"/>
      <c r="U812" s="66"/>
      <c r="V812" s="66"/>
      <c r="W812" s="66"/>
      <c r="X812" s="67"/>
      <c r="Y812" s="86"/>
      <c r="Z812" s="66"/>
      <c r="AA812" s="66"/>
      <c r="AB812" s="66"/>
      <c r="AC812" s="65"/>
      <c r="AD812" s="66"/>
      <c r="AE812" s="66"/>
      <c r="AF812" s="67"/>
      <c r="AG812" s="66"/>
      <c r="AH812" s="67"/>
      <c r="AI812" s="66"/>
      <c r="AJ812" s="66"/>
      <c r="AK812" s="66"/>
      <c r="AL812" s="66"/>
      <c r="AM812" s="66"/>
      <c r="AN812" s="66">
        <v>2</v>
      </c>
      <c r="AO812" s="66"/>
      <c r="AP812" s="66"/>
      <c r="AQ812" s="65"/>
      <c r="AR812" s="65">
        <v>1</v>
      </c>
      <c r="AS812" s="65"/>
      <c r="AT812" s="65"/>
      <c r="AU812" s="65"/>
      <c r="AV812" s="65"/>
      <c r="AW812" s="65"/>
      <c r="AX812" s="68"/>
      <c r="AY812" s="17"/>
      <c r="AZ812" s="17"/>
    </row>
    <row r="813" spans="2:52" ht="16.5" customHeight="1" thickBot="1" x14ac:dyDescent="0.3">
      <c r="B813" s="1" t="s">
        <v>1</v>
      </c>
      <c r="C813" s="10"/>
      <c r="D813">
        <f t="shared" ref="D813:D815" si="89">C813</f>
        <v>0</v>
      </c>
      <c r="F813" s="1" t="s">
        <v>1</v>
      </c>
      <c r="G813" s="87"/>
      <c r="H813" s="46"/>
      <c r="I813" s="46"/>
      <c r="J813" s="70"/>
      <c r="K813" s="69"/>
      <c r="L813" s="46"/>
      <c r="M813" s="46"/>
      <c r="N813" s="46"/>
      <c r="O813" s="69"/>
      <c r="P813" s="70"/>
      <c r="Q813" s="69"/>
      <c r="R813" s="46"/>
      <c r="S813" s="46"/>
      <c r="T813" s="46"/>
      <c r="U813" s="46"/>
      <c r="V813" s="46"/>
      <c r="W813" s="46"/>
      <c r="X813" s="70"/>
      <c r="Y813" s="87"/>
      <c r="Z813" s="46"/>
      <c r="AA813" s="46"/>
      <c r="AB813" s="46"/>
      <c r="AC813" s="69"/>
      <c r="AD813" s="46"/>
      <c r="AE813" s="46"/>
      <c r="AF813" s="70"/>
      <c r="AG813" s="46"/>
      <c r="AH813" s="70"/>
      <c r="AI813" s="46"/>
      <c r="AJ813" s="46"/>
      <c r="AK813" s="46"/>
      <c r="AL813" s="46"/>
      <c r="AM813" s="46"/>
      <c r="AN813" s="46"/>
      <c r="AO813" s="46"/>
      <c r="AP813" s="46"/>
      <c r="AQ813" s="69"/>
      <c r="AR813" s="69"/>
      <c r="AS813" s="69"/>
      <c r="AT813" s="69"/>
      <c r="AU813" s="69"/>
      <c r="AV813" s="69"/>
      <c r="AW813" s="69"/>
      <c r="AX813" s="71"/>
      <c r="AY813" s="18"/>
      <c r="AZ813" s="18"/>
    </row>
    <row r="814" spans="2:52" ht="16.5" customHeight="1" thickBot="1" x14ac:dyDescent="0.3">
      <c r="B814" s="1" t="s">
        <v>2</v>
      </c>
      <c r="C814" s="10"/>
      <c r="D814">
        <f>C814</f>
        <v>0</v>
      </c>
      <c r="F814" s="1" t="s">
        <v>2</v>
      </c>
      <c r="G814" s="87"/>
      <c r="H814" s="46"/>
      <c r="I814" s="46"/>
      <c r="J814" s="70"/>
      <c r="K814" s="69"/>
      <c r="L814" s="46"/>
      <c r="M814" s="46"/>
      <c r="N814" s="46"/>
      <c r="O814" s="69"/>
      <c r="P814" s="70"/>
      <c r="Q814" s="69"/>
      <c r="R814" s="46"/>
      <c r="S814" s="46"/>
      <c r="T814" s="46"/>
      <c r="U814" s="46"/>
      <c r="V814" s="46"/>
      <c r="W814" s="46"/>
      <c r="X814" s="70"/>
      <c r="Y814" s="87"/>
      <c r="Z814" s="46"/>
      <c r="AA814" s="46"/>
      <c r="AB814" s="46"/>
      <c r="AC814" s="69"/>
      <c r="AD814" s="46"/>
      <c r="AE814" s="46"/>
      <c r="AF814" s="70"/>
      <c r="AG814" s="46"/>
      <c r="AH814" s="70"/>
      <c r="AI814" s="46"/>
      <c r="AJ814" s="46"/>
      <c r="AK814" s="46"/>
      <c r="AL814" s="46"/>
      <c r="AM814" s="46"/>
      <c r="AN814" s="46"/>
      <c r="AO814" s="46"/>
      <c r="AP814" s="46"/>
      <c r="AQ814" s="69"/>
      <c r="AR814" s="69"/>
      <c r="AS814" s="69"/>
      <c r="AT814" s="69"/>
      <c r="AU814" s="69"/>
      <c r="AV814" s="69"/>
      <c r="AW814" s="69"/>
      <c r="AX814" s="71"/>
      <c r="AY814" s="18"/>
      <c r="AZ814" s="18"/>
    </row>
    <row r="815" spans="2:52" ht="16.5" customHeight="1" thickBot="1" x14ac:dyDescent="0.3">
      <c r="B815" s="1" t="s">
        <v>3</v>
      </c>
      <c r="C815" s="10"/>
      <c r="D815" s="7">
        <f t="shared" si="89"/>
        <v>0</v>
      </c>
      <c r="F815" s="1" t="s">
        <v>3</v>
      </c>
      <c r="G815" s="88"/>
      <c r="H815" s="73"/>
      <c r="I815" s="73"/>
      <c r="J815" s="74"/>
      <c r="K815" s="72"/>
      <c r="L815" s="73"/>
      <c r="M815" s="73"/>
      <c r="N815" s="73"/>
      <c r="O815" s="72"/>
      <c r="P815" s="74"/>
      <c r="Q815" s="72"/>
      <c r="R815" s="73"/>
      <c r="S815" s="73"/>
      <c r="T815" s="73"/>
      <c r="U815" s="73"/>
      <c r="V815" s="73"/>
      <c r="W815" s="73"/>
      <c r="X815" s="74"/>
      <c r="Y815" s="88"/>
      <c r="Z815" s="73"/>
      <c r="AA815" s="73"/>
      <c r="AB815" s="73"/>
      <c r="AC815" s="72"/>
      <c r="AD815" s="73"/>
      <c r="AE815" s="73"/>
      <c r="AF815" s="74"/>
      <c r="AG815" s="73"/>
      <c r="AH815" s="74"/>
      <c r="AI815" s="73"/>
      <c r="AJ815" s="73"/>
      <c r="AK815" s="73"/>
      <c r="AL815" s="73"/>
      <c r="AM815" s="73"/>
      <c r="AN815" s="73"/>
      <c r="AO815" s="73"/>
      <c r="AP815" s="73"/>
      <c r="AQ815" s="72"/>
      <c r="AR815" s="72"/>
      <c r="AS815" s="72"/>
      <c r="AT815" s="72"/>
      <c r="AU815" s="72"/>
      <c r="AV815" s="72"/>
      <c r="AW815" s="72"/>
      <c r="AX815" s="75"/>
      <c r="AY815" s="19"/>
      <c r="AZ815" s="19"/>
    </row>
    <row r="816" spans="2:52" ht="21" customHeight="1" x14ac:dyDescent="0.25">
      <c r="B816" s="2"/>
      <c r="C816" s="3" t="s">
        <v>25</v>
      </c>
      <c r="D816" s="9">
        <f>SUM(D812:D815)</f>
        <v>2</v>
      </c>
      <c r="G816" s="85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85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</row>
    <row r="817" spans="2:52" x14ac:dyDescent="0.25"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</row>
    <row r="818" spans="2:52" ht="15.75" x14ac:dyDescent="0.25">
      <c r="G818" s="100" t="s">
        <v>22</v>
      </c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1" t="s">
        <v>21</v>
      </c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46"/>
      <c r="AR818" s="46"/>
      <c r="AS818" s="46"/>
      <c r="AT818" s="46"/>
      <c r="AU818" s="46"/>
      <c r="AV818" s="46"/>
      <c r="AW818" s="46"/>
      <c r="AX818" s="46"/>
    </row>
    <row r="819" spans="2:52" ht="32.25" thickBot="1" x14ac:dyDescent="0.3">
      <c r="G819" s="102" t="s">
        <v>14</v>
      </c>
      <c r="H819" s="102"/>
      <c r="I819" s="102"/>
      <c r="J819" s="102"/>
      <c r="K819" s="102" t="s">
        <v>15</v>
      </c>
      <c r="L819" s="102"/>
      <c r="M819" s="102"/>
      <c r="N819" s="102"/>
      <c r="O819" s="102" t="s">
        <v>59</v>
      </c>
      <c r="P819" s="102"/>
      <c r="Q819" s="102" t="s">
        <v>16</v>
      </c>
      <c r="R819" s="102"/>
      <c r="S819" s="102"/>
      <c r="T819" s="102"/>
      <c r="U819" s="102"/>
      <c r="V819" s="102"/>
      <c r="W819" s="102"/>
      <c r="X819" s="102"/>
      <c r="Y819" s="102" t="s">
        <v>14</v>
      </c>
      <c r="Z819" s="102"/>
      <c r="AA819" s="102"/>
      <c r="AB819" s="102"/>
      <c r="AC819" s="102" t="s">
        <v>15</v>
      </c>
      <c r="AD819" s="102"/>
      <c r="AE819" s="102"/>
      <c r="AF819" s="102"/>
      <c r="AG819" s="102" t="s">
        <v>59</v>
      </c>
      <c r="AH819" s="102"/>
      <c r="AI819" s="102" t="s">
        <v>16</v>
      </c>
      <c r="AJ819" s="102"/>
      <c r="AK819" s="102"/>
      <c r="AL819" s="102"/>
      <c r="AM819" s="102"/>
      <c r="AN819" s="102"/>
      <c r="AO819" s="102"/>
      <c r="AP819" s="102"/>
      <c r="AQ819" s="76" t="s">
        <v>60</v>
      </c>
      <c r="AR819" s="76" t="s">
        <v>70</v>
      </c>
      <c r="AS819" s="76" t="s">
        <v>65</v>
      </c>
      <c r="AT819" s="76" t="s">
        <v>61</v>
      </c>
      <c r="AU819" s="76" t="s">
        <v>62</v>
      </c>
      <c r="AV819" s="76" t="s">
        <v>27</v>
      </c>
      <c r="AW819" s="76" t="s">
        <v>64</v>
      </c>
      <c r="AX819" s="76" t="s">
        <v>63</v>
      </c>
      <c r="AY819" s="76" t="s">
        <v>66</v>
      </c>
      <c r="AZ819" s="76" t="s">
        <v>67</v>
      </c>
    </row>
    <row r="820" spans="2:52" ht="48" thickBot="1" x14ac:dyDescent="0.3">
      <c r="B820" s="20">
        <v>0.937500000000003</v>
      </c>
      <c r="C820" s="14" t="s">
        <v>13</v>
      </c>
      <c r="D820" s="8" t="s">
        <v>6</v>
      </c>
      <c r="F820" s="13"/>
      <c r="G820" s="81" t="s">
        <v>20</v>
      </c>
      <c r="H820" s="64" t="s">
        <v>17</v>
      </c>
      <c r="I820" s="64" t="s">
        <v>19</v>
      </c>
      <c r="J820" s="64" t="s">
        <v>18</v>
      </c>
      <c r="K820" s="64" t="s">
        <v>52</v>
      </c>
      <c r="L820" s="64" t="s">
        <v>51</v>
      </c>
      <c r="M820" s="64" t="s">
        <v>53</v>
      </c>
      <c r="N820" s="64" t="s">
        <v>54</v>
      </c>
      <c r="O820" s="64" t="s">
        <v>20</v>
      </c>
      <c r="P820" s="64" t="s">
        <v>19</v>
      </c>
      <c r="Q820" s="64" t="s">
        <v>55</v>
      </c>
      <c r="R820" s="64" t="s">
        <v>56</v>
      </c>
      <c r="S820" s="64" t="s">
        <v>52</v>
      </c>
      <c r="T820" s="64" t="s">
        <v>51</v>
      </c>
      <c r="U820" s="64" t="s">
        <v>57</v>
      </c>
      <c r="V820" s="64" t="s">
        <v>58</v>
      </c>
      <c r="W820" s="64" t="s">
        <v>53</v>
      </c>
      <c r="X820" s="64" t="s">
        <v>54</v>
      </c>
      <c r="Y820" s="81" t="s">
        <v>20</v>
      </c>
      <c r="Z820" s="64" t="s">
        <v>17</v>
      </c>
      <c r="AA820" s="64" t="s">
        <v>19</v>
      </c>
      <c r="AB820" s="64" t="s">
        <v>18</v>
      </c>
      <c r="AC820" s="64" t="s">
        <v>52</v>
      </c>
      <c r="AD820" s="64" t="s">
        <v>51</v>
      </c>
      <c r="AE820" s="64" t="s">
        <v>53</v>
      </c>
      <c r="AF820" s="64" t="s">
        <v>54</v>
      </c>
      <c r="AG820" s="64" t="s">
        <v>20</v>
      </c>
      <c r="AH820" s="64" t="s">
        <v>19</v>
      </c>
      <c r="AI820" s="64" t="s">
        <v>55</v>
      </c>
      <c r="AJ820" s="64" t="s">
        <v>56</v>
      </c>
      <c r="AK820" s="64" t="s">
        <v>52</v>
      </c>
      <c r="AL820" s="64" t="s">
        <v>51</v>
      </c>
      <c r="AM820" s="64" t="s">
        <v>57</v>
      </c>
      <c r="AN820" s="64" t="s">
        <v>58</v>
      </c>
      <c r="AO820" s="64" t="s">
        <v>53</v>
      </c>
      <c r="AP820" s="64" t="s">
        <v>54</v>
      </c>
      <c r="AQ820" s="46"/>
      <c r="AR820" s="46"/>
      <c r="AS820" s="46"/>
      <c r="AT820" s="46"/>
      <c r="AU820" s="46"/>
      <c r="AV820" s="46"/>
      <c r="AW820" s="46"/>
      <c r="AX820" s="46"/>
    </row>
    <row r="821" spans="2:52" ht="16.5" customHeight="1" thickBot="1" x14ac:dyDescent="0.3">
      <c r="B821" s="1" t="s">
        <v>0</v>
      </c>
      <c r="C821" s="10"/>
      <c r="D821">
        <f>C821</f>
        <v>0</v>
      </c>
      <c r="F821" s="12" t="s">
        <v>0</v>
      </c>
      <c r="G821" s="86"/>
      <c r="H821" s="66"/>
      <c r="I821" s="66"/>
      <c r="J821" s="67"/>
      <c r="K821" s="65"/>
      <c r="L821" s="66"/>
      <c r="M821" s="66"/>
      <c r="N821" s="66"/>
      <c r="O821" s="65"/>
      <c r="P821" s="67"/>
      <c r="Q821" s="65"/>
      <c r="R821" s="66"/>
      <c r="S821" s="66"/>
      <c r="T821" s="66"/>
      <c r="U821" s="66"/>
      <c r="V821" s="66"/>
      <c r="W821" s="66"/>
      <c r="X821" s="67"/>
      <c r="Y821" s="86"/>
      <c r="Z821" s="66"/>
      <c r="AA821" s="66"/>
      <c r="AB821" s="66"/>
      <c r="AC821" s="65"/>
      <c r="AD821" s="66"/>
      <c r="AE821" s="66"/>
      <c r="AF821" s="67"/>
      <c r="AG821" s="66"/>
      <c r="AH821" s="67"/>
      <c r="AI821" s="66"/>
      <c r="AJ821" s="66"/>
      <c r="AK821" s="66"/>
      <c r="AL821" s="66"/>
      <c r="AM821" s="66"/>
      <c r="AN821" s="66"/>
      <c r="AO821" s="66"/>
      <c r="AP821" s="66"/>
      <c r="AQ821" s="65"/>
      <c r="AR821" s="65"/>
      <c r="AS821" s="65"/>
      <c r="AT821" s="65"/>
      <c r="AU821" s="65"/>
      <c r="AV821" s="65"/>
      <c r="AW821" s="65"/>
      <c r="AX821" s="68"/>
      <c r="AY821" s="17"/>
      <c r="AZ821" s="17"/>
    </row>
    <row r="822" spans="2:52" ht="16.5" customHeight="1" thickBot="1" x14ac:dyDescent="0.3">
      <c r="B822" s="1" t="s">
        <v>1</v>
      </c>
      <c r="C822" s="10"/>
      <c r="D822">
        <f t="shared" ref="D822:D824" si="90">C822</f>
        <v>0</v>
      </c>
      <c r="F822" s="1" t="s">
        <v>1</v>
      </c>
      <c r="G822" s="87"/>
      <c r="H822" s="46"/>
      <c r="I822" s="46"/>
      <c r="J822" s="70"/>
      <c r="K822" s="69"/>
      <c r="L822" s="46"/>
      <c r="M822" s="46"/>
      <c r="N822" s="46"/>
      <c r="O822" s="69"/>
      <c r="P822" s="70"/>
      <c r="Q822" s="69"/>
      <c r="R822" s="46"/>
      <c r="S822" s="46"/>
      <c r="T822" s="46"/>
      <c r="U822" s="46"/>
      <c r="V822" s="46"/>
      <c r="W822" s="46"/>
      <c r="X822" s="70"/>
      <c r="Y822" s="87"/>
      <c r="Z822" s="46"/>
      <c r="AA822" s="46"/>
      <c r="AB822" s="46"/>
      <c r="AC822" s="69"/>
      <c r="AD822" s="46"/>
      <c r="AE822" s="46"/>
      <c r="AF822" s="70"/>
      <c r="AG822" s="46"/>
      <c r="AH822" s="70"/>
      <c r="AI822" s="46"/>
      <c r="AJ822" s="46"/>
      <c r="AK822" s="46"/>
      <c r="AL822" s="46"/>
      <c r="AM822" s="46"/>
      <c r="AN822" s="46"/>
      <c r="AO822" s="46"/>
      <c r="AP822" s="46"/>
      <c r="AQ822" s="69"/>
      <c r="AR822" s="69"/>
      <c r="AS822" s="69"/>
      <c r="AT822" s="69"/>
      <c r="AU822" s="69"/>
      <c r="AV822" s="69"/>
      <c r="AW822" s="69"/>
      <c r="AX822" s="71"/>
      <c r="AY822" s="18"/>
      <c r="AZ822" s="18"/>
    </row>
    <row r="823" spans="2:52" ht="16.5" customHeight="1" thickBot="1" x14ac:dyDescent="0.3">
      <c r="B823" s="1" t="s">
        <v>2</v>
      </c>
      <c r="C823" s="10"/>
      <c r="D823">
        <f>C823</f>
        <v>0</v>
      </c>
      <c r="F823" s="1" t="s">
        <v>2</v>
      </c>
      <c r="G823" s="87"/>
      <c r="H823" s="46"/>
      <c r="I823" s="46"/>
      <c r="J823" s="70"/>
      <c r="K823" s="69"/>
      <c r="L823" s="46"/>
      <c r="M823" s="46"/>
      <c r="N823" s="46"/>
      <c r="O823" s="69"/>
      <c r="P823" s="70"/>
      <c r="Q823" s="69"/>
      <c r="R823" s="46"/>
      <c r="S823" s="46"/>
      <c r="T823" s="46"/>
      <c r="U823" s="46"/>
      <c r="V823" s="46"/>
      <c r="W823" s="46"/>
      <c r="X823" s="70"/>
      <c r="Y823" s="87"/>
      <c r="Z823" s="46"/>
      <c r="AA823" s="46"/>
      <c r="AB823" s="46"/>
      <c r="AC823" s="69"/>
      <c r="AD823" s="46"/>
      <c r="AE823" s="46"/>
      <c r="AF823" s="70"/>
      <c r="AG823" s="46"/>
      <c r="AH823" s="70"/>
      <c r="AI823" s="46"/>
      <c r="AJ823" s="46"/>
      <c r="AK823" s="46"/>
      <c r="AL823" s="46"/>
      <c r="AM823" s="46"/>
      <c r="AN823" s="46"/>
      <c r="AO823" s="46"/>
      <c r="AP823" s="46"/>
      <c r="AQ823" s="69"/>
      <c r="AR823" s="69"/>
      <c r="AS823" s="69"/>
      <c r="AT823" s="69"/>
      <c r="AU823" s="69"/>
      <c r="AV823" s="69"/>
      <c r="AW823" s="69"/>
      <c r="AX823" s="71"/>
      <c r="AY823" s="18"/>
      <c r="AZ823" s="18"/>
    </row>
    <row r="824" spans="2:52" ht="16.5" customHeight="1" thickBot="1" x14ac:dyDescent="0.3">
      <c r="B824" s="1" t="s">
        <v>3</v>
      </c>
      <c r="C824" s="10"/>
      <c r="D824" s="7">
        <f t="shared" si="90"/>
        <v>0</v>
      </c>
      <c r="F824" s="1" t="s">
        <v>3</v>
      </c>
      <c r="G824" s="88"/>
      <c r="H824" s="73"/>
      <c r="I824" s="73"/>
      <c r="J824" s="74"/>
      <c r="K824" s="72"/>
      <c r="L824" s="73"/>
      <c r="M824" s="73"/>
      <c r="N824" s="73"/>
      <c r="O824" s="72"/>
      <c r="P824" s="74"/>
      <c r="Q824" s="72"/>
      <c r="R824" s="73"/>
      <c r="S824" s="73"/>
      <c r="T824" s="73"/>
      <c r="U824" s="73"/>
      <c r="V824" s="73"/>
      <c r="W824" s="73"/>
      <c r="X824" s="74"/>
      <c r="Y824" s="88"/>
      <c r="Z824" s="73"/>
      <c r="AA824" s="73"/>
      <c r="AB824" s="73"/>
      <c r="AC824" s="72"/>
      <c r="AD824" s="73"/>
      <c r="AE824" s="73"/>
      <c r="AF824" s="74"/>
      <c r="AG824" s="73"/>
      <c r="AH824" s="74"/>
      <c r="AI824" s="73"/>
      <c r="AJ824" s="73"/>
      <c r="AK824" s="73"/>
      <c r="AL824" s="73"/>
      <c r="AM824" s="73"/>
      <c r="AN824" s="73"/>
      <c r="AO824" s="73"/>
      <c r="AP824" s="73"/>
      <c r="AQ824" s="72"/>
      <c r="AR824" s="72"/>
      <c r="AS824" s="72"/>
      <c r="AT824" s="72"/>
      <c r="AU824" s="72"/>
      <c r="AV824" s="72"/>
      <c r="AW824" s="72"/>
      <c r="AX824" s="75"/>
      <c r="AY824" s="19"/>
      <c r="AZ824" s="19"/>
    </row>
    <row r="825" spans="2:52" ht="21" customHeight="1" x14ac:dyDescent="0.25">
      <c r="B825" s="2"/>
      <c r="C825" s="3" t="s">
        <v>25</v>
      </c>
      <c r="D825" s="9">
        <f>SUM(D821:D824)</f>
        <v>0</v>
      </c>
      <c r="G825" s="85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85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</row>
    <row r="826" spans="2:52" x14ac:dyDescent="0.25"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</row>
    <row r="827" spans="2:52" ht="15.75" x14ac:dyDescent="0.25">
      <c r="G827" s="100" t="s">
        <v>22</v>
      </c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1" t="s">
        <v>21</v>
      </c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46"/>
      <c r="AR827" s="46"/>
      <c r="AS827" s="46"/>
      <c r="AT827" s="46"/>
      <c r="AU827" s="46"/>
      <c r="AV827" s="46"/>
      <c r="AW827" s="46"/>
      <c r="AX827" s="46"/>
    </row>
    <row r="828" spans="2:52" ht="32.25" thickBot="1" x14ac:dyDescent="0.3">
      <c r="G828" s="102" t="s">
        <v>14</v>
      </c>
      <c r="H828" s="102"/>
      <c r="I828" s="102"/>
      <c r="J828" s="102"/>
      <c r="K828" s="102" t="s">
        <v>15</v>
      </c>
      <c r="L828" s="102"/>
      <c r="M828" s="102"/>
      <c r="N828" s="102"/>
      <c r="O828" s="102" t="s">
        <v>59</v>
      </c>
      <c r="P828" s="102"/>
      <c r="Q828" s="102" t="s">
        <v>16</v>
      </c>
      <c r="R828" s="102"/>
      <c r="S828" s="102"/>
      <c r="T828" s="102"/>
      <c r="U828" s="102"/>
      <c r="V828" s="102"/>
      <c r="W828" s="102"/>
      <c r="X828" s="102"/>
      <c r="Y828" s="102" t="s">
        <v>14</v>
      </c>
      <c r="Z828" s="102"/>
      <c r="AA828" s="102"/>
      <c r="AB828" s="102"/>
      <c r="AC828" s="102" t="s">
        <v>15</v>
      </c>
      <c r="AD828" s="102"/>
      <c r="AE828" s="102"/>
      <c r="AF828" s="102"/>
      <c r="AG828" s="102" t="s">
        <v>59</v>
      </c>
      <c r="AH828" s="102"/>
      <c r="AI828" s="102" t="s">
        <v>16</v>
      </c>
      <c r="AJ828" s="102"/>
      <c r="AK828" s="102"/>
      <c r="AL828" s="102"/>
      <c r="AM828" s="102"/>
      <c r="AN828" s="102"/>
      <c r="AO828" s="102"/>
      <c r="AP828" s="102"/>
      <c r="AQ828" s="76" t="s">
        <v>60</v>
      </c>
      <c r="AR828" s="76" t="s">
        <v>70</v>
      </c>
      <c r="AS828" s="76" t="s">
        <v>65</v>
      </c>
      <c r="AT828" s="76" t="s">
        <v>61</v>
      </c>
      <c r="AU828" s="76" t="s">
        <v>62</v>
      </c>
      <c r="AV828" s="76" t="s">
        <v>27</v>
      </c>
      <c r="AW828" s="76" t="s">
        <v>64</v>
      </c>
      <c r="AX828" s="76" t="s">
        <v>63</v>
      </c>
      <c r="AY828" s="76" t="s">
        <v>66</v>
      </c>
      <c r="AZ828" s="76" t="s">
        <v>67</v>
      </c>
    </row>
    <row r="829" spans="2:52" ht="48" thickBot="1" x14ac:dyDescent="0.3">
      <c r="B829" s="20">
        <v>0.94791666666666996</v>
      </c>
      <c r="C829" s="14" t="s">
        <v>13</v>
      </c>
      <c r="D829" s="8" t="s">
        <v>6</v>
      </c>
      <c r="F829" s="13"/>
      <c r="G829" s="81" t="s">
        <v>20</v>
      </c>
      <c r="H829" s="64" t="s">
        <v>17</v>
      </c>
      <c r="I829" s="64" t="s">
        <v>19</v>
      </c>
      <c r="J829" s="64" t="s">
        <v>18</v>
      </c>
      <c r="K829" s="64" t="s">
        <v>52</v>
      </c>
      <c r="L829" s="64" t="s">
        <v>51</v>
      </c>
      <c r="M829" s="64" t="s">
        <v>53</v>
      </c>
      <c r="N829" s="64" t="s">
        <v>54</v>
      </c>
      <c r="O829" s="64" t="s">
        <v>20</v>
      </c>
      <c r="P829" s="64" t="s">
        <v>19</v>
      </c>
      <c r="Q829" s="64" t="s">
        <v>55</v>
      </c>
      <c r="R829" s="64" t="s">
        <v>56</v>
      </c>
      <c r="S829" s="64" t="s">
        <v>52</v>
      </c>
      <c r="T829" s="64" t="s">
        <v>51</v>
      </c>
      <c r="U829" s="64" t="s">
        <v>57</v>
      </c>
      <c r="V829" s="64" t="s">
        <v>58</v>
      </c>
      <c r="W829" s="64" t="s">
        <v>53</v>
      </c>
      <c r="X829" s="64" t="s">
        <v>54</v>
      </c>
      <c r="Y829" s="81" t="s">
        <v>20</v>
      </c>
      <c r="Z829" s="64" t="s">
        <v>17</v>
      </c>
      <c r="AA829" s="64" t="s">
        <v>19</v>
      </c>
      <c r="AB829" s="64" t="s">
        <v>18</v>
      </c>
      <c r="AC829" s="64" t="s">
        <v>52</v>
      </c>
      <c r="AD829" s="64" t="s">
        <v>51</v>
      </c>
      <c r="AE829" s="64" t="s">
        <v>53</v>
      </c>
      <c r="AF829" s="64" t="s">
        <v>54</v>
      </c>
      <c r="AG829" s="64" t="s">
        <v>20</v>
      </c>
      <c r="AH829" s="64" t="s">
        <v>19</v>
      </c>
      <c r="AI829" s="64" t="s">
        <v>55</v>
      </c>
      <c r="AJ829" s="64" t="s">
        <v>56</v>
      </c>
      <c r="AK829" s="64" t="s">
        <v>52</v>
      </c>
      <c r="AL829" s="64" t="s">
        <v>51</v>
      </c>
      <c r="AM829" s="64" t="s">
        <v>57</v>
      </c>
      <c r="AN829" s="64" t="s">
        <v>58</v>
      </c>
      <c r="AO829" s="64" t="s">
        <v>53</v>
      </c>
      <c r="AP829" s="64" t="s">
        <v>54</v>
      </c>
      <c r="AQ829" s="46"/>
      <c r="AR829" s="46"/>
      <c r="AS829" s="46"/>
      <c r="AT829" s="46"/>
      <c r="AU829" s="46"/>
      <c r="AV829" s="46"/>
      <c r="AW829" s="46"/>
      <c r="AX829" s="46"/>
    </row>
    <row r="830" spans="2:52" ht="16.5" customHeight="1" thickBot="1" x14ac:dyDescent="0.3">
      <c r="B830" s="1" t="s">
        <v>0</v>
      </c>
      <c r="C830" s="10"/>
      <c r="D830">
        <f>C830</f>
        <v>0</v>
      </c>
      <c r="F830" s="12" t="s">
        <v>0</v>
      </c>
      <c r="G830" s="86"/>
      <c r="H830" s="66"/>
      <c r="I830" s="66"/>
      <c r="J830" s="67"/>
      <c r="K830" s="65"/>
      <c r="L830" s="66"/>
      <c r="M830" s="66"/>
      <c r="N830" s="66"/>
      <c r="O830" s="65"/>
      <c r="P830" s="67"/>
      <c r="Q830" s="65"/>
      <c r="R830" s="66"/>
      <c r="S830" s="66"/>
      <c r="T830" s="66"/>
      <c r="U830" s="66"/>
      <c r="V830" s="66"/>
      <c r="W830" s="66"/>
      <c r="X830" s="67"/>
      <c r="Y830" s="86"/>
      <c r="Z830" s="66"/>
      <c r="AA830" s="66"/>
      <c r="AB830" s="66"/>
      <c r="AC830" s="65"/>
      <c r="AD830" s="66"/>
      <c r="AE830" s="66"/>
      <c r="AF830" s="67"/>
      <c r="AG830" s="66"/>
      <c r="AH830" s="67"/>
      <c r="AI830" s="66"/>
      <c r="AJ830" s="66"/>
      <c r="AK830" s="66"/>
      <c r="AL830" s="66"/>
      <c r="AM830" s="66"/>
      <c r="AN830" s="66"/>
      <c r="AO830" s="66"/>
      <c r="AP830" s="66"/>
      <c r="AQ830" s="65"/>
      <c r="AR830" s="65"/>
      <c r="AS830" s="65"/>
      <c r="AT830" s="65"/>
      <c r="AU830" s="65"/>
      <c r="AV830" s="65"/>
      <c r="AW830" s="65"/>
      <c r="AX830" s="68"/>
      <c r="AY830" s="17"/>
      <c r="AZ830" s="17"/>
    </row>
    <row r="831" spans="2:52" ht="16.5" customHeight="1" thickBot="1" x14ac:dyDescent="0.3">
      <c r="B831" s="1" t="s">
        <v>1</v>
      </c>
      <c r="C831" s="10"/>
      <c r="D831">
        <f t="shared" ref="D831:D833" si="91">C831</f>
        <v>0</v>
      </c>
      <c r="F831" s="1" t="s">
        <v>1</v>
      </c>
      <c r="G831" s="87"/>
      <c r="H831" s="46"/>
      <c r="I831" s="46"/>
      <c r="J831" s="70"/>
      <c r="K831" s="69"/>
      <c r="L831" s="46"/>
      <c r="M831" s="46"/>
      <c r="N831" s="46"/>
      <c r="O831" s="69"/>
      <c r="P831" s="70"/>
      <c r="Q831" s="69"/>
      <c r="R831" s="46"/>
      <c r="S831" s="46"/>
      <c r="T831" s="46"/>
      <c r="U831" s="46"/>
      <c r="V831" s="46"/>
      <c r="W831" s="46"/>
      <c r="X831" s="70"/>
      <c r="Y831" s="87"/>
      <c r="Z831" s="46"/>
      <c r="AA831" s="46"/>
      <c r="AB831" s="46"/>
      <c r="AC831" s="69"/>
      <c r="AD831" s="46"/>
      <c r="AE831" s="46"/>
      <c r="AF831" s="70"/>
      <c r="AG831" s="46"/>
      <c r="AH831" s="70"/>
      <c r="AI831" s="46"/>
      <c r="AJ831" s="46"/>
      <c r="AK831" s="46"/>
      <c r="AL831" s="46"/>
      <c r="AM831" s="46"/>
      <c r="AN831" s="46"/>
      <c r="AO831" s="46"/>
      <c r="AP831" s="46"/>
      <c r="AQ831" s="69"/>
      <c r="AR831" s="69"/>
      <c r="AS831" s="69"/>
      <c r="AT831" s="69"/>
      <c r="AU831" s="69"/>
      <c r="AV831" s="69"/>
      <c r="AW831" s="69"/>
      <c r="AX831" s="71"/>
      <c r="AY831" s="18"/>
      <c r="AZ831" s="18"/>
    </row>
    <row r="832" spans="2:52" ht="16.5" customHeight="1" thickBot="1" x14ac:dyDescent="0.3">
      <c r="B832" s="1" t="s">
        <v>2</v>
      </c>
      <c r="C832" s="10"/>
      <c r="D832">
        <f>C832</f>
        <v>0</v>
      </c>
      <c r="F832" s="1" t="s">
        <v>2</v>
      </c>
      <c r="G832" s="87"/>
      <c r="H832" s="46"/>
      <c r="I832" s="46"/>
      <c r="J832" s="70"/>
      <c r="K832" s="69"/>
      <c r="L832" s="46"/>
      <c r="M832" s="46"/>
      <c r="N832" s="46"/>
      <c r="O832" s="69"/>
      <c r="P832" s="70"/>
      <c r="Q832" s="69"/>
      <c r="R832" s="46"/>
      <c r="S832" s="46"/>
      <c r="T832" s="46"/>
      <c r="U832" s="46"/>
      <c r="V832" s="46"/>
      <c r="W832" s="46"/>
      <c r="X832" s="70"/>
      <c r="Y832" s="87"/>
      <c r="Z832" s="46"/>
      <c r="AA832" s="46"/>
      <c r="AB832" s="46"/>
      <c r="AC832" s="69"/>
      <c r="AD832" s="46"/>
      <c r="AE832" s="46"/>
      <c r="AF832" s="70"/>
      <c r="AG832" s="46"/>
      <c r="AH832" s="70"/>
      <c r="AI832" s="46"/>
      <c r="AJ832" s="46"/>
      <c r="AK832" s="46"/>
      <c r="AL832" s="46"/>
      <c r="AM832" s="46"/>
      <c r="AN832" s="46"/>
      <c r="AO832" s="46"/>
      <c r="AP832" s="46"/>
      <c r="AQ832" s="69"/>
      <c r="AR832" s="69"/>
      <c r="AS832" s="69"/>
      <c r="AT832" s="69"/>
      <c r="AU832" s="69"/>
      <c r="AV832" s="69"/>
      <c r="AW832" s="69"/>
      <c r="AX832" s="71"/>
      <c r="AY832" s="18"/>
      <c r="AZ832" s="18"/>
    </row>
    <row r="833" spans="2:54" ht="16.5" customHeight="1" thickBot="1" x14ac:dyDescent="0.3">
      <c r="B833" s="1" t="s">
        <v>3</v>
      </c>
      <c r="C833" s="10"/>
      <c r="D833" s="7">
        <f t="shared" si="91"/>
        <v>0</v>
      </c>
      <c r="F833" s="1" t="s">
        <v>3</v>
      </c>
      <c r="G833" s="88"/>
      <c r="H833" s="73"/>
      <c r="I833" s="73"/>
      <c r="J833" s="74"/>
      <c r="K833" s="72"/>
      <c r="L833" s="73"/>
      <c r="M833" s="73"/>
      <c r="N833" s="73"/>
      <c r="O833" s="72"/>
      <c r="P833" s="74"/>
      <c r="Q833" s="72"/>
      <c r="R833" s="73"/>
      <c r="S833" s="73"/>
      <c r="T833" s="73"/>
      <c r="U833" s="73"/>
      <c r="V833" s="73"/>
      <c r="W833" s="73"/>
      <c r="X833" s="74"/>
      <c r="Y833" s="88"/>
      <c r="Z833" s="73"/>
      <c r="AA833" s="73"/>
      <c r="AB833" s="73"/>
      <c r="AC833" s="72"/>
      <c r="AD833" s="73"/>
      <c r="AE833" s="73"/>
      <c r="AF833" s="74"/>
      <c r="AG833" s="73"/>
      <c r="AH833" s="74"/>
      <c r="AI833" s="73"/>
      <c r="AJ833" s="73"/>
      <c r="AK833" s="73"/>
      <c r="AL833" s="73"/>
      <c r="AM833" s="73"/>
      <c r="AN833" s="73"/>
      <c r="AO833" s="73"/>
      <c r="AP833" s="73"/>
      <c r="AQ833" s="72"/>
      <c r="AR833" s="72"/>
      <c r="AS833" s="72"/>
      <c r="AT833" s="72"/>
      <c r="AU833" s="72"/>
      <c r="AV833" s="72"/>
      <c r="AW833" s="72"/>
      <c r="AX833" s="75"/>
      <c r="AY833" s="19"/>
      <c r="AZ833" s="19"/>
    </row>
    <row r="834" spans="2:54" ht="21" customHeight="1" x14ac:dyDescent="0.25">
      <c r="B834" s="2"/>
      <c r="C834" s="3" t="s">
        <v>25</v>
      </c>
      <c r="D834" s="9">
        <f>SUM(D830:D833)</f>
        <v>0</v>
      </c>
      <c r="G834" s="85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85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</row>
    <row r="835" spans="2:54" x14ac:dyDescent="0.25"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</row>
    <row r="836" spans="2:54" ht="15.75" x14ac:dyDescent="0.25">
      <c r="G836" s="100" t="s">
        <v>22</v>
      </c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1" t="s">
        <v>21</v>
      </c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46"/>
      <c r="AR836" s="46"/>
      <c r="AS836" s="46"/>
      <c r="AT836" s="46"/>
      <c r="AU836" s="46"/>
      <c r="AV836" s="46"/>
      <c r="AW836" s="46"/>
      <c r="AX836" s="46"/>
    </row>
    <row r="837" spans="2:54" ht="32.25" thickBot="1" x14ac:dyDescent="0.3">
      <c r="G837" s="102" t="s">
        <v>14</v>
      </c>
      <c r="H837" s="102"/>
      <c r="I837" s="102"/>
      <c r="J837" s="102"/>
      <c r="K837" s="102" t="s">
        <v>15</v>
      </c>
      <c r="L837" s="102"/>
      <c r="M837" s="102"/>
      <c r="N837" s="102"/>
      <c r="O837" s="102" t="s">
        <v>59</v>
      </c>
      <c r="P837" s="102"/>
      <c r="Q837" s="102" t="s">
        <v>16</v>
      </c>
      <c r="R837" s="102"/>
      <c r="S837" s="102"/>
      <c r="T837" s="102"/>
      <c r="U837" s="102"/>
      <c r="V837" s="102"/>
      <c r="W837" s="102"/>
      <c r="X837" s="102"/>
      <c r="Y837" s="102" t="s">
        <v>14</v>
      </c>
      <c r="Z837" s="102"/>
      <c r="AA837" s="102"/>
      <c r="AB837" s="102"/>
      <c r="AC837" s="102" t="s">
        <v>15</v>
      </c>
      <c r="AD837" s="102"/>
      <c r="AE837" s="102"/>
      <c r="AF837" s="102"/>
      <c r="AG837" s="102" t="s">
        <v>59</v>
      </c>
      <c r="AH837" s="102"/>
      <c r="AI837" s="102" t="s">
        <v>16</v>
      </c>
      <c r="AJ837" s="102"/>
      <c r="AK837" s="102"/>
      <c r="AL837" s="102"/>
      <c r="AM837" s="102"/>
      <c r="AN837" s="102"/>
      <c r="AO837" s="102"/>
      <c r="AP837" s="102"/>
      <c r="AQ837" s="76" t="s">
        <v>60</v>
      </c>
      <c r="AR837" s="76" t="s">
        <v>70</v>
      </c>
      <c r="AS837" s="76" t="s">
        <v>65</v>
      </c>
      <c r="AT837" s="76" t="s">
        <v>61</v>
      </c>
      <c r="AU837" s="76" t="s">
        <v>62</v>
      </c>
      <c r="AV837" s="76" t="s">
        <v>27</v>
      </c>
      <c r="AW837" s="76" t="s">
        <v>64</v>
      </c>
      <c r="AX837" s="76" t="s">
        <v>63</v>
      </c>
      <c r="AY837" s="76" t="s">
        <v>66</v>
      </c>
      <c r="AZ837" s="76" t="s">
        <v>67</v>
      </c>
    </row>
    <row r="838" spans="2:54" ht="48" thickBot="1" x14ac:dyDescent="0.3">
      <c r="B838" s="21">
        <v>0.95833333333333703</v>
      </c>
      <c r="C838" s="14" t="s">
        <v>13</v>
      </c>
      <c r="D838" s="8" t="s">
        <v>6</v>
      </c>
      <c r="F838" s="13"/>
      <c r="G838" s="81" t="s">
        <v>20</v>
      </c>
      <c r="H838" s="64" t="s">
        <v>17</v>
      </c>
      <c r="I838" s="64" t="s">
        <v>19</v>
      </c>
      <c r="J838" s="64" t="s">
        <v>18</v>
      </c>
      <c r="K838" s="64" t="s">
        <v>52</v>
      </c>
      <c r="L838" s="64" t="s">
        <v>51</v>
      </c>
      <c r="M838" s="64" t="s">
        <v>53</v>
      </c>
      <c r="N838" s="64" t="s">
        <v>54</v>
      </c>
      <c r="O838" s="64" t="s">
        <v>20</v>
      </c>
      <c r="P838" s="64" t="s">
        <v>19</v>
      </c>
      <c r="Q838" s="64" t="s">
        <v>55</v>
      </c>
      <c r="R838" s="64" t="s">
        <v>56</v>
      </c>
      <c r="S838" s="64" t="s">
        <v>52</v>
      </c>
      <c r="T838" s="64" t="s">
        <v>51</v>
      </c>
      <c r="U838" s="64" t="s">
        <v>57</v>
      </c>
      <c r="V838" s="64" t="s">
        <v>58</v>
      </c>
      <c r="W838" s="64" t="s">
        <v>53</v>
      </c>
      <c r="X838" s="64" t="s">
        <v>54</v>
      </c>
      <c r="Y838" s="81" t="s">
        <v>20</v>
      </c>
      <c r="Z838" s="64" t="s">
        <v>17</v>
      </c>
      <c r="AA838" s="64" t="s">
        <v>19</v>
      </c>
      <c r="AB838" s="64" t="s">
        <v>18</v>
      </c>
      <c r="AC838" s="64" t="s">
        <v>52</v>
      </c>
      <c r="AD838" s="64" t="s">
        <v>51</v>
      </c>
      <c r="AE838" s="64" t="s">
        <v>53</v>
      </c>
      <c r="AF838" s="64" t="s">
        <v>54</v>
      </c>
      <c r="AG838" s="64" t="s">
        <v>20</v>
      </c>
      <c r="AH838" s="64" t="s">
        <v>19</v>
      </c>
      <c r="AI838" s="64" t="s">
        <v>55</v>
      </c>
      <c r="AJ838" s="64" t="s">
        <v>56</v>
      </c>
      <c r="AK838" s="64" t="s">
        <v>52</v>
      </c>
      <c r="AL838" s="64" t="s">
        <v>51</v>
      </c>
      <c r="AM838" s="64" t="s">
        <v>57</v>
      </c>
      <c r="AN838" s="64" t="s">
        <v>58</v>
      </c>
      <c r="AO838" s="64" t="s">
        <v>53</v>
      </c>
      <c r="AP838" s="64" t="s">
        <v>54</v>
      </c>
      <c r="AQ838" s="46"/>
      <c r="AR838" s="46"/>
      <c r="AS838" s="46"/>
      <c r="AT838" s="46"/>
      <c r="AU838" s="46"/>
      <c r="AV838" s="46"/>
      <c r="AW838" s="46"/>
      <c r="AX838" s="46"/>
    </row>
    <row r="839" spans="2:54" ht="16.5" customHeight="1" thickBot="1" x14ac:dyDescent="0.3">
      <c r="B839" s="1" t="s">
        <v>0</v>
      </c>
      <c r="C839" s="10">
        <v>1</v>
      </c>
      <c r="D839">
        <f>C839</f>
        <v>1</v>
      </c>
      <c r="F839" s="12" t="s">
        <v>0</v>
      </c>
      <c r="G839" s="86"/>
      <c r="H839" s="66"/>
      <c r="I839" s="66"/>
      <c r="J839" s="67"/>
      <c r="K839" s="65"/>
      <c r="L839" s="66"/>
      <c r="M839" s="66"/>
      <c r="N839" s="66"/>
      <c r="O839" s="65"/>
      <c r="P839" s="67">
        <v>1</v>
      </c>
      <c r="Q839" s="65"/>
      <c r="R839" s="66"/>
      <c r="S839" s="66"/>
      <c r="T839" s="66"/>
      <c r="U839" s="66"/>
      <c r="V839" s="66"/>
      <c r="W839" s="66"/>
      <c r="X839" s="67"/>
      <c r="Y839" s="86"/>
      <c r="Z839" s="66"/>
      <c r="AA839" s="66"/>
      <c r="AB839" s="66"/>
      <c r="AC839" s="65"/>
      <c r="AD839" s="66"/>
      <c r="AE839" s="66"/>
      <c r="AF839" s="67"/>
      <c r="AG839" s="66">
        <v>1</v>
      </c>
      <c r="AH839" s="67"/>
      <c r="AI839" s="66"/>
      <c r="AJ839" s="66"/>
      <c r="AK839" s="66"/>
      <c r="AL839" s="66"/>
      <c r="AM839" s="66"/>
      <c r="AN839" s="66"/>
      <c r="AO839" s="66"/>
      <c r="AP839" s="66"/>
      <c r="AQ839" s="65"/>
      <c r="AR839" s="65"/>
      <c r="AS839" s="65"/>
      <c r="AT839" s="65"/>
      <c r="AU839" s="65"/>
      <c r="AV839" s="65"/>
      <c r="AW839" s="65"/>
      <c r="AX839" s="68"/>
      <c r="AY839" s="17"/>
      <c r="AZ839" s="17"/>
    </row>
    <row r="840" spans="2:54" ht="16.5" customHeight="1" thickBot="1" x14ac:dyDescent="0.3">
      <c r="B840" s="1" t="s">
        <v>1</v>
      </c>
      <c r="C840" s="10"/>
      <c r="D840">
        <f t="shared" ref="D840:D842" si="92">C840</f>
        <v>0</v>
      </c>
      <c r="F840" s="1" t="s">
        <v>1</v>
      </c>
      <c r="G840" s="87"/>
      <c r="H840" s="46"/>
      <c r="I840" s="46"/>
      <c r="J840" s="70"/>
      <c r="K840" s="69"/>
      <c r="L840" s="46"/>
      <c r="M840" s="46"/>
      <c r="N840" s="46"/>
      <c r="O840" s="69"/>
      <c r="P840" s="70"/>
      <c r="Q840" s="69"/>
      <c r="R840" s="46"/>
      <c r="S840" s="46"/>
      <c r="T840" s="46"/>
      <c r="U840" s="46"/>
      <c r="V840" s="46"/>
      <c r="W840" s="46"/>
      <c r="X840" s="70"/>
      <c r="Y840" s="87"/>
      <c r="Z840" s="46"/>
      <c r="AA840" s="46"/>
      <c r="AB840" s="46"/>
      <c r="AC840" s="69"/>
      <c r="AD840" s="46"/>
      <c r="AE840" s="46"/>
      <c r="AF840" s="70"/>
      <c r="AG840" s="46"/>
      <c r="AH840" s="70"/>
      <c r="AI840" s="46"/>
      <c r="AJ840" s="46"/>
      <c r="AK840" s="46"/>
      <c r="AL840" s="46"/>
      <c r="AM840" s="46"/>
      <c r="AN840" s="46"/>
      <c r="AO840" s="46"/>
      <c r="AP840" s="46"/>
      <c r="AQ840" s="69"/>
      <c r="AR840" s="69"/>
      <c r="AS840" s="69"/>
      <c r="AT840" s="69"/>
      <c r="AU840" s="69"/>
      <c r="AV840" s="69"/>
      <c r="AW840" s="69"/>
      <c r="AX840" s="71"/>
      <c r="AY840" s="18"/>
      <c r="AZ840" s="18"/>
    </row>
    <row r="841" spans="2:54" ht="16.5" customHeight="1" thickBot="1" x14ac:dyDescent="0.3">
      <c r="B841" s="1" t="s">
        <v>2</v>
      </c>
      <c r="C841" s="10"/>
      <c r="D841">
        <f>C841</f>
        <v>0</v>
      </c>
      <c r="F841" s="1" t="s">
        <v>2</v>
      </c>
      <c r="G841" s="87"/>
      <c r="H841" s="46"/>
      <c r="I841" s="46"/>
      <c r="J841" s="70"/>
      <c r="K841" s="69"/>
      <c r="L841" s="46"/>
      <c r="M841" s="46"/>
      <c r="N841" s="46"/>
      <c r="O841" s="69"/>
      <c r="P841" s="70"/>
      <c r="Q841" s="69"/>
      <c r="R841" s="46"/>
      <c r="S841" s="46"/>
      <c r="T841" s="46"/>
      <c r="U841" s="46"/>
      <c r="V841" s="46"/>
      <c r="W841" s="46"/>
      <c r="X841" s="70"/>
      <c r="Y841" s="87"/>
      <c r="Z841" s="46"/>
      <c r="AA841" s="46"/>
      <c r="AB841" s="46"/>
      <c r="AC841" s="69"/>
      <c r="AD841" s="46"/>
      <c r="AE841" s="46"/>
      <c r="AF841" s="70"/>
      <c r="AG841" s="46"/>
      <c r="AH841" s="70"/>
      <c r="AI841" s="46"/>
      <c r="AJ841" s="46"/>
      <c r="AK841" s="46"/>
      <c r="AL841" s="46"/>
      <c r="AM841" s="46"/>
      <c r="AN841" s="46"/>
      <c r="AO841" s="46"/>
      <c r="AP841" s="46"/>
      <c r="AQ841" s="69"/>
      <c r="AR841" s="69"/>
      <c r="AS841" s="69"/>
      <c r="AT841" s="69"/>
      <c r="AU841" s="69"/>
      <c r="AV841" s="69"/>
      <c r="AW841" s="69"/>
      <c r="AX841" s="71"/>
      <c r="AY841" s="18"/>
      <c r="AZ841" s="18"/>
    </row>
    <row r="842" spans="2:54" ht="16.5" customHeight="1" thickBot="1" x14ac:dyDescent="0.3">
      <c r="B842" s="1" t="s">
        <v>3</v>
      </c>
      <c r="C842" s="10"/>
      <c r="D842" s="7">
        <f t="shared" si="92"/>
        <v>0</v>
      </c>
      <c r="F842" s="1" t="s">
        <v>3</v>
      </c>
      <c r="G842" s="88"/>
      <c r="H842" s="73"/>
      <c r="I842" s="73"/>
      <c r="J842" s="74"/>
      <c r="K842" s="72"/>
      <c r="L842" s="73"/>
      <c r="M842" s="73"/>
      <c r="N842" s="73"/>
      <c r="O842" s="72"/>
      <c r="P842" s="74"/>
      <c r="Q842" s="72"/>
      <c r="R842" s="73"/>
      <c r="S842" s="73"/>
      <c r="T842" s="73"/>
      <c r="U842" s="73"/>
      <c r="V842" s="73"/>
      <c r="W842" s="73"/>
      <c r="X842" s="74"/>
      <c r="Y842" s="88"/>
      <c r="Z842" s="73"/>
      <c r="AA842" s="73"/>
      <c r="AB842" s="73"/>
      <c r="AC842" s="72"/>
      <c r="AD842" s="73"/>
      <c r="AE842" s="73"/>
      <c r="AF842" s="74"/>
      <c r="AG842" s="73"/>
      <c r="AH842" s="74"/>
      <c r="AI842" s="73"/>
      <c r="AJ842" s="73"/>
      <c r="AK842" s="73"/>
      <c r="AL842" s="73"/>
      <c r="AM842" s="73"/>
      <c r="AN842" s="73"/>
      <c r="AO842" s="73"/>
      <c r="AP842" s="73"/>
      <c r="AQ842" s="72"/>
      <c r="AR842" s="72"/>
      <c r="AS842" s="72"/>
      <c r="AT842" s="72"/>
      <c r="AU842" s="72"/>
      <c r="AV842" s="72"/>
      <c r="AW842" s="72"/>
      <c r="AX842" s="75"/>
      <c r="AY842" s="19"/>
      <c r="AZ842" s="19"/>
    </row>
    <row r="843" spans="2:54" ht="21" customHeight="1" x14ac:dyDescent="0.25">
      <c r="B843" s="2"/>
      <c r="C843" s="3" t="s">
        <v>25</v>
      </c>
      <c r="D843" s="9">
        <f>SUM(D839:D842)</f>
        <v>1</v>
      </c>
      <c r="G843" s="85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85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</row>
    <row r="844" spans="2:54" x14ac:dyDescent="0.25"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</row>
    <row r="845" spans="2:54" ht="15.75" x14ac:dyDescent="0.25">
      <c r="G845" s="100" t="s">
        <v>22</v>
      </c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1" t="s">
        <v>21</v>
      </c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46"/>
      <c r="AR845" s="46"/>
      <c r="AS845" s="46"/>
      <c r="AT845" s="46"/>
      <c r="AU845" s="46"/>
      <c r="AV845" s="46"/>
      <c r="AW845" s="46"/>
      <c r="AX845" s="46"/>
    </row>
    <row r="846" spans="2:54" ht="32.25" thickBot="1" x14ac:dyDescent="0.3">
      <c r="G846" s="102" t="s">
        <v>14</v>
      </c>
      <c r="H846" s="102"/>
      <c r="I846" s="102"/>
      <c r="J846" s="102"/>
      <c r="K846" s="102" t="s">
        <v>15</v>
      </c>
      <c r="L846" s="102"/>
      <c r="M846" s="102"/>
      <c r="N846" s="102"/>
      <c r="O846" s="102" t="s">
        <v>59</v>
      </c>
      <c r="P846" s="102"/>
      <c r="Q846" s="102" t="s">
        <v>16</v>
      </c>
      <c r="R846" s="102"/>
      <c r="S846" s="102"/>
      <c r="T846" s="102"/>
      <c r="U846" s="102"/>
      <c r="V846" s="102"/>
      <c r="W846" s="102"/>
      <c r="X846" s="102"/>
      <c r="Y846" s="102" t="s">
        <v>14</v>
      </c>
      <c r="Z846" s="102"/>
      <c r="AA846" s="102"/>
      <c r="AB846" s="102"/>
      <c r="AC846" s="102" t="s">
        <v>15</v>
      </c>
      <c r="AD846" s="102"/>
      <c r="AE846" s="102"/>
      <c r="AF846" s="102"/>
      <c r="AG846" s="102" t="s">
        <v>59</v>
      </c>
      <c r="AH846" s="102"/>
      <c r="AI846" s="102" t="s">
        <v>16</v>
      </c>
      <c r="AJ846" s="102"/>
      <c r="AK846" s="102"/>
      <c r="AL846" s="102"/>
      <c r="AM846" s="102"/>
      <c r="AN846" s="102"/>
      <c r="AO846" s="102"/>
      <c r="AP846" s="102"/>
      <c r="AQ846" s="76" t="s">
        <v>60</v>
      </c>
      <c r="AR846" s="76" t="s">
        <v>70</v>
      </c>
      <c r="AS846" s="76" t="s">
        <v>65</v>
      </c>
      <c r="AT846" s="76" t="s">
        <v>61</v>
      </c>
      <c r="AU846" s="76" t="s">
        <v>62</v>
      </c>
      <c r="AV846" s="76" t="s">
        <v>27</v>
      </c>
      <c r="AW846" s="76" t="s">
        <v>64</v>
      </c>
      <c r="AX846" s="76" t="s">
        <v>63</v>
      </c>
      <c r="AY846" s="76" t="s">
        <v>66</v>
      </c>
      <c r="AZ846" s="76" t="s">
        <v>67</v>
      </c>
    </row>
    <row r="847" spans="2:54" ht="48" thickBot="1" x14ac:dyDescent="0.3">
      <c r="B847" s="21">
        <v>0.968750000000003</v>
      </c>
      <c r="C847" s="14" t="s">
        <v>13</v>
      </c>
      <c r="D847" s="8" t="s">
        <v>6</v>
      </c>
      <c r="F847" s="13"/>
      <c r="G847" s="81" t="s">
        <v>20</v>
      </c>
      <c r="H847" s="64" t="s">
        <v>17</v>
      </c>
      <c r="I847" s="64" t="s">
        <v>19</v>
      </c>
      <c r="J847" s="64" t="s">
        <v>18</v>
      </c>
      <c r="K847" s="64" t="s">
        <v>52</v>
      </c>
      <c r="L847" s="64" t="s">
        <v>51</v>
      </c>
      <c r="M847" s="64" t="s">
        <v>53</v>
      </c>
      <c r="N847" s="64" t="s">
        <v>54</v>
      </c>
      <c r="O847" s="64" t="s">
        <v>20</v>
      </c>
      <c r="P847" s="64" t="s">
        <v>19</v>
      </c>
      <c r="Q847" s="64" t="s">
        <v>55</v>
      </c>
      <c r="R847" s="64" t="s">
        <v>56</v>
      </c>
      <c r="S847" s="64" t="s">
        <v>52</v>
      </c>
      <c r="T847" s="64" t="s">
        <v>51</v>
      </c>
      <c r="U847" s="64" t="s">
        <v>57</v>
      </c>
      <c r="V847" s="64" t="s">
        <v>58</v>
      </c>
      <c r="W847" s="64" t="s">
        <v>53</v>
      </c>
      <c r="X847" s="64" t="s">
        <v>54</v>
      </c>
      <c r="Y847" s="81" t="s">
        <v>20</v>
      </c>
      <c r="Z847" s="64" t="s">
        <v>17</v>
      </c>
      <c r="AA847" s="64" t="s">
        <v>19</v>
      </c>
      <c r="AB847" s="64" t="s">
        <v>18</v>
      </c>
      <c r="AC847" s="64" t="s">
        <v>52</v>
      </c>
      <c r="AD847" s="64" t="s">
        <v>51</v>
      </c>
      <c r="AE847" s="64" t="s">
        <v>53</v>
      </c>
      <c r="AF847" s="64" t="s">
        <v>54</v>
      </c>
      <c r="AG847" s="64" t="s">
        <v>20</v>
      </c>
      <c r="AH847" s="64" t="s">
        <v>19</v>
      </c>
      <c r="AI847" s="64" t="s">
        <v>55</v>
      </c>
      <c r="AJ847" s="64" t="s">
        <v>56</v>
      </c>
      <c r="AK847" s="64" t="s">
        <v>52</v>
      </c>
      <c r="AL847" s="64" t="s">
        <v>51</v>
      </c>
      <c r="AM847" s="64" t="s">
        <v>57</v>
      </c>
      <c r="AN847" s="64" t="s">
        <v>58</v>
      </c>
      <c r="AO847" s="64" t="s">
        <v>53</v>
      </c>
      <c r="AP847" s="64" t="s">
        <v>54</v>
      </c>
      <c r="AQ847" s="46"/>
      <c r="AR847" s="46"/>
      <c r="AS847" s="46"/>
      <c r="AT847" s="46"/>
      <c r="AU847" s="46"/>
      <c r="AV847" s="46"/>
      <c r="AW847" s="46"/>
      <c r="AX847" s="46"/>
    </row>
    <row r="848" spans="2:54" ht="16.5" customHeight="1" thickBot="1" x14ac:dyDescent="0.3">
      <c r="B848" s="1" t="s">
        <v>0</v>
      </c>
      <c r="C848" s="10"/>
      <c r="D848">
        <f>C848</f>
        <v>0</v>
      </c>
      <c r="F848" s="12" t="s">
        <v>0</v>
      </c>
      <c r="G848" s="86"/>
      <c r="H848" s="66"/>
      <c r="I848" s="66"/>
      <c r="J848" s="67"/>
      <c r="K848" s="65"/>
      <c r="L848" s="66"/>
      <c r="M848" s="66"/>
      <c r="N848" s="66"/>
      <c r="O848" s="65"/>
      <c r="P848" s="67"/>
      <c r="Q848" s="65"/>
      <c r="R848" s="66"/>
      <c r="S848" s="66"/>
      <c r="T848" s="66"/>
      <c r="U848" s="66"/>
      <c r="V848" s="66"/>
      <c r="W848" s="66"/>
      <c r="X848" s="67"/>
      <c r="Y848" s="86"/>
      <c r="Z848" s="66"/>
      <c r="AA848" s="66"/>
      <c r="AB848" s="66"/>
      <c r="AC848" s="65"/>
      <c r="AD848" s="66"/>
      <c r="AE848" s="66"/>
      <c r="AF848" s="67"/>
      <c r="AG848" s="66"/>
      <c r="AH848" s="67"/>
      <c r="AI848" s="66"/>
      <c r="AJ848" s="66"/>
      <c r="AK848" s="66"/>
      <c r="AL848" s="66"/>
      <c r="AM848" s="66"/>
      <c r="AN848" s="66"/>
      <c r="AO848" s="66"/>
      <c r="AP848" s="66"/>
      <c r="AQ848" s="65"/>
      <c r="AR848" s="65"/>
      <c r="AS848" s="65">
        <v>1</v>
      </c>
      <c r="AT848" s="65"/>
      <c r="AU848" s="65"/>
      <c r="AV848" s="65"/>
      <c r="AW848" s="65"/>
      <c r="AX848" s="68"/>
      <c r="AY848" s="17"/>
      <c r="AZ848" s="17"/>
      <c r="BB848" t="s">
        <v>94</v>
      </c>
    </row>
    <row r="849" spans="2:52" ht="16.5" customHeight="1" thickBot="1" x14ac:dyDescent="0.3">
      <c r="B849" s="1" t="s">
        <v>1</v>
      </c>
      <c r="C849" s="10"/>
      <c r="D849">
        <f t="shared" ref="D849:D851" si="93">C849</f>
        <v>0</v>
      </c>
      <c r="F849" s="1" t="s">
        <v>1</v>
      </c>
      <c r="G849" s="87"/>
      <c r="H849" s="46"/>
      <c r="I849" s="46"/>
      <c r="J849" s="70"/>
      <c r="K849" s="69"/>
      <c r="L849" s="46"/>
      <c r="M849" s="46"/>
      <c r="N849" s="46"/>
      <c r="O849" s="69"/>
      <c r="P849" s="70"/>
      <c r="Q849" s="69"/>
      <c r="R849" s="46"/>
      <c r="S849" s="46"/>
      <c r="T849" s="46"/>
      <c r="U849" s="46"/>
      <c r="V849" s="46"/>
      <c r="W849" s="46"/>
      <c r="X849" s="70"/>
      <c r="Y849" s="87"/>
      <c r="Z849" s="46"/>
      <c r="AA849" s="46"/>
      <c r="AB849" s="46"/>
      <c r="AC849" s="69"/>
      <c r="AD849" s="46"/>
      <c r="AE849" s="46"/>
      <c r="AF849" s="70"/>
      <c r="AG849" s="46"/>
      <c r="AH849" s="70"/>
      <c r="AI849" s="46"/>
      <c r="AJ849" s="46"/>
      <c r="AK849" s="46"/>
      <c r="AL849" s="46"/>
      <c r="AM849" s="46"/>
      <c r="AN849" s="46"/>
      <c r="AO849" s="46"/>
      <c r="AP849" s="46"/>
      <c r="AQ849" s="69"/>
      <c r="AR849" s="69"/>
      <c r="AS849" s="69"/>
      <c r="AT849" s="69"/>
      <c r="AU849" s="69"/>
      <c r="AV849" s="69"/>
      <c r="AW849" s="69"/>
      <c r="AX849" s="71"/>
      <c r="AY849" s="18"/>
      <c r="AZ849" s="18"/>
    </row>
    <row r="850" spans="2:52" ht="16.5" customHeight="1" thickBot="1" x14ac:dyDescent="0.3">
      <c r="B850" s="1" t="s">
        <v>2</v>
      </c>
      <c r="C850" s="10"/>
      <c r="D850">
        <f>C850</f>
        <v>0</v>
      </c>
      <c r="F850" s="1" t="s">
        <v>2</v>
      </c>
      <c r="G850" s="87"/>
      <c r="H850" s="46"/>
      <c r="I850" s="46"/>
      <c r="J850" s="70"/>
      <c r="K850" s="69"/>
      <c r="L850" s="46"/>
      <c r="M850" s="46"/>
      <c r="N850" s="46"/>
      <c r="O850" s="69"/>
      <c r="P850" s="70"/>
      <c r="Q850" s="69"/>
      <c r="R850" s="46"/>
      <c r="S850" s="46"/>
      <c r="T850" s="46"/>
      <c r="U850" s="46"/>
      <c r="V850" s="46"/>
      <c r="W850" s="46"/>
      <c r="X850" s="70"/>
      <c r="Y850" s="87"/>
      <c r="Z850" s="46"/>
      <c r="AA850" s="46"/>
      <c r="AB850" s="46"/>
      <c r="AC850" s="69"/>
      <c r="AD850" s="46"/>
      <c r="AE850" s="46"/>
      <c r="AF850" s="70"/>
      <c r="AG850" s="46"/>
      <c r="AH850" s="70"/>
      <c r="AI850" s="46"/>
      <c r="AJ850" s="46"/>
      <c r="AK850" s="46"/>
      <c r="AL850" s="46"/>
      <c r="AM850" s="46"/>
      <c r="AN850" s="46"/>
      <c r="AO850" s="46"/>
      <c r="AP850" s="46"/>
      <c r="AQ850" s="69"/>
      <c r="AR850" s="69"/>
      <c r="AS850" s="69"/>
      <c r="AT850" s="69"/>
      <c r="AU850" s="69"/>
      <c r="AV850" s="69"/>
      <c r="AW850" s="69"/>
      <c r="AX850" s="71"/>
      <c r="AY850" s="18"/>
      <c r="AZ850" s="18"/>
    </row>
    <row r="851" spans="2:52" ht="16.5" customHeight="1" thickBot="1" x14ac:dyDescent="0.3">
      <c r="B851" s="1" t="s">
        <v>3</v>
      </c>
      <c r="C851" s="10"/>
      <c r="D851" s="7">
        <f t="shared" si="93"/>
        <v>0</v>
      </c>
      <c r="F851" s="1" t="s">
        <v>3</v>
      </c>
      <c r="G851" s="88"/>
      <c r="H851" s="73"/>
      <c r="I851" s="73"/>
      <c r="J851" s="74"/>
      <c r="K851" s="72"/>
      <c r="L851" s="73"/>
      <c r="M851" s="73"/>
      <c r="N851" s="73"/>
      <c r="O851" s="72"/>
      <c r="P851" s="74"/>
      <c r="Q851" s="72"/>
      <c r="R851" s="73"/>
      <c r="S851" s="73"/>
      <c r="T851" s="73"/>
      <c r="U851" s="73"/>
      <c r="V851" s="73"/>
      <c r="W851" s="73"/>
      <c r="X851" s="74"/>
      <c r="Y851" s="88"/>
      <c r="Z851" s="73"/>
      <c r="AA851" s="73"/>
      <c r="AB851" s="73"/>
      <c r="AC851" s="72"/>
      <c r="AD851" s="73"/>
      <c r="AE851" s="73"/>
      <c r="AF851" s="74"/>
      <c r="AG851" s="73"/>
      <c r="AH851" s="74"/>
      <c r="AI851" s="73"/>
      <c r="AJ851" s="73"/>
      <c r="AK851" s="73"/>
      <c r="AL851" s="73"/>
      <c r="AM851" s="73"/>
      <c r="AN851" s="73"/>
      <c r="AO851" s="73"/>
      <c r="AP851" s="73"/>
      <c r="AQ851" s="72"/>
      <c r="AR851" s="72"/>
      <c r="AS851" s="72"/>
      <c r="AT851" s="72"/>
      <c r="AU851" s="72"/>
      <c r="AV851" s="72"/>
      <c r="AW851" s="72"/>
      <c r="AX851" s="75"/>
      <c r="AY851" s="19"/>
      <c r="AZ851" s="19"/>
    </row>
    <row r="852" spans="2:52" ht="21" customHeight="1" x14ac:dyDescent="0.25">
      <c r="B852" s="2"/>
      <c r="C852" s="3" t="s">
        <v>25</v>
      </c>
      <c r="D852" s="9">
        <f>SUM(D848:D851)</f>
        <v>0</v>
      </c>
      <c r="G852" s="85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85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</row>
    <row r="853" spans="2:52" x14ac:dyDescent="0.25"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</row>
    <row r="854" spans="2:52" ht="15.75" x14ac:dyDescent="0.25">
      <c r="G854" s="100" t="s">
        <v>22</v>
      </c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1" t="s">
        <v>21</v>
      </c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46"/>
      <c r="AR854" s="46"/>
      <c r="AS854" s="46"/>
      <c r="AT854" s="46"/>
      <c r="AU854" s="46"/>
      <c r="AV854" s="46"/>
      <c r="AW854" s="46"/>
      <c r="AX854" s="46"/>
    </row>
    <row r="855" spans="2:52" ht="32.25" thickBot="1" x14ac:dyDescent="0.3">
      <c r="G855" s="102" t="s">
        <v>14</v>
      </c>
      <c r="H855" s="102"/>
      <c r="I855" s="102"/>
      <c r="J855" s="102"/>
      <c r="K855" s="102" t="s">
        <v>15</v>
      </c>
      <c r="L855" s="102"/>
      <c r="M855" s="102"/>
      <c r="N855" s="102"/>
      <c r="O855" s="102" t="s">
        <v>59</v>
      </c>
      <c r="P855" s="102"/>
      <c r="Q855" s="102" t="s">
        <v>16</v>
      </c>
      <c r="R855" s="102"/>
      <c r="S855" s="102"/>
      <c r="T855" s="102"/>
      <c r="U855" s="102"/>
      <c r="V855" s="102"/>
      <c r="W855" s="102"/>
      <c r="X855" s="102"/>
      <c r="Y855" s="102" t="s">
        <v>14</v>
      </c>
      <c r="Z855" s="102"/>
      <c r="AA855" s="102"/>
      <c r="AB855" s="102"/>
      <c r="AC855" s="102" t="s">
        <v>15</v>
      </c>
      <c r="AD855" s="102"/>
      <c r="AE855" s="102"/>
      <c r="AF855" s="102"/>
      <c r="AG855" s="102" t="s">
        <v>59</v>
      </c>
      <c r="AH855" s="102"/>
      <c r="AI855" s="102" t="s">
        <v>16</v>
      </c>
      <c r="AJ855" s="102"/>
      <c r="AK855" s="102"/>
      <c r="AL855" s="102"/>
      <c r="AM855" s="102"/>
      <c r="AN855" s="102"/>
      <c r="AO855" s="102"/>
      <c r="AP855" s="102"/>
      <c r="AQ855" s="76" t="s">
        <v>60</v>
      </c>
      <c r="AR855" s="76" t="s">
        <v>70</v>
      </c>
      <c r="AS855" s="76" t="s">
        <v>65</v>
      </c>
      <c r="AT855" s="76" t="s">
        <v>61</v>
      </c>
      <c r="AU855" s="76" t="s">
        <v>62</v>
      </c>
      <c r="AV855" s="76" t="s">
        <v>27</v>
      </c>
      <c r="AW855" s="76" t="s">
        <v>64</v>
      </c>
      <c r="AX855" s="76" t="s">
        <v>63</v>
      </c>
      <c r="AY855" s="76" t="s">
        <v>66</v>
      </c>
      <c r="AZ855" s="76" t="s">
        <v>67</v>
      </c>
    </row>
    <row r="856" spans="2:52" ht="48" thickBot="1" x14ac:dyDescent="0.3">
      <c r="B856" s="21">
        <v>0.97916666666666996</v>
      </c>
      <c r="C856" s="14" t="s">
        <v>13</v>
      </c>
      <c r="D856" s="8" t="s">
        <v>6</v>
      </c>
      <c r="F856" s="13"/>
      <c r="G856" s="81" t="s">
        <v>20</v>
      </c>
      <c r="H856" s="64" t="s">
        <v>17</v>
      </c>
      <c r="I856" s="64" t="s">
        <v>19</v>
      </c>
      <c r="J856" s="64" t="s">
        <v>18</v>
      </c>
      <c r="K856" s="64" t="s">
        <v>52</v>
      </c>
      <c r="L856" s="64" t="s">
        <v>51</v>
      </c>
      <c r="M856" s="64" t="s">
        <v>53</v>
      </c>
      <c r="N856" s="64" t="s">
        <v>54</v>
      </c>
      <c r="O856" s="64" t="s">
        <v>20</v>
      </c>
      <c r="P856" s="64" t="s">
        <v>19</v>
      </c>
      <c r="Q856" s="64" t="s">
        <v>55</v>
      </c>
      <c r="R856" s="64" t="s">
        <v>56</v>
      </c>
      <c r="S856" s="64" t="s">
        <v>52</v>
      </c>
      <c r="T856" s="64" t="s">
        <v>51</v>
      </c>
      <c r="U856" s="64" t="s">
        <v>57</v>
      </c>
      <c r="V856" s="64" t="s">
        <v>58</v>
      </c>
      <c r="W856" s="64" t="s">
        <v>53</v>
      </c>
      <c r="X856" s="64" t="s">
        <v>54</v>
      </c>
      <c r="Y856" s="81" t="s">
        <v>20</v>
      </c>
      <c r="Z856" s="64" t="s">
        <v>17</v>
      </c>
      <c r="AA856" s="64" t="s">
        <v>19</v>
      </c>
      <c r="AB856" s="64" t="s">
        <v>18</v>
      </c>
      <c r="AC856" s="64" t="s">
        <v>52</v>
      </c>
      <c r="AD856" s="64" t="s">
        <v>51</v>
      </c>
      <c r="AE856" s="64" t="s">
        <v>53</v>
      </c>
      <c r="AF856" s="64" t="s">
        <v>54</v>
      </c>
      <c r="AG856" s="64" t="s">
        <v>20</v>
      </c>
      <c r="AH856" s="64" t="s">
        <v>19</v>
      </c>
      <c r="AI856" s="64" t="s">
        <v>55</v>
      </c>
      <c r="AJ856" s="64" t="s">
        <v>56</v>
      </c>
      <c r="AK856" s="64" t="s">
        <v>52</v>
      </c>
      <c r="AL856" s="64" t="s">
        <v>51</v>
      </c>
      <c r="AM856" s="64" t="s">
        <v>57</v>
      </c>
      <c r="AN856" s="64" t="s">
        <v>58</v>
      </c>
      <c r="AO856" s="64" t="s">
        <v>53</v>
      </c>
      <c r="AP856" s="64" t="s">
        <v>54</v>
      </c>
      <c r="AQ856" s="46"/>
      <c r="AR856" s="46"/>
      <c r="AS856" s="46"/>
      <c r="AT856" s="46"/>
      <c r="AU856" s="46"/>
      <c r="AV856" s="46"/>
      <c r="AW856" s="46"/>
      <c r="AX856" s="46"/>
    </row>
    <row r="857" spans="2:52" ht="16.5" customHeight="1" thickBot="1" x14ac:dyDescent="0.3">
      <c r="B857" s="1" t="s">
        <v>0</v>
      </c>
      <c r="C857" s="10"/>
      <c r="D857">
        <f>C857</f>
        <v>0</v>
      </c>
      <c r="F857" s="12" t="s">
        <v>0</v>
      </c>
      <c r="G857" s="86"/>
      <c r="H857" s="66"/>
      <c r="I857" s="66"/>
      <c r="J857" s="67"/>
      <c r="K857" s="65"/>
      <c r="L857" s="66"/>
      <c r="M857" s="66"/>
      <c r="N857" s="66"/>
      <c r="O857" s="65"/>
      <c r="P857" s="67"/>
      <c r="Q857" s="65"/>
      <c r="R857" s="66"/>
      <c r="S857" s="66"/>
      <c r="T857" s="66"/>
      <c r="U857" s="66"/>
      <c r="V857" s="66"/>
      <c r="W857" s="66"/>
      <c r="X857" s="67"/>
      <c r="Y857" s="86"/>
      <c r="Z857" s="66"/>
      <c r="AA857" s="66"/>
      <c r="AB857" s="66"/>
      <c r="AC857" s="65"/>
      <c r="AD857" s="66"/>
      <c r="AE857" s="66"/>
      <c r="AF857" s="67"/>
      <c r="AG857" s="66"/>
      <c r="AH857" s="67"/>
      <c r="AI857" s="66"/>
      <c r="AJ857" s="66"/>
      <c r="AK857" s="66"/>
      <c r="AL857" s="66"/>
      <c r="AM857" s="66"/>
      <c r="AN857" s="66"/>
      <c r="AO857" s="66"/>
      <c r="AP857" s="66"/>
      <c r="AQ857" s="65"/>
      <c r="AR857" s="65"/>
      <c r="AS857" s="65"/>
      <c r="AT857" s="65"/>
      <c r="AU857" s="65"/>
      <c r="AV857" s="65"/>
      <c r="AW857" s="65"/>
      <c r="AX857" s="68"/>
      <c r="AY857" s="17"/>
      <c r="AZ857" s="17"/>
    </row>
    <row r="858" spans="2:52" ht="16.5" customHeight="1" thickBot="1" x14ac:dyDescent="0.3">
      <c r="B858" s="1" t="s">
        <v>1</v>
      </c>
      <c r="C858" s="10"/>
      <c r="D858">
        <f t="shared" ref="D858:D860" si="94">C858</f>
        <v>0</v>
      </c>
      <c r="F858" s="1" t="s">
        <v>1</v>
      </c>
      <c r="G858" s="87"/>
      <c r="H858" s="46"/>
      <c r="I858" s="46"/>
      <c r="J858" s="70"/>
      <c r="K858" s="69"/>
      <c r="L858" s="46"/>
      <c r="M858" s="46"/>
      <c r="N858" s="46"/>
      <c r="O858" s="69"/>
      <c r="P858" s="70"/>
      <c r="Q858" s="69"/>
      <c r="R858" s="46"/>
      <c r="S858" s="46"/>
      <c r="T858" s="46"/>
      <c r="U858" s="46"/>
      <c r="V858" s="46"/>
      <c r="W858" s="46"/>
      <c r="X858" s="70"/>
      <c r="Y858" s="87"/>
      <c r="Z858" s="46"/>
      <c r="AA858" s="46"/>
      <c r="AB858" s="46"/>
      <c r="AC858" s="69"/>
      <c r="AD858" s="46"/>
      <c r="AE858" s="46"/>
      <c r="AF858" s="70"/>
      <c r="AG858" s="46"/>
      <c r="AH858" s="70"/>
      <c r="AI858" s="46"/>
      <c r="AJ858" s="46"/>
      <c r="AK858" s="46"/>
      <c r="AL858" s="46"/>
      <c r="AM858" s="46"/>
      <c r="AN858" s="46"/>
      <c r="AO858" s="46"/>
      <c r="AP858" s="46"/>
      <c r="AQ858" s="69"/>
      <c r="AR858" s="69"/>
      <c r="AS858" s="69"/>
      <c r="AT858" s="69"/>
      <c r="AU858" s="69"/>
      <c r="AV858" s="69"/>
      <c r="AW858" s="69"/>
      <c r="AX858" s="71"/>
      <c r="AY858" s="18"/>
      <c r="AZ858" s="18"/>
    </row>
    <row r="859" spans="2:52" ht="16.5" customHeight="1" thickBot="1" x14ac:dyDescent="0.3">
      <c r="B859" s="1" t="s">
        <v>2</v>
      </c>
      <c r="C859" s="10"/>
      <c r="D859">
        <f>C859</f>
        <v>0</v>
      </c>
      <c r="F859" s="1" t="s">
        <v>2</v>
      </c>
      <c r="G859" s="87"/>
      <c r="H859" s="46"/>
      <c r="I859" s="46"/>
      <c r="J859" s="70"/>
      <c r="K859" s="69"/>
      <c r="L859" s="46"/>
      <c r="M859" s="46"/>
      <c r="N859" s="46"/>
      <c r="O859" s="69"/>
      <c r="P859" s="70"/>
      <c r="Q859" s="69"/>
      <c r="R859" s="46"/>
      <c r="S859" s="46"/>
      <c r="T859" s="46"/>
      <c r="U859" s="46"/>
      <c r="V859" s="46"/>
      <c r="W859" s="46"/>
      <c r="X859" s="70"/>
      <c r="Y859" s="87"/>
      <c r="Z859" s="46"/>
      <c r="AA859" s="46"/>
      <c r="AB859" s="46"/>
      <c r="AC859" s="69"/>
      <c r="AD859" s="46"/>
      <c r="AE859" s="46"/>
      <c r="AF859" s="70"/>
      <c r="AG859" s="46"/>
      <c r="AH859" s="70"/>
      <c r="AI859" s="46"/>
      <c r="AJ859" s="46"/>
      <c r="AK859" s="46"/>
      <c r="AL859" s="46"/>
      <c r="AM859" s="46"/>
      <c r="AN859" s="46"/>
      <c r="AO859" s="46"/>
      <c r="AP859" s="46"/>
      <c r="AQ859" s="69"/>
      <c r="AR859" s="69"/>
      <c r="AS859" s="69"/>
      <c r="AT859" s="69"/>
      <c r="AU859" s="69"/>
      <c r="AV859" s="69"/>
      <c r="AW859" s="69"/>
      <c r="AX859" s="71"/>
      <c r="AY859" s="18"/>
      <c r="AZ859" s="18"/>
    </row>
    <row r="860" spans="2:52" ht="16.5" customHeight="1" thickBot="1" x14ac:dyDescent="0.3">
      <c r="B860" s="1" t="s">
        <v>3</v>
      </c>
      <c r="C860" s="10"/>
      <c r="D860" s="7">
        <f t="shared" si="94"/>
        <v>0</v>
      </c>
      <c r="F860" s="1" t="s">
        <v>3</v>
      </c>
      <c r="G860" s="88"/>
      <c r="H860" s="73"/>
      <c r="I860" s="73"/>
      <c r="J860" s="74"/>
      <c r="K860" s="72"/>
      <c r="L860" s="73"/>
      <c r="M860" s="73"/>
      <c r="N860" s="73"/>
      <c r="O860" s="72"/>
      <c r="P860" s="74"/>
      <c r="Q860" s="72"/>
      <c r="R860" s="73"/>
      <c r="S860" s="73"/>
      <c r="T860" s="73"/>
      <c r="U860" s="73"/>
      <c r="V860" s="73"/>
      <c r="W860" s="73"/>
      <c r="X860" s="74"/>
      <c r="Y860" s="88"/>
      <c r="Z860" s="73"/>
      <c r="AA860" s="73"/>
      <c r="AB860" s="73"/>
      <c r="AC860" s="72"/>
      <c r="AD860" s="73"/>
      <c r="AE860" s="73"/>
      <c r="AF860" s="74"/>
      <c r="AG860" s="73"/>
      <c r="AH860" s="74"/>
      <c r="AI860" s="73"/>
      <c r="AJ860" s="73"/>
      <c r="AK860" s="73"/>
      <c r="AL860" s="73"/>
      <c r="AM860" s="73"/>
      <c r="AN860" s="73"/>
      <c r="AO860" s="73"/>
      <c r="AP860" s="73"/>
      <c r="AQ860" s="72"/>
      <c r="AR860" s="72"/>
      <c r="AS860" s="72"/>
      <c r="AT860" s="72"/>
      <c r="AU860" s="72"/>
      <c r="AV860" s="72"/>
      <c r="AW860" s="72"/>
      <c r="AX860" s="75"/>
      <c r="AY860" s="19"/>
      <c r="AZ860" s="19"/>
    </row>
    <row r="861" spans="2:52" ht="21" customHeight="1" x14ac:dyDescent="0.25">
      <c r="B861" s="2"/>
      <c r="C861" s="3" t="s">
        <v>25</v>
      </c>
      <c r="D861" s="9">
        <f>SUM(D857:D860)</f>
        <v>0</v>
      </c>
      <c r="G861" s="85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85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</row>
    <row r="862" spans="2:52" x14ac:dyDescent="0.25"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</row>
    <row r="863" spans="2:52" ht="15.75" x14ac:dyDescent="0.25">
      <c r="G863" s="100" t="s">
        <v>22</v>
      </c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1" t="s">
        <v>21</v>
      </c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46"/>
      <c r="AR863" s="46"/>
      <c r="AS863" s="46"/>
      <c r="AT863" s="46"/>
      <c r="AU863" s="46"/>
      <c r="AV863" s="46"/>
      <c r="AW863" s="46"/>
      <c r="AX863" s="46"/>
    </row>
    <row r="864" spans="2:52" ht="32.25" thickBot="1" x14ac:dyDescent="0.3">
      <c r="G864" s="102" t="s">
        <v>14</v>
      </c>
      <c r="H864" s="102"/>
      <c r="I864" s="102"/>
      <c r="J864" s="102"/>
      <c r="K864" s="102" t="s">
        <v>15</v>
      </c>
      <c r="L864" s="102"/>
      <c r="M864" s="102"/>
      <c r="N864" s="102"/>
      <c r="O864" s="102" t="s">
        <v>59</v>
      </c>
      <c r="P864" s="102"/>
      <c r="Q864" s="102" t="s">
        <v>16</v>
      </c>
      <c r="R864" s="102"/>
      <c r="S864" s="102"/>
      <c r="T864" s="102"/>
      <c r="U864" s="102"/>
      <c r="V864" s="102"/>
      <c r="W864" s="102"/>
      <c r="X864" s="102"/>
      <c r="Y864" s="102" t="s">
        <v>14</v>
      </c>
      <c r="Z864" s="102"/>
      <c r="AA864" s="102"/>
      <c r="AB864" s="102"/>
      <c r="AC864" s="102" t="s">
        <v>15</v>
      </c>
      <c r="AD864" s="102"/>
      <c r="AE864" s="102"/>
      <c r="AF864" s="102"/>
      <c r="AG864" s="102" t="s">
        <v>59</v>
      </c>
      <c r="AH864" s="102"/>
      <c r="AI864" s="102" t="s">
        <v>16</v>
      </c>
      <c r="AJ864" s="102"/>
      <c r="AK864" s="102"/>
      <c r="AL864" s="102"/>
      <c r="AM864" s="102"/>
      <c r="AN864" s="102"/>
      <c r="AO864" s="102"/>
      <c r="AP864" s="102"/>
      <c r="AQ864" s="76" t="s">
        <v>60</v>
      </c>
      <c r="AR864" s="76" t="s">
        <v>70</v>
      </c>
      <c r="AS864" s="76" t="s">
        <v>65</v>
      </c>
      <c r="AT864" s="76" t="s">
        <v>61</v>
      </c>
      <c r="AU864" s="76" t="s">
        <v>62</v>
      </c>
      <c r="AV864" s="76" t="s">
        <v>27</v>
      </c>
      <c r="AW864" s="76" t="s">
        <v>64</v>
      </c>
      <c r="AX864" s="76" t="s">
        <v>63</v>
      </c>
      <c r="AY864" s="76" t="s">
        <v>66</v>
      </c>
      <c r="AZ864" s="76" t="s">
        <v>67</v>
      </c>
    </row>
    <row r="865" spans="2:53" ht="48" thickBot="1" x14ac:dyDescent="0.3">
      <c r="B865" s="21">
        <v>0.98958333333333703</v>
      </c>
      <c r="C865" s="14" t="s">
        <v>13</v>
      </c>
      <c r="D865" s="8" t="s">
        <v>6</v>
      </c>
      <c r="F865" s="13"/>
      <c r="G865" s="81" t="s">
        <v>20</v>
      </c>
      <c r="H865" s="64" t="s">
        <v>17</v>
      </c>
      <c r="I865" s="64" t="s">
        <v>19</v>
      </c>
      <c r="J865" s="64" t="s">
        <v>18</v>
      </c>
      <c r="K865" s="64" t="s">
        <v>52</v>
      </c>
      <c r="L865" s="64" t="s">
        <v>51</v>
      </c>
      <c r="M865" s="64" t="s">
        <v>53</v>
      </c>
      <c r="N865" s="64" t="s">
        <v>54</v>
      </c>
      <c r="O865" s="64" t="s">
        <v>20</v>
      </c>
      <c r="P865" s="64" t="s">
        <v>19</v>
      </c>
      <c r="Q865" s="64" t="s">
        <v>55</v>
      </c>
      <c r="R865" s="64" t="s">
        <v>56</v>
      </c>
      <c r="S865" s="64" t="s">
        <v>52</v>
      </c>
      <c r="T865" s="64" t="s">
        <v>51</v>
      </c>
      <c r="U865" s="64" t="s">
        <v>57</v>
      </c>
      <c r="V865" s="64" t="s">
        <v>58</v>
      </c>
      <c r="W865" s="64" t="s">
        <v>53</v>
      </c>
      <c r="X865" s="64" t="s">
        <v>54</v>
      </c>
      <c r="Y865" s="81" t="s">
        <v>20</v>
      </c>
      <c r="Z865" s="64" t="s">
        <v>17</v>
      </c>
      <c r="AA865" s="64" t="s">
        <v>19</v>
      </c>
      <c r="AB865" s="64" t="s">
        <v>18</v>
      </c>
      <c r="AC865" s="64" t="s">
        <v>52</v>
      </c>
      <c r="AD865" s="64" t="s">
        <v>51</v>
      </c>
      <c r="AE865" s="64" t="s">
        <v>53</v>
      </c>
      <c r="AF865" s="64" t="s">
        <v>54</v>
      </c>
      <c r="AG865" s="64" t="s">
        <v>20</v>
      </c>
      <c r="AH865" s="64" t="s">
        <v>19</v>
      </c>
      <c r="AI865" s="64" t="s">
        <v>55</v>
      </c>
      <c r="AJ865" s="64" t="s">
        <v>56</v>
      </c>
      <c r="AK865" s="64" t="s">
        <v>52</v>
      </c>
      <c r="AL865" s="64" t="s">
        <v>51</v>
      </c>
      <c r="AM865" s="64" t="s">
        <v>57</v>
      </c>
      <c r="AN865" s="64" t="s">
        <v>58</v>
      </c>
      <c r="AO865" s="64" t="s">
        <v>53</v>
      </c>
      <c r="AP865" s="64" t="s">
        <v>54</v>
      </c>
      <c r="AQ865" s="46"/>
      <c r="AR865" s="46"/>
      <c r="AS865" s="46"/>
      <c r="AT865" s="46"/>
      <c r="AU865" s="46"/>
      <c r="AV865" s="46"/>
      <c r="AW865" s="46"/>
      <c r="AX865" s="46"/>
    </row>
    <row r="866" spans="2:53" ht="16.5" customHeight="1" thickBot="1" x14ac:dyDescent="0.3">
      <c r="B866" s="1" t="s">
        <v>0</v>
      </c>
      <c r="C866" s="10"/>
      <c r="D866">
        <f>C866</f>
        <v>0</v>
      </c>
      <c r="F866" s="12" t="s">
        <v>0</v>
      </c>
      <c r="G866" s="86"/>
      <c r="H866" s="66"/>
      <c r="I866" s="66"/>
      <c r="J866" s="67"/>
      <c r="K866" s="65"/>
      <c r="L866" s="66"/>
      <c r="M866" s="66"/>
      <c r="N866" s="66"/>
      <c r="O866" s="65"/>
      <c r="P866" s="67"/>
      <c r="Q866" s="65"/>
      <c r="R866" s="66"/>
      <c r="S866" s="66"/>
      <c r="T866" s="66"/>
      <c r="U866" s="66"/>
      <c r="V866" s="66"/>
      <c r="W866" s="66"/>
      <c r="X866" s="67"/>
      <c r="Y866" s="86"/>
      <c r="Z866" s="66"/>
      <c r="AA866" s="66"/>
      <c r="AB866" s="66"/>
      <c r="AC866" s="65"/>
      <c r="AD866" s="66"/>
      <c r="AE866" s="66"/>
      <c r="AF866" s="67"/>
      <c r="AG866" s="66"/>
      <c r="AH866" s="67"/>
      <c r="AI866" s="66"/>
      <c r="AJ866" s="66"/>
      <c r="AK866" s="66"/>
      <c r="AL866" s="66"/>
      <c r="AM866" s="66"/>
      <c r="AN866" s="66"/>
      <c r="AO866" s="66"/>
      <c r="AP866" s="66"/>
      <c r="AQ866" s="65"/>
      <c r="AR866" s="65"/>
      <c r="AS866" s="65"/>
      <c r="AT866" s="65"/>
      <c r="AU866" s="65"/>
      <c r="AV866" s="65"/>
      <c r="AW866" s="65"/>
      <c r="AX866" s="68"/>
      <c r="AY866" s="17"/>
      <c r="AZ866" s="17"/>
    </row>
    <row r="867" spans="2:53" ht="16.5" customHeight="1" thickBot="1" x14ac:dyDescent="0.3">
      <c r="B867" s="1" t="s">
        <v>1</v>
      </c>
      <c r="C867" s="10"/>
      <c r="D867">
        <f t="shared" ref="D867:D869" si="95">C867</f>
        <v>0</v>
      </c>
      <c r="F867" s="1" t="s">
        <v>1</v>
      </c>
      <c r="G867" s="87"/>
      <c r="H867" s="46"/>
      <c r="I867" s="46"/>
      <c r="J867" s="70"/>
      <c r="K867" s="69"/>
      <c r="L867" s="46"/>
      <c r="M867" s="46"/>
      <c r="N867" s="46"/>
      <c r="O867" s="69"/>
      <c r="P867" s="70"/>
      <c r="Q867" s="69"/>
      <c r="R867" s="46"/>
      <c r="S867" s="46"/>
      <c r="T867" s="46"/>
      <c r="U867" s="46"/>
      <c r="V867" s="46"/>
      <c r="W867" s="46"/>
      <c r="X867" s="70"/>
      <c r="Y867" s="87"/>
      <c r="Z867" s="46"/>
      <c r="AA867" s="46"/>
      <c r="AB867" s="46"/>
      <c r="AC867" s="69"/>
      <c r="AD867" s="46"/>
      <c r="AE867" s="46"/>
      <c r="AF867" s="70"/>
      <c r="AG867" s="46"/>
      <c r="AH867" s="70"/>
      <c r="AI867" s="46"/>
      <c r="AJ867" s="46"/>
      <c r="AK867" s="46"/>
      <c r="AL867" s="46"/>
      <c r="AM867" s="46"/>
      <c r="AN867" s="46"/>
      <c r="AO867" s="46"/>
      <c r="AP867" s="46"/>
      <c r="AQ867" s="69"/>
      <c r="AR867" s="69"/>
      <c r="AS867" s="69"/>
      <c r="AT867" s="69"/>
      <c r="AU867" s="69"/>
      <c r="AV867" s="69"/>
      <c r="AW867" s="69"/>
      <c r="AX867" s="71"/>
      <c r="AY867" s="18"/>
      <c r="AZ867" s="18"/>
    </row>
    <row r="868" spans="2:53" ht="16.5" customHeight="1" thickBot="1" x14ac:dyDescent="0.3">
      <c r="B868" s="1" t="s">
        <v>2</v>
      </c>
      <c r="C868" s="10"/>
      <c r="D868">
        <f>C868</f>
        <v>0</v>
      </c>
      <c r="F868" s="1" t="s">
        <v>2</v>
      </c>
      <c r="G868" s="87"/>
      <c r="H868" s="46"/>
      <c r="I868" s="46"/>
      <c r="J868" s="70"/>
      <c r="K868" s="69"/>
      <c r="L868" s="46"/>
      <c r="M868" s="46"/>
      <c r="N868" s="46"/>
      <c r="O868" s="69"/>
      <c r="P868" s="70"/>
      <c r="Q868" s="69"/>
      <c r="R868" s="46"/>
      <c r="S868" s="46"/>
      <c r="T868" s="46"/>
      <c r="U868" s="46"/>
      <c r="V868" s="46"/>
      <c r="W868" s="46"/>
      <c r="X868" s="70"/>
      <c r="Y868" s="87"/>
      <c r="Z868" s="46"/>
      <c r="AA868" s="46"/>
      <c r="AB868" s="46"/>
      <c r="AC868" s="69"/>
      <c r="AD868" s="46"/>
      <c r="AE868" s="46"/>
      <c r="AF868" s="70"/>
      <c r="AG868" s="46"/>
      <c r="AH868" s="70"/>
      <c r="AI868" s="46"/>
      <c r="AJ868" s="46"/>
      <c r="AK868" s="46"/>
      <c r="AL868" s="46"/>
      <c r="AM868" s="46"/>
      <c r="AN868" s="46"/>
      <c r="AO868" s="46"/>
      <c r="AP868" s="46"/>
      <c r="AQ868" s="69"/>
      <c r="AR868" s="69"/>
      <c r="AS868" s="69"/>
      <c r="AT868" s="69"/>
      <c r="AU868" s="69"/>
      <c r="AV868" s="69"/>
      <c r="AW868" s="69"/>
      <c r="AX868" s="71"/>
      <c r="AY868" s="18"/>
      <c r="AZ868" s="18"/>
    </row>
    <row r="869" spans="2:53" ht="16.5" customHeight="1" thickBot="1" x14ac:dyDescent="0.3">
      <c r="B869" s="1" t="s">
        <v>3</v>
      </c>
      <c r="C869" s="10"/>
      <c r="D869" s="7">
        <f t="shared" si="95"/>
        <v>0</v>
      </c>
      <c r="F869" s="1" t="s">
        <v>3</v>
      </c>
      <c r="G869" s="88"/>
      <c r="H869" s="73"/>
      <c r="I869" s="73"/>
      <c r="J869" s="74"/>
      <c r="K869" s="72"/>
      <c r="L869" s="73"/>
      <c r="M869" s="73"/>
      <c r="N869" s="73"/>
      <c r="O869" s="72"/>
      <c r="P869" s="74"/>
      <c r="Q869" s="72"/>
      <c r="R869" s="73"/>
      <c r="S869" s="73"/>
      <c r="T869" s="73"/>
      <c r="U869" s="73"/>
      <c r="V869" s="73"/>
      <c r="W869" s="73"/>
      <c r="X869" s="74"/>
      <c r="Y869" s="88"/>
      <c r="Z869" s="73"/>
      <c r="AA869" s="73"/>
      <c r="AB869" s="73"/>
      <c r="AC869" s="72"/>
      <c r="AD869" s="73"/>
      <c r="AE869" s="73"/>
      <c r="AF869" s="74"/>
      <c r="AG869" s="73"/>
      <c r="AH869" s="74"/>
      <c r="AI869" s="73"/>
      <c r="AJ869" s="73"/>
      <c r="AK869" s="73"/>
      <c r="AL869" s="73"/>
      <c r="AM869" s="73"/>
      <c r="AN869" s="73"/>
      <c r="AO869" s="73"/>
      <c r="AP869" s="73"/>
      <c r="AQ869" s="72"/>
      <c r="AR869" s="72"/>
      <c r="AS869" s="72"/>
      <c r="AT869" s="72"/>
      <c r="AU869" s="72"/>
      <c r="AV869" s="72"/>
      <c r="AW869" s="72"/>
      <c r="AX869" s="75"/>
      <c r="AY869" s="19"/>
      <c r="AZ869" s="19"/>
    </row>
    <row r="870" spans="2:53" ht="21" customHeight="1" x14ac:dyDescent="0.25">
      <c r="B870" s="2"/>
      <c r="C870" s="3" t="s">
        <v>25</v>
      </c>
      <c r="D870" s="9">
        <f>SUM(D866:D869)</f>
        <v>0</v>
      </c>
      <c r="G870" s="89"/>
      <c r="Y870" s="89"/>
      <c r="AR870" s="46"/>
    </row>
    <row r="871" spans="2:53" ht="15.75" customHeight="1" x14ac:dyDescent="0.25">
      <c r="B871" s="2"/>
      <c r="C871" s="3"/>
      <c r="D871" s="9"/>
      <c r="AR871" s="46"/>
    </row>
    <row r="872" spans="2:53" ht="15.75" customHeight="1" x14ac:dyDescent="0.25">
      <c r="B872" s="24"/>
      <c r="C872" s="25"/>
      <c r="D872" s="26"/>
      <c r="E872" s="27"/>
      <c r="F872" s="27"/>
      <c r="G872" s="24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4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</row>
    <row r="873" spans="2:53" ht="15.75" customHeight="1" x14ac:dyDescent="0.25">
      <c r="B873" s="2"/>
      <c r="C873" s="3"/>
      <c r="D873" s="9"/>
      <c r="G873" s="2"/>
      <c r="Y873" s="2"/>
    </row>
    <row r="874" spans="2:53" ht="21" x14ac:dyDescent="0.35">
      <c r="B874" s="28" t="s">
        <v>26</v>
      </c>
      <c r="G874" s="100" t="s">
        <v>22</v>
      </c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1" t="s">
        <v>21</v>
      </c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</row>
    <row r="875" spans="2:53" ht="47.45" customHeight="1" thickBot="1" x14ac:dyDescent="0.3">
      <c r="B875" s="4"/>
      <c r="G875" s="102" t="s">
        <v>14</v>
      </c>
      <c r="H875" s="102"/>
      <c r="I875" s="102"/>
      <c r="J875" s="102"/>
      <c r="K875" s="102" t="s">
        <v>15</v>
      </c>
      <c r="L875" s="102"/>
      <c r="M875" s="102"/>
      <c r="N875" s="102"/>
      <c r="O875" s="102" t="s">
        <v>59</v>
      </c>
      <c r="P875" s="102"/>
      <c r="Q875" s="102" t="s">
        <v>16</v>
      </c>
      <c r="R875" s="102"/>
      <c r="S875" s="102"/>
      <c r="T875" s="102"/>
      <c r="U875" s="102"/>
      <c r="V875" s="102"/>
      <c r="W875" s="102"/>
      <c r="X875" s="102"/>
      <c r="Y875" s="102" t="s">
        <v>14</v>
      </c>
      <c r="Z875" s="102"/>
      <c r="AA875" s="102"/>
      <c r="AB875" s="102"/>
      <c r="AC875" s="102" t="s">
        <v>15</v>
      </c>
      <c r="AD875" s="102"/>
      <c r="AE875" s="102"/>
      <c r="AF875" s="102"/>
      <c r="AG875" s="102" t="s">
        <v>59</v>
      </c>
      <c r="AH875" s="102"/>
      <c r="AI875" s="102" t="s">
        <v>16</v>
      </c>
      <c r="AJ875" s="102"/>
      <c r="AK875" s="102"/>
      <c r="AL875" s="102"/>
      <c r="AM875" s="102"/>
      <c r="AN875" s="102"/>
      <c r="AO875" s="102"/>
      <c r="AP875" s="102"/>
      <c r="AQ875" s="16" t="s">
        <v>60</v>
      </c>
      <c r="AR875" s="76" t="s">
        <v>70</v>
      </c>
      <c r="AS875" s="16" t="s">
        <v>65</v>
      </c>
      <c r="AT875" s="16" t="s">
        <v>61</v>
      </c>
      <c r="AU875" s="16" t="s">
        <v>62</v>
      </c>
      <c r="AV875" s="16" t="s">
        <v>27</v>
      </c>
      <c r="AW875" s="16" t="s">
        <v>64</v>
      </c>
      <c r="AX875" s="16" t="s">
        <v>63</v>
      </c>
      <c r="AY875" s="76" t="s">
        <v>66</v>
      </c>
      <c r="AZ875" s="76" t="s">
        <v>67</v>
      </c>
      <c r="BA875" s="16" t="s">
        <v>88</v>
      </c>
    </row>
    <row r="876" spans="2:53" ht="48" thickBot="1" x14ac:dyDescent="0.3">
      <c r="B876" s="23" t="s">
        <v>12</v>
      </c>
      <c r="C876" s="12" t="s">
        <v>13</v>
      </c>
      <c r="D876" s="22"/>
      <c r="F876" s="13"/>
      <c r="G876" s="81" t="s">
        <v>20</v>
      </c>
      <c r="H876" s="64" t="s">
        <v>17</v>
      </c>
      <c r="I876" s="64" t="s">
        <v>19</v>
      </c>
      <c r="J876" s="64" t="s">
        <v>18</v>
      </c>
      <c r="K876" s="64" t="s">
        <v>52</v>
      </c>
      <c r="L876" s="64" t="s">
        <v>51</v>
      </c>
      <c r="M876" s="64" t="s">
        <v>53</v>
      </c>
      <c r="N876" s="64" t="s">
        <v>54</v>
      </c>
      <c r="O876" s="64" t="s">
        <v>20</v>
      </c>
      <c r="P876" s="64" t="s">
        <v>19</v>
      </c>
      <c r="Q876" s="64" t="s">
        <v>55</v>
      </c>
      <c r="R876" s="64" t="s">
        <v>56</v>
      </c>
      <c r="S876" s="64" t="s">
        <v>52</v>
      </c>
      <c r="T876" s="64" t="s">
        <v>51</v>
      </c>
      <c r="U876" s="64" t="s">
        <v>57</v>
      </c>
      <c r="V876" s="64" t="s">
        <v>58</v>
      </c>
      <c r="W876" s="64" t="s">
        <v>53</v>
      </c>
      <c r="X876" s="64" t="s">
        <v>54</v>
      </c>
      <c r="Y876" s="81" t="s">
        <v>20</v>
      </c>
      <c r="Z876" s="64" t="s">
        <v>17</v>
      </c>
      <c r="AA876" s="64" t="s">
        <v>19</v>
      </c>
      <c r="AB876" s="64" t="s">
        <v>18</v>
      </c>
      <c r="AC876" s="64" t="s">
        <v>52</v>
      </c>
      <c r="AD876" s="64" t="s">
        <v>51</v>
      </c>
      <c r="AE876" s="64" t="s">
        <v>53</v>
      </c>
      <c r="AF876" s="64" t="s">
        <v>54</v>
      </c>
      <c r="AG876" s="64" t="s">
        <v>20</v>
      </c>
      <c r="AH876" s="64" t="s">
        <v>19</v>
      </c>
      <c r="AI876" s="64" t="s">
        <v>55</v>
      </c>
      <c r="AJ876" s="64" t="s">
        <v>56</v>
      </c>
      <c r="AK876" s="64" t="s">
        <v>52</v>
      </c>
      <c r="AL876" s="64" t="s">
        <v>51</v>
      </c>
      <c r="AM876" s="64" t="s">
        <v>57</v>
      </c>
      <c r="AN876" s="64" t="s">
        <v>58</v>
      </c>
      <c r="AO876" s="64" t="s">
        <v>53</v>
      </c>
      <c r="AP876" s="64" t="s">
        <v>54</v>
      </c>
    </row>
    <row r="877" spans="2:53" ht="16.5" thickBot="1" x14ac:dyDescent="0.3">
      <c r="B877" s="1" t="s">
        <v>0</v>
      </c>
      <c r="C877" s="10"/>
      <c r="D877">
        <f>SUM(D11,D20,D29,D38,D47,D56,D65,D74,D83,D92,D101,D110,D119,D128,D137,D146,D155,D164,D173,D182,D191,D200,D209,D218,D227,D236,D245,D254,D263,D272,D281,D290,D299,D308,D317,D326,D335,D344,D353,D362,D371,D380,D389,D398,D407,D416,D425,D434,D443,D452,D461,D470,D479,D488,D497,D506,D515,D524,D533,D542,D551,D560,D569,D578,D587,D596,D605,D614,D623,D632,D641,D650,D659,D668,D677,D686,D695,D704,D713,D722,D731,D740,D749,D758,D767,D776,D785,D794,D803,D812,D821,D830,D839,D848,D857,D866)</f>
        <v>419</v>
      </c>
      <c r="E877" s="84">
        <f>D877/$D$881</f>
        <v>0.52309612983770282</v>
      </c>
      <c r="F877" s="29" t="s">
        <v>0</v>
      </c>
      <c r="G877" s="65">
        <f>SUM(G11,G20,G29,G38,G47,G56,G65,G74,G83,G92,G101,G110,G119,G128,G137,G146,G155,G164,G173,G182,G191,G200,G209,G218,G227,G236,G245,G254,G263,G272,G281,G290,G299,G308,G317,G326,G335,G344,G353,G362,G371,G380,G389,G398,G407,G416,G425,G434,G443,G452,G461,G470,G479,G488,G497,G506,G515,G524,G533,G542,G551,G560,G569,G578,G587,G596,G605,G614,G623,G632,G641,G650,G659,G668,G677,G686,G695,G704,G713,G722,G731,G740,G749,G758,G767,G776,G785,G794,G803,G812,G821,G830,G839,G848,G857,G866)</f>
        <v>3</v>
      </c>
      <c r="H877" s="66">
        <f t="shared" ref="H877:BA877" si="96">SUM(H11,H20,H29,H38,H47,H56,H65,H74,H83,H92,H101,H110,H119,H128,H137,H146,H155,H164,H173,H182,H191,H200,H209,H218,H227,H236,H245,H254,H263,H272,H281,H290,H299,H308,H317,H326,H335,H344,H353,H362,H371,H380,H389,H398,H407,H416,H425,H434,H443,H452,H461,H470,H479,H488,H497,H506,H515,H524,H533,H542,H551,H560,H569,H578,H587,H596,H605,H614,H623,H632,H641,H650,H659,H668,H677,H686,H695,H704,H713,H722,H731,H740,H749,H758,H767,H776,H785,H794,H803,H812,H821,H830,H839,H848,H857,H866)</f>
        <v>0</v>
      </c>
      <c r="I877" s="66">
        <f t="shared" si="96"/>
        <v>5</v>
      </c>
      <c r="J877" s="67">
        <f t="shared" si="96"/>
        <v>0</v>
      </c>
      <c r="K877" s="65">
        <f t="shared" si="96"/>
        <v>2</v>
      </c>
      <c r="L877" s="90">
        <f t="shared" si="96"/>
        <v>0</v>
      </c>
      <c r="M877" s="66">
        <f t="shared" si="96"/>
        <v>0</v>
      </c>
      <c r="N877" s="93">
        <f t="shared" si="96"/>
        <v>0</v>
      </c>
      <c r="O877" s="65">
        <f t="shared" si="96"/>
        <v>25</v>
      </c>
      <c r="P877" s="67">
        <f t="shared" si="96"/>
        <v>26</v>
      </c>
      <c r="Q877" s="65">
        <f t="shared" si="96"/>
        <v>33</v>
      </c>
      <c r="R877" s="66">
        <f t="shared" si="96"/>
        <v>33</v>
      </c>
      <c r="S877" s="66">
        <f t="shared" si="96"/>
        <v>49</v>
      </c>
      <c r="T877" s="66">
        <f t="shared" si="96"/>
        <v>29</v>
      </c>
      <c r="U877" s="66">
        <f t="shared" si="96"/>
        <v>33</v>
      </c>
      <c r="V877" s="66">
        <f t="shared" si="96"/>
        <v>37</v>
      </c>
      <c r="W877" s="66">
        <f t="shared" si="96"/>
        <v>23</v>
      </c>
      <c r="X877" s="66">
        <f t="shared" si="96"/>
        <v>122</v>
      </c>
      <c r="Y877" s="65">
        <f>SUM(Y11,Y20,Y29,Y38,Y47,Y56,Y65,Y74,Y83,Y92,Y101,Y110,Y119,Y128,Y137,Y146,Y155,Y164,Y173,Y182,Y191,Y200,Y209,Y218,Y227,Y236,Y245,Y254,Y263,Y272,Y281,Y290,Y299,Y308,Y317,Y326,Y335,Y344,Y353,Y362,Y371,Y380,Y389,Y398,Y407,Y416,Y425,Y434,Y443,Y452,Y461,Y470,Y479,Y488,Y497,Y506,Y515,Y524,Y533,Y542,Y551,Y560,Y569,Y578,Y587,Y596,Y605,Y614,Y623,Y632,Y641,Y650,Y659,Y668,Y677,Y686,Y695,Y704,Y713,Y722,Y731,Y740,Y749,Y758,Y767,Y776,Y785,Y794,Y803,Y812,Y821,Y830,Y839,Y848,Y857,Y866)</f>
        <v>4</v>
      </c>
      <c r="Z877" s="66">
        <f t="shared" ref="Z877:AP877" si="97">SUM(Z11,Z20,Z29,Z38,Z47,Z56,Z65,Z74,Z83,Z92,Z101,Z110,Z119,Z128,Z137,Z146,Z155,Z164,Z173,Z182,Z191,Z200,Z209,Z218,Z227,Z236,Z245,Z254,Z263,Z272,Z281,Z290,Z299,Z308,Z317,Z326,Z335,Z344,Z353,Z362,Z371,Z380,Z389,Z398,Z407,Z416,Z425,Z434,Z443,Z452,Z461,Z470,Z479,Z488,Z497,Z506,Z515,Z524,Z533,Z542,Z551,Z560,Z569,Z578,Z587,Z596,Z605,Z614,Z623,Z632,Z641,Z650,Z659,Z668,Z677,Z686,Z695,Z704,Z713,Z722,Z731,Z740,Z749,Z758,Z767,Z776,Z785,Z794,Z803,Z812,Z821,Z830,Z839,Z848,Z857,Z866)</f>
        <v>0</v>
      </c>
      <c r="AA877" s="66">
        <f t="shared" si="97"/>
        <v>3</v>
      </c>
      <c r="AB877" s="67">
        <f t="shared" si="97"/>
        <v>0</v>
      </c>
      <c r="AC877" s="96">
        <f t="shared" si="97"/>
        <v>3</v>
      </c>
      <c r="AD877" s="66">
        <f t="shared" si="97"/>
        <v>1</v>
      </c>
      <c r="AE877" s="90">
        <f t="shared" si="97"/>
        <v>0</v>
      </c>
      <c r="AF877" s="67">
        <f t="shared" si="97"/>
        <v>0</v>
      </c>
      <c r="AG877" s="65">
        <f t="shared" si="97"/>
        <v>27</v>
      </c>
      <c r="AH877" s="67">
        <f t="shared" si="97"/>
        <v>24</v>
      </c>
      <c r="AI877" s="65">
        <f t="shared" si="97"/>
        <v>25</v>
      </c>
      <c r="AJ877" s="66">
        <f t="shared" si="97"/>
        <v>40</v>
      </c>
      <c r="AK877" s="66">
        <f t="shared" si="97"/>
        <v>65</v>
      </c>
      <c r="AL877" s="66">
        <f t="shared" si="97"/>
        <v>45</v>
      </c>
      <c r="AM877" s="66">
        <f t="shared" si="97"/>
        <v>20</v>
      </c>
      <c r="AN877" s="66">
        <f t="shared" si="97"/>
        <v>22</v>
      </c>
      <c r="AO877" s="66">
        <f t="shared" si="97"/>
        <v>30</v>
      </c>
      <c r="AP877" s="67">
        <f t="shared" si="97"/>
        <v>115</v>
      </c>
      <c r="AQ877" s="66">
        <f t="shared" ref="AQ877:AW877" si="98">SUM(AQ11,AQ20,AQ29,AQ38,AQ47,AQ56,AQ65,AQ74,AQ83,AQ92,AQ101,AQ110,AQ119,AQ128,AQ137,AQ146,AQ155,AQ164,AQ173,AQ182,AQ191,AQ200,AQ209,AQ218,AQ227,AQ236,AQ245,AQ254,AQ263,AQ272,AQ281,AQ290,AQ299,AQ308,AQ317,AQ326,AQ336,AQ344,AQ353,AQ362,AQ371,AQ380,AQ389,AQ398,AQ407,AQ416,AQ425,AQ434,AQ443,AQ452,AQ461,AQ470,AQ479,AQ488,AQ497,AQ506,AQ515,AQ524,AQ533,AQ542,AQ551,AQ560,AQ569,AQ578,AQ587,AQ596,AQ605,AQ614,AQ623,AQ632,AQ641,AQ650,AQ659,AQ668,AQ677,AQ686,AQ695,AQ704,AQ713,AQ722,AQ731,AQ740,AQ749,AQ758,AQ767,AQ776,AQ785,AQ794,AQ803,AQ812,AQ821,AQ830,AQ839,AQ848,AQ857,AQ866)</f>
        <v>10</v>
      </c>
      <c r="AR877" s="68">
        <f t="shared" si="98"/>
        <v>44</v>
      </c>
      <c r="AS877" s="67">
        <f t="shared" si="98"/>
        <v>1</v>
      </c>
      <c r="AT877" s="68">
        <f t="shared" si="98"/>
        <v>95</v>
      </c>
      <c r="AU877" s="68">
        <f t="shared" si="98"/>
        <v>0</v>
      </c>
      <c r="AV877" s="68">
        <f t="shared" si="98"/>
        <v>7</v>
      </c>
      <c r="AW877" s="65">
        <f t="shared" si="98"/>
        <v>22</v>
      </c>
      <c r="AX877" s="65">
        <f t="shared" si="96"/>
        <v>48</v>
      </c>
      <c r="AY877" s="65">
        <f t="shared" si="96"/>
        <v>26</v>
      </c>
      <c r="AZ877" s="68">
        <f t="shared" si="96"/>
        <v>34</v>
      </c>
      <c r="BA877" s="68">
        <f t="shared" si="96"/>
        <v>0</v>
      </c>
    </row>
    <row r="878" spans="2:53" ht="16.5" thickBot="1" x14ac:dyDescent="0.3">
      <c r="B878" s="1" t="s">
        <v>1</v>
      </c>
      <c r="C878" s="10"/>
      <c r="D878">
        <f t="shared" ref="D878:D881" si="99">SUM(D12,D21,D30,D39,D48,D57,D66,D75,D84,D93,D102,D111,D120,D129,D138,D147,D156,D165,D174,D183,D192,D201,D210,D219,D228,D237,D246,D255,D264,D273,D282,D291,D300,D309,D318,D327,D336,D345,D354,D363,D372,D381,D390,D399,D408,D417,D426,D435,D444,D453,D462,D471,D480,D489,D498,D507,D516,D525,D534,D543,D552,D561,D570,D579,D588,D597,D606,D615,D624,D633,D642,D651,D660,D669,D678,D687,D696,D705,D714,D723,D732,D741,D750,D759,D768,D777,D786,D795,D804,D813,D822,D831,D840,D849,D858,D867)</f>
        <v>272</v>
      </c>
      <c r="E878" s="84">
        <f t="shared" ref="E878:E880" si="100">D878/$D$881</f>
        <v>0.33957553058676654</v>
      </c>
      <c r="F878" s="30" t="s">
        <v>1</v>
      </c>
      <c r="G878" s="69">
        <f t="shared" ref="G878:BA878" si="101">SUM(G12,G21,G30,G39,G48,G57,G66,G75,G84,G93,G102,G111,G120,G129,G138,G147,G156,G165,G174,G183,G192,G201,G210,G219,G228,G237,G246,G255,G264,G273,G282,G291,G300,G309,G318,G327,G336,G345,G354,G363,G372,G381,G390,G399,G408,G417,G426,G435,G444,G453,G462,G471,G480,G489,G498,G507,G516,G525,G534,G543,G552,G561,G570,G579,G588,G597,G606,G615,G624,G633,G642,G651,G660,G669,G678,G687,G696,G705,G714,G723,G732,G741,G750,G759,G768,G777,G786,G795,G804,G813,G822,G831,G840,G849,G858,G867)</f>
        <v>2</v>
      </c>
      <c r="H878" s="46">
        <f t="shared" si="101"/>
        <v>1</v>
      </c>
      <c r="I878" s="46">
        <f t="shared" si="101"/>
        <v>1</v>
      </c>
      <c r="J878" s="70">
        <f t="shared" si="101"/>
        <v>1</v>
      </c>
      <c r="K878" s="69">
        <f t="shared" si="101"/>
        <v>7</v>
      </c>
      <c r="L878" s="91">
        <f t="shared" si="101"/>
        <v>0</v>
      </c>
      <c r="M878" s="46">
        <f t="shared" si="101"/>
        <v>5</v>
      </c>
      <c r="N878" s="94">
        <f t="shared" si="101"/>
        <v>1</v>
      </c>
      <c r="O878" s="69">
        <f t="shared" si="101"/>
        <v>25</v>
      </c>
      <c r="P878" s="70">
        <f t="shared" si="101"/>
        <v>51</v>
      </c>
      <c r="Q878" s="69">
        <f t="shared" si="101"/>
        <v>0</v>
      </c>
      <c r="R878" s="46">
        <f t="shared" si="101"/>
        <v>4</v>
      </c>
      <c r="S878" s="46">
        <f t="shared" si="101"/>
        <v>40</v>
      </c>
      <c r="T878" s="46">
        <f t="shared" si="101"/>
        <v>16</v>
      </c>
      <c r="U878" s="46">
        <f t="shared" si="101"/>
        <v>5</v>
      </c>
      <c r="V878" s="46">
        <f t="shared" si="101"/>
        <v>11</v>
      </c>
      <c r="W878" s="46">
        <f t="shared" si="101"/>
        <v>10</v>
      </c>
      <c r="X878" s="46">
        <f t="shared" si="101"/>
        <v>93</v>
      </c>
      <c r="Y878" s="69">
        <f t="shared" si="101"/>
        <v>3</v>
      </c>
      <c r="Z878" s="46">
        <f t="shared" si="101"/>
        <v>1</v>
      </c>
      <c r="AA878" s="46">
        <f t="shared" si="101"/>
        <v>1</v>
      </c>
      <c r="AB878" s="70">
        <f t="shared" si="101"/>
        <v>0</v>
      </c>
      <c r="AC878" s="97">
        <f t="shared" si="101"/>
        <v>3</v>
      </c>
      <c r="AD878" s="46">
        <f t="shared" si="101"/>
        <v>6</v>
      </c>
      <c r="AE878" s="91">
        <f t="shared" si="101"/>
        <v>0</v>
      </c>
      <c r="AF878" s="70">
        <f t="shared" si="101"/>
        <v>2</v>
      </c>
      <c r="AG878" s="69">
        <f t="shared" si="101"/>
        <v>30</v>
      </c>
      <c r="AH878" s="70">
        <f t="shared" si="101"/>
        <v>45</v>
      </c>
      <c r="AI878" s="69">
        <f t="shared" si="101"/>
        <v>0</v>
      </c>
      <c r="AJ878" s="46">
        <f t="shared" si="101"/>
        <v>6</v>
      </c>
      <c r="AK878" s="46">
        <f t="shared" si="101"/>
        <v>42</v>
      </c>
      <c r="AL878" s="46">
        <f t="shared" si="101"/>
        <v>15</v>
      </c>
      <c r="AM878" s="46">
        <f t="shared" si="101"/>
        <v>10</v>
      </c>
      <c r="AN878" s="46">
        <f t="shared" si="101"/>
        <v>9</v>
      </c>
      <c r="AO878" s="46">
        <f t="shared" si="101"/>
        <v>9</v>
      </c>
      <c r="AP878" s="70">
        <f t="shared" si="101"/>
        <v>88</v>
      </c>
      <c r="AQ878" s="46">
        <f t="shared" ref="AQ878:AW878" si="102">SUM(AQ12,AQ21,AQ30,AQ39,AQ48,AQ57,AQ66,AQ75,AQ84,AQ93,AQ102,AQ111,AQ120,AQ129,AQ138,AQ147,AQ156,AQ165,AQ174,AQ183,AQ192,AQ201,AQ210,AQ219,AQ228,AQ237,AQ246,AQ255,AQ264,AQ273,AQ282,AQ291,AQ300,AQ309,AQ318,AQ327,AQ337,AQ345,AQ354,AQ363,AQ372,AQ381,AQ390,AQ399,AQ408,AQ417,AQ426,AQ435,AQ444,AQ453,AQ462,AQ471,AQ480,AQ489,AQ498,AQ507,AQ516,AQ525,AQ534,AQ543,AQ552,AQ561,AQ570,AQ579,AQ588,AQ597,AQ606,AQ615,AQ624,AQ633,AQ642,AQ651,AQ660,AQ669,AQ678,AQ687,AQ696,AQ705,AQ714,AQ723,AQ732,AQ741,AQ750,AQ759,AQ768,AQ777,AQ786,AQ795,AQ804,AQ813,AQ822,AQ831,AQ840,AQ849,AQ858,AQ867)</f>
        <v>4</v>
      </c>
      <c r="AR878" s="71">
        <f t="shared" si="102"/>
        <v>17</v>
      </c>
      <c r="AS878" s="70">
        <f t="shared" si="102"/>
        <v>1</v>
      </c>
      <c r="AT878" s="71">
        <f t="shared" si="102"/>
        <v>113</v>
      </c>
      <c r="AU878" s="71">
        <f t="shared" si="102"/>
        <v>6</v>
      </c>
      <c r="AV878" s="71">
        <f t="shared" si="102"/>
        <v>0</v>
      </c>
      <c r="AW878" s="69">
        <f t="shared" si="102"/>
        <v>0</v>
      </c>
      <c r="AX878" s="69">
        <f t="shared" si="101"/>
        <v>0</v>
      </c>
      <c r="AY878" s="69">
        <f t="shared" si="101"/>
        <v>3</v>
      </c>
      <c r="AZ878" s="71">
        <f t="shared" si="101"/>
        <v>64</v>
      </c>
      <c r="BA878" s="71">
        <f t="shared" si="101"/>
        <v>4</v>
      </c>
    </row>
    <row r="879" spans="2:53" ht="16.5" thickBot="1" x14ac:dyDescent="0.3">
      <c r="B879" s="1" t="s">
        <v>2</v>
      </c>
      <c r="C879" s="10"/>
      <c r="D879">
        <f t="shared" si="99"/>
        <v>108</v>
      </c>
      <c r="E879" s="84">
        <f t="shared" si="100"/>
        <v>0.1348314606741573</v>
      </c>
      <c r="F879" s="30" t="s">
        <v>2</v>
      </c>
      <c r="G879" s="69">
        <f t="shared" ref="G879:BA879" si="103">SUM(G13,G22,G31,G40,G49,G58,G67,G76,G85,G94,G103,G112,G121,G130,G139,G148,G157,G166,G175,G184,G193,G202,G211,G220,G229,G238,G247,G256,G265,G274,G283,G292,G301,G310,G319,G328,G337,G346,G355,G364,G373,G382,G391,G400,G409,G418,G427,G436,G445,G454,G463,G472,G481,G490,G499,G508,G517,G526,G535,G544,G553,G562,G571,G580,G589,G598,G607,G616,G625,G634,G643,G652,G661,G670,G679,G688,G697,G706,G715,G724,G733,G742,G751,G760,G769,G778,G787,G796,G805,G814,G823,G832,G841,G850,G859,G868)</f>
        <v>0</v>
      </c>
      <c r="H879" s="46">
        <f t="shared" si="103"/>
        <v>0</v>
      </c>
      <c r="I879" s="46">
        <f t="shared" si="103"/>
        <v>0</v>
      </c>
      <c r="J879" s="70">
        <f t="shared" si="103"/>
        <v>0</v>
      </c>
      <c r="K879" s="69">
        <f t="shared" si="103"/>
        <v>4</v>
      </c>
      <c r="L879" s="91">
        <f t="shared" si="103"/>
        <v>0</v>
      </c>
      <c r="M879" s="46">
        <f t="shared" si="103"/>
        <v>2</v>
      </c>
      <c r="N879" s="94">
        <f t="shared" si="103"/>
        <v>0</v>
      </c>
      <c r="O879" s="69">
        <f t="shared" si="103"/>
        <v>1</v>
      </c>
      <c r="P879" s="70">
        <f t="shared" si="103"/>
        <v>8</v>
      </c>
      <c r="Q879" s="69">
        <f t="shared" si="103"/>
        <v>1</v>
      </c>
      <c r="R879" s="46">
        <f t="shared" si="103"/>
        <v>9</v>
      </c>
      <c r="S879" s="46">
        <f t="shared" si="103"/>
        <v>7</v>
      </c>
      <c r="T879" s="46">
        <f t="shared" si="103"/>
        <v>13</v>
      </c>
      <c r="U879" s="46">
        <f t="shared" si="103"/>
        <v>14</v>
      </c>
      <c r="V879" s="46">
        <f t="shared" si="103"/>
        <v>7</v>
      </c>
      <c r="W879" s="46">
        <f t="shared" si="103"/>
        <v>4</v>
      </c>
      <c r="X879" s="46">
        <f t="shared" si="103"/>
        <v>36</v>
      </c>
      <c r="Y879" s="69">
        <f t="shared" si="103"/>
        <v>0</v>
      </c>
      <c r="Z879" s="46">
        <f t="shared" si="103"/>
        <v>0</v>
      </c>
      <c r="AA879" s="46">
        <f t="shared" si="103"/>
        <v>0</v>
      </c>
      <c r="AB879" s="70">
        <f t="shared" si="103"/>
        <v>0</v>
      </c>
      <c r="AC879" s="97">
        <f t="shared" si="103"/>
        <v>0</v>
      </c>
      <c r="AD879" s="46">
        <f t="shared" si="103"/>
        <v>1</v>
      </c>
      <c r="AE879" s="91">
        <f t="shared" si="103"/>
        <v>0</v>
      </c>
      <c r="AF879" s="70">
        <f t="shared" si="103"/>
        <v>2</v>
      </c>
      <c r="AG879" s="69">
        <f t="shared" si="103"/>
        <v>1</v>
      </c>
      <c r="AH879" s="70">
        <f t="shared" si="103"/>
        <v>7</v>
      </c>
      <c r="AI879" s="69">
        <f t="shared" si="103"/>
        <v>1</v>
      </c>
      <c r="AJ879" s="46">
        <f t="shared" si="103"/>
        <v>6</v>
      </c>
      <c r="AK879" s="46">
        <f t="shared" si="103"/>
        <v>9</v>
      </c>
      <c r="AL879" s="46">
        <f t="shared" si="103"/>
        <v>5</v>
      </c>
      <c r="AM879" s="46">
        <f t="shared" si="103"/>
        <v>14</v>
      </c>
      <c r="AN879" s="46">
        <f t="shared" si="103"/>
        <v>6</v>
      </c>
      <c r="AO879" s="46">
        <f t="shared" si="103"/>
        <v>5</v>
      </c>
      <c r="AP879" s="70">
        <f t="shared" si="103"/>
        <v>48</v>
      </c>
      <c r="AQ879" s="46">
        <f t="shared" ref="AQ879:AW879" si="104">SUM(AQ13,AQ22,AQ31,AQ40,AQ49,AQ58,AQ67,AQ76,AQ85,AQ94,AQ103,AQ112,AQ121,AQ130,AQ139,AQ148,AQ157,AQ166,AQ175,AQ184,AQ193,AQ202,AQ211,AQ220,AQ229,AQ238,AQ247,AQ256,AQ265,AQ274,AQ283,AQ292,AQ301,AQ310,AQ319,AQ328,AQ338,AQ346,AQ355,AQ364,AQ373,AQ382,AQ391,AQ400,AQ409,AQ418,AQ427,AQ436,AQ445,AQ454,AQ463,AQ472,AQ481,AQ490,AQ499,AQ508,AQ517,AQ526,AQ535,AQ544,AQ553,AQ562,AQ571,AQ580,AQ589,AQ598,AQ607,AQ616,AQ625,AQ634,AQ643,AQ652,AQ661,AQ670,AQ679,AQ688,AQ697,AQ706,AQ715,AQ724,AQ733,AQ742,AQ751,AQ760,AQ769,AQ778,AQ787,AQ796,AQ805,AQ814,AQ823,AQ832,AQ841,AQ850,AQ859,AQ868)</f>
        <v>0</v>
      </c>
      <c r="AR879" s="71">
        <f t="shared" si="104"/>
        <v>5</v>
      </c>
      <c r="AS879" s="70">
        <f t="shared" si="104"/>
        <v>0</v>
      </c>
      <c r="AT879" s="71">
        <f t="shared" si="104"/>
        <v>44</v>
      </c>
      <c r="AU879" s="71">
        <f t="shared" si="104"/>
        <v>0</v>
      </c>
      <c r="AV879" s="71">
        <f t="shared" si="104"/>
        <v>1</v>
      </c>
      <c r="AW879" s="69">
        <f t="shared" si="104"/>
        <v>0</v>
      </c>
      <c r="AX879" s="69">
        <f t="shared" si="103"/>
        <v>0</v>
      </c>
      <c r="AY879" s="69">
        <f t="shared" si="103"/>
        <v>0</v>
      </c>
      <c r="AZ879" s="71">
        <f t="shared" si="103"/>
        <v>18</v>
      </c>
      <c r="BA879" s="71">
        <f t="shared" si="103"/>
        <v>0</v>
      </c>
    </row>
    <row r="880" spans="2:53" ht="16.5" thickBot="1" x14ac:dyDescent="0.3">
      <c r="B880" s="1" t="s">
        <v>3</v>
      </c>
      <c r="C880" s="10"/>
      <c r="D880" s="7">
        <f t="shared" si="99"/>
        <v>2</v>
      </c>
      <c r="E880" s="84">
        <f t="shared" si="100"/>
        <v>2.4968789013732834E-3</v>
      </c>
      <c r="F880" s="30" t="s">
        <v>3</v>
      </c>
      <c r="G880" s="72">
        <f t="shared" ref="G880:BA880" si="105">SUM(G14,G23,G32,G41,G50,G59,G68,G77,G86,G95,G104,G113,G122,G131,G140,G149,G158,G167,G176,G185,G194,G203,G212,G221,G230,G239,G248,G257,G266,G275,G284,G293,G302,G311,G320,G329,G338,G347,G356,G365,G374,G383,G392,G401,G410,G419,G428,G437,G446,G455,G464,G473,G482,G491,G500,G509,G518,G527,G536,G545,G554,G563,G572,G581,G590,G599,G608,G617,G626,G635,G644,G653,G662,G671,G680,G689,G698,G707,G716,G725,G734,G743,G752,G761,G770,G779,G788,G797,G806,G815,G824,G833,G842,G851,G860,G869)</f>
        <v>0</v>
      </c>
      <c r="H880" s="73">
        <f t="shared" si="105"/>
        <v>0</v>
      </c>
      <c r="I880" s="73">
        <f t="shared" si="105"/>
        <v>0</v>
      </c>
      <c r="J880" s="74">
        <f t="shared" si="105"/>
        <v>0</v>
      </c>
      <c r="K880" s="72">
        <f t="shared" si="105"/>
        <v>0</v>
      </c>
      <c r="L880" s="92">
        <f t="shared" si="105"/>
        <v>0</v>
      </c>
      <c r="M880" s="73">
        <f t="shared" si="105"/>
        <v>0</v>
      </c>
      <c r="N880" s="95">
        <f t="shared" si="105"/>
        <v>0</v>
      </c>
      <c r="O880" s="72">
        <f t="shared" si="105"/>
        <v>0</v>
      </c>
      <c r="P880" s="74">
        <f t="shared" si="105"/>
        <v>1</v>
      </c>
      <c r="Q880" s="72">
        <f t="shared" si="105"/>
        <v>0</v>
      </c>
      <c r="R880" s="73">
        <f t="shared" si="105"/>
        <v>0</v>
      </c>
      <c r="S880" s="73">
        <f t="shared" si="105"/>
        <v>0</v>
      </c>
      <c r="T880" s="73">
        <f t="shared" si="105"/>
        <v>0</v>
      </c>
      <c r="U880" s="73">
        <f t="shared" si="105"/>
        <v>0</v>
      </c>
      <c r="V880" s="73">
        <f t="shared" si="105"/>
        <v>0</v>
      </c>
      <c r="W880" s="73">
        <f t="shared" si="105"/>
        <v>0</v>
      </c>
      <c r="X880" s="73">
        <f t="shared" si="105"/>
        <v>1</v>
      </c>
      <c r="Y880" s="72">
        <f t="shared" si="105"/>
        <v>0</v>
      </c>
      <c r="Z880" s="73">
        <f t="shared" si="105"/>
        <v>0</v>
      </c>
      <c r="AA880" s="73">
        <f t="shared" si="105"/>
        <v>0</v>
      </c>
      <c r="AB880" s="74">
        <f t="shared" si="105"/>
        <v>0</v>
      </c>
      <c r="AC880" s="98">
        <f t="shared" si="105"/>
        <v>1</v>
      </c>
      <c r="AD880" s="73">
        <f t="shared" si="105"/>
        <v>0</v>
      </c>
      <c r="AE880" s="92">
        <f t="shared" si="105"/>
        <v>0</v>
      </c>
      <c r="AF880" s="74">
        <f t="shared" si="105"/>
        <v>0</v>
      </c>
      <c r="AG880" s="72">
        <f t="shared" si="105"/>
        <v>0</v>
      </c>
      <c r="AH880" s="74">
        <f t="shared" si="105"/>
        <v>0</v>
      </c>
      <c r="AI880" s="72">
        <f t="shared" si="105"/>
        <v>0</v>
      </c>
      <c r="AJ880" s="73">
        <f t="shared" si="105"/>
        <v>0</v>
      </c>
      <c r="AK880" s="73">
        <f t="shared" si="105"/>
        <v>0</v>
      </c>
      <c r="AL880" s="73">
        <f t="shared" si="105"/>
        <v>0</v>
      </c>
      <c r="AM880" s="73">
        <f t="shared" si="105"/>
        <v>0</v>
      </c>
      <c r="AN880" s="73">
        <f t="shared" si="105"/>
        <v>0</v>
      </c>
      <c r="AO880" s="73">
        <f t="shared" si="105"/>
        <v>0</v>
      </c>
      <c r="AP880" s="74">
        <f t="shared" si="105"/>
        <v>1</v>
      </c>
      <c r="AQ880" s="74">
        <f t="shared" si="105"/>
        <v>0</v>
      </c>
      <c r="AR880" s="75">
        <f>SUM(AR14,AR23,AR32,AR41,AR50,AR59,AR68,AR77,AR86,AR95,AR104,AR113,AR122,AR131,AR140,AR149,AR158,AR167,AR176,AR185,AR194,AR203,AR212,AR221,AR230,AR239,AR248,AR257,AR266,AR275,AR284,AR293,AR302,AR311,AR320,AR329,AR338,AR347,AR356,AR365,AR374,AR383,AR392,AR401,AR410,AR419,AR428,AR437,AR446,AR455,AR464,AR473,AR482,AR491,AR500,AR509,AR518,AR527,AR536,AR545,AR554,AR563,AR572,AR581,AR590,AR599,AR608,AR617,AR626,AR635,AR644,AR653,AR662,AR671,AR680,AR689,AR698,AR707,AR716,AR725,AR734,AR743,AR752,AR761,AR770,AR779,AR788,AR797,AR806,AR815,AR824,AR833,AR842,AR851,AR860,AR869)</f>
        <v>0</v>
      </c>
      <c r="AS880" s="75">
        <f t="shared" ref="AS880:AW880" si="106">SUM(AS14,AS23,AS32,AS41,AS50,AS59,AS68,AS77,AS86,AS95,AS104,AS113,AS122,AS131,AS140,AS149,AS158,AS167,AS176,AS185,AS194,AS203,AS212,AS221,AS230,AS239,AS248,AS257,AS266,AS275,AS284,AS293,AS302,AS311,AS320,AS329,AS338,AS347,AS356,AS365,AS374,AS383,AS392,AS401,AS410,AS419,AS428,AS437,AS446,AS455,AS464,AS473,AS482,AS491,AS500,AS509,AS518,AS527,AS536,AS545,AS554,AS563,AS572,AS581,AS590,AS599,AS608,AS617,AS626,AS635,AS644,AS653,AS662,AS671,AS680,AS689,AS698,AS707,AS716,AS725,AS734,AS743,AS752,AS761,AS770,AS779,AS788,AS797,AS806,AS815,AS824,AS833,AS842,AS851,AS860,AS869)</f>
        <v>0</v>
      </c>
      <c r="AT880" s="75">
        <f t="shared" si="106"/>
        <v>1</v>
      </c>
      <c r="AU880" s="75">
        <f t="shared" si="106"/>
        <v>0</v>
      </c>
      <c r="AV880" s="75">
        <f t="shared" si="106"/>
        <v>0</v>
      </c>
      <c r="AW880" s="75">
        <f t="shared" si="106"/>
        <v>0</v>
      </c>
      <c r="AX880" s="72">
        <f t="shared" si="105"/>
        <v>0</v>
      </c>
      <c r="AY880" s="72">
        <f t="shared" si="105"/>
        <v>0</v>
      </c>
      <c r="AZ880" s="75">
        <f t="shared" si="105"/>
        <v>1</v>
      </c>
      <c r="BA880" s="75">
        <f t="shared" si="105"/>
        <v>0</v>
      </c>
    </row>
    <row r="881" spans="2:53" ht="15.75" x14ac:dyDescent="0.25">
      <c r="B881" s="2"/>
      <c r="C881" s="3" t="s">
        <v>24</v>
      </c>
      <c r="D881" s="4">
        <f t="shared" si="99"/>
        <v>801</v>
      </c>
      <c r="F881" s="2" t="s">
        <v>5</v>
      </c>
      <c r="G881" s="46">
        <f>SUM(G877:G880)</f>
        <v>5</v>
      </c>
      <c r="H881" s="46">
        <f t="shared" ref="H881:BA881" si="107">SUM(H877:H880)</f>
        <v>1</v>
      </c>
      <c r="I881" s="46">
        <f t="shared" si="107"/>
        <v>6</v>
      </c>
      <c r="J881" s="46">
        <f t="shared" si="107"/>
        <v>1</v>
      </c>
      <c r="K881" s="46">
        <f t="shared" si="107"/>
        <v>13</v>
      </c>
      <c r="L881" s="46">
        <f t="shared" si="107"/>
        <v>0</v>
      </c>
      <c r="M881" s="46">
        <f t="shared" si="107"/>
        <v>7</v>
      </c>
      <c r="N881" s="46">
        <f t="shared" si="107"/>
        <v>1</v>
      </c>
      <c r="O881" s="46">
        <f t="shared" si="107"/>
        <v>51</v>
      </c>
      <c r="P881" s="46">
        <f t="shared" si="107"/>
        <v>86</v>
      </c>
      <c r="Q881" s="46">
        <f t="shared" si="107"/>
        <v>34</v>
      </c>
      <c r="R881" s="46">
        <f t="shared" si="107"/>
        <v>46</v>
      </c>
      <c r="S881" s="46">
        <f t="shared" si="107"/>
        <v>96</v>
      </c>
      <c r="T881" s="46">
        <f t="shared" si="107"/>
        <v>58</v>
      </c>
      <c r="U881" s="46">
        <f t="shared" si="107"/>
        <v>52</v>
      </c>
      <c r="V881" s="46">
        <f t="shared" si="107"/>
        <v>55</v>
      </c>
      <c r="W881" s="46">
        <f t="shared" si="107"/>
        <v>37</v>
      </c>
      <c r="X881" s="46">
        <f t="shared" si="107"/>
        <v>252</v>
      </c>
      <c r="Y881" s="46">
        <f t="shared" si="107"/>
        <v>7</v>
      </c>
      <c r="Z881" s="46">
        <f>SUM(Z877:Z880)</f>
        <v>1</v>
      </c>
      <c r="AA881" s="46">
        <f t="shared" si="107"/>
        <v>4</v>
      </c>
      <c r="AB881" s="46">
        <f t="shared" si="107"/>
        <v>0</v>
      </c>
      <c r="AC881" s="46">
        <f t="shared" si="107"/>
        <v>7</v>
      </c>
      <c r="AD881" s="46">
        <f t="shared" si="107"/>
        <v>8</v>
      </c>
      <c r="AE881" s="46">
        <f t="shared" si="107"/>
        <v>0</v>
      </c>
      <c r="AF881" s="46">
        <f t="shared" si="107"/>
        <v>4</v>
      </c>
      <c r="AG881" s="46">
        <f t="shared" si="107"/>
        <v>58</v>
      </c>
      <c r="AH881" s="46">
        <f t="shared" si="107"/>
        <v>76</v>
      </c>
      <c r="AI881" s="46">
        <f t="shared" si="107"/>
        <v>26</v>
      </c>
      <c r="AJ881" s="46">
        <f t="shared" si="107"/>
        <v>52</v>
      </c>
      <c r="AK881" s="46">
        <f t="shared" si="107"/>
        <v>116</v>
      </c>
      <c r="AL881" s="46">
        <f t="shared" si="107"/>
        <v>65</v>
      </c>
      <c r="AM881" s="46">
        <f t="shared" si="107"/>
        <v>44</v>
      </c>
      <c r="AN881" s="46">
        <f t="shared" si="107"/>
        <v>37</v>
      </c>
      <c r="AO881" s="46">
        <f t="shared" si="107"/>
        <v>44</v>
      </c>
      <c r="AP881" s="46">
        <f t="shared" si="107"/>
        <v>252</v>
      </c>
      <c r="AQ881" s="46">
        <f t="shared" si="107"/>
        <v>14</v>
      </c>
      <c r="AR881" s="46">
        <f t="shared" si="107"/>
        <v>66</v>
      </c>
      <c r="AS881" s="46">
        <f t="shared" si="107"/>
        <v>2</v>
      </c>
      <c r="AT881" s="46">
        <f t="shared" si="107"/>
        <v>253</v>
      </c>
      <c r="AU881" s="46">
        <f t="shared" si="107"/>
        <v>6</v>
      </c>
      <c r="AV881" s="46">
        <f t="shared" si="107"/>
        <v>8</v>
      </c>
      <c r="AW881" s="46">
        <f t="shared" si="107"/>
        <v>22</v>
      </c>
      <c r="AX881" s="46">
        <f t="shared" si="107"/>
        <v>48</v>
      </c>
      <c r="AY881" s="46">
        <f t="shared" si="107"/>
        <v>29</v>
      </c>
      <c r="AZ881" s="46">
        <f t="shared" si="107"/>
        <v>117</v>
      </c>
      <c r="BA881" s="46">
        <f t="shared" si="107"/>
        <v>4</v>
      </c>
    </row>
    <row r="883" spans="2:53" x14ac:dyDescent="0.25">
      <c r="G883" s="46">
        <f>SUM(G881:X881)</f>
        <v>801</v>
      </c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>
        <f>SUM(Y881:AP881)</f>
        <v>801</v>
      </c>
      <c r="AP883" s="83" t="s">
        <v>76</v>
      </c>
      <c r="AQ883" s="84">
        <f>AR881/SUM(AQ881:AR881)</f>
        <v>0.82499999999999996</v>
      </c>
    </row>
  </sheetData>
  <mergeCells count="970">
    <mergeCell ref="G27:J27"/>
    <mergeCell ref="Y27:AB27"/>
    <mergeCell ref="G26:X26"/>
    <mergeCell ref="Y26:AP26"/>
    <mergeCell ref="K27:N27"/>
    <mergeCell ref="O27:P27"/>
    <mergeCell ref="Q27:X27"/>
    <mergeCell ref="AC27:AF27"/>
    <mergeCell ref="AG27:AH27"/>
    <mergeCell ref="AI27:AP27"/>
    <mergeCell ref="G783:J783"/>
    <mergeCell ref="Y783:AB783"/>
    <mergeCell ref="G782:X782"/>
    <mergeCell ref="Y782:AP782"/>
    <mergeCell ref="K783:N783"/>
    <mergeCell ref="O783:P783"/>
    <mergeCell ref="Q783:X783"/>
    <mergeCell ref="AC783:AF783"/>
    <mergeCell ref="AG783:AH783"/>
    <mergeCell ref="AI783:AP783"/>
    <mergeCell ref="G747:J747"/>
    <mergeCell ref="Y747:AB747"/>
    <mergeCell ref="G746:X746"/>
    <mergeCell ref="Y746:AP746"/>
    <mergeCell ref="K747:N747"/>
    <mergeCell ref="O747:P747"/>
    <mergeCell ref="Q747:X747"/>
    <mergeCell ref="AC747:AF747"/>
    <mergeCell ref="AG747:AH747"/>
    <mergeCell ref="AI747:AP747"/>
    <mergeCell ref="G711:J711"/>
    <mergeCell ref="Y711:AB711"/>
    <mergeCell ref="G710:X710"/>
    <mergeCell ref="Y710:AP710"/>
    <mergeCell ref="K711:N711"/>
    <mergeCell ref="O711:P711"/>
    <mergeCell ref="Q711:X711"/>
    <mergeCell ref="AC711:AF711"/>
    <mergeCell ref="AG711:AH711"/>
    <mergeCell ref="AI711:AP711"/>
    <mergeCell ref="G675:J675"/>
    <mergeCell ref="Y675:AB675"/>
    <mergeCell ref="G674:X674"/>
    <mergeCell ref="Y674:AP674"/>
    <mergeCell ref="K675:N675"/>
    <mergeCell ref="O675:P675"/>
    <mergeCell ref="Q675:X675"/>
    <mergeCell ref="AC675:AF675"/>
    <mergeCell ref="AG675:AH675"/>
    <mergeCell ref="AI675:AP675"/>
    <mergeCell ref="G639:J639"/>
    <mergeCell ref="Y639:AB639"/>
    <mergeCell ref="G638:X638"/>
    <mergeCell ref="Y638:AP638"/>
    <mergeCell ref="K639:N639"/>
    <mergeCell ref="O639:P639"/>
    <mergeCell ref="Q639:X639"/>
    <mergeCell ref="AC639:AF639"/>
    <mergeCell ref="AG639:AH639"/>
    <mergeCell ref="AI639:AP639"/>
    <mergeCell ref="G603:J603"/>
    <mergeCell ref="Y603:AB603"/>
    <mergeCell ref="G602:X602"/>
    <mergeCell ref="Y602:AP602"/>
    <mergeCell ref="K603:N603"/>
    <mergeCell ref="O603:P603"/>
    <mergeCell ref="Q603:X603"/>
    <mergeCell ref="AC603:AF603"/>
    <mergeCell ref="AG603:AH603"/>
    <mergeCell ref="AI603:AP603"/>
    <mergeCell ref="G567:J567"/>
    <mergeCell ref="Y567:AB567"/>
    <mergeCell ref="G566:X566"/>
    <mergeCell ref="Y566:AP566"/>
    <mergeCell ref="K567:N567"/>
    <mergeCell ref="O567:P567"/>
    <mergeCell ref="Q567:X567"/>
    <mergeCell ref="AC567:AF567"/>
    <mergeCell ref="AG567:AH567"/>
    <mergeCell ref="AI567:AP567"/>
    <mergeCell ref="G531:J531"/>
    <mergeCell ref="Y531:AB531"/>
    <mergeCell ref="G530:X530"/>
    <mergeCell ref="Y530:AP530"/>
    <mergeCell ref="K531:N531"/>
    <mergeCell ref="O531:P531"/>
    <mergeCell ref="Q531:X531"/>
    <mergeCell ref="AC531:AF531"/>
    <mergeCell ref="AG531:AH531"/>
    <mergeCell ref="AI531:AP531"/>
    <mergeCell ref="G495:J495"/>
    <mergeCell ref="Y495:AB495"/>
    <mergeCell ref="G494:X494"/>
    <mergeCell ref="Y494:AP494"/>
    <mergeCell ref="K495:N495"/>
    <mergeCell ref="O495:P495"/>
    <mergeCell ref="Q495:X495"/>
    <mergeCell ref="AC495:AF495"/>
    <mergeCell ref="AG495:AH495"/>
    <mergeCell ref="AI495:AP495"/>
    <mergeCell ref="G459:J459"/>
    <mergeCell ref="Y459:AB459"/>
    <mergeCell ref="G458:X458"/>
    <mergeCell ref="Y458:AP458"/>
    <mergeCell ref="K459:N459"/>
    <mergeCell ref="O459:P459"/>
    <mergeCell ref="Q459:X459"/>
    <mergeCell ref="AC459:AF459"/>
    <mergeCell ref="AG459:AH459"/>
    <mergeCell ref="AI459:AP459"/>
    <mergeCell ref="G423:J423"/>
    <mergeCell ref="Y423:AB423"/>
    <mergeCell ref="G422:X422"/>
    <mergeCell ref="Y422:AP422"/>
    <mergeCell ref="K423:N423"/>
    <mergeCell ref="O423:P423"/>
    <mergeCell ref="Q423:X423"/>
    <mergeCell ref="AC423:AF423"/>
    <mergeCell ref="AG423:AH423"/>
    <mergeCell ref="AI423:AP423"/>
    <mergeCell ref="G387:J387"/>
    <mergeCell ref="Y387:AB387"/>
    <mergeCell ref="G386:X386"/>
    <mergeCell ref="Y386:AP386"/>
    <mergeCell ref="K387:N387"/>
    <mergeCell ref="O387:P387"/>
    <mergeCell ref="Q387:X387"/>
    <mergeCell ref="AC387:AF387"/>
    <mergeCell ref="AG387:AH387"/>
    <mergeCell ref="AI387:AP387"/>
    <mergeCell ref="G351:J351"/>
    <mergeCell ref="Y351:AB351"/>
    <mergeCell ref="G350:X350"/>
    <mergeCell ref="Y350:AP350"/>
    <mergeCell ref="K351:N351"/>
    <mergeCell ref="O351:P351"/>
    <mergeCell ref="Q351:X351"/>
    <mergeCell ref="AC351:AF351"/>
    <mergeCell ref="AG351:AH351"/>
    <mergeCell ref="AI351:AP351"/>
    <mergeCell ref="G315:J315"/>
    <mergeCell ref="Y315:AB315"/>
    <mergeCell ref="G314:X314"/>
    <mergeCell ref="Y314:AP314"/>
    <mergeCell ref="K315:N315"/>
    <mergeCell ref="O315:P315"/>
    <mergeCell ref="Q315:X315"/>
    <mergeCell ref="AC315:AF315"/>
    <mergeCell ref="AG315:AH315"/>
    <mergeCell ref="AI315:AP315"/>
    <mergeCell ref="G279:J279"/>
    <mergeCell ref="Y279:AB279"/>
    <mergeCell ref="G278:X278"/>
    <mergeCell ref="Y278:AP278"/>
    <mergeCell ref="K279:N279"/>
    <mergeCell ref="O279:P279"/>
    <mergeCell ref="Q279:X279"/>
    <mergeCell ref="AC279:AF279"/>
    <mergeCell ref="AG279:AH279"/>
    <mergeCell ref="AI279:AP279"/>
    <mergeCell ref="G243:J243"/>
    <mergeCell ref="Y243:AB243"/>
    <mergeCell ref="G242:X242"/>
    <mergeCell ref="Y242:AP242"/>
    <mergeCell ref="K243:N243"/>
    <mergeCell ref="O243:P243"/>
    <mergeCell ref="Q243:X243"/>
    <mergeCell ref="AC243:AF243"/>
    <mergeCell ref="AG243:AH243"/>
    <mergeCell ref="AI243:AP243"/>
    <mergeCell ref="G161:X161"/>
    <mergeCell ref="Y161:AP161"/>
    <mergeCell ref="K162:N162"/>
    <mergeCell ref="O162:P162"/>
    <mergeCell ref="Q162:X162"/>
    <mergeCell ref="AC162:AF162"/>
    <mergeCell ref="G216:J216"/>
    <mergeCell ref="Y216:AB216"/>
    <mergeCell ref="G207:J207"/>
    <mergeCell ref="Y207:AB207"/>
    <mergeCell ref="G206:X206"/>
    <mergeCell ref="Y206:AP206"/>
    <mergeCell ref="K207:N207"/>
    <mergeCell ref="O207:P207"/>
    <mergeCell ref="Q207:X207"/>
    <mergeCell ref="AC207:AF207"/>
    <mergeCell ref="AG207:AH207"/>
    <mergeCell ref="AI207:AP207"/>
    <mergeCell ref="G198:J198"/>
    <mergeCell ref="Y198:AB198"/>
    <mergeCell ref="G189:J189"/>
    <mergeCell ref="Y189:AB189"/>
    <mergeCell ref="K189:N189"/>
    <mergeCell ref="O189:P189"/>
    <mergeCell ref="G153:J153"/>
    <mergeCell ref="Y153:AB153"/>
    <mergeCell ref="G152:X152"/>
    <mergeCell ref="Y152:AP152"/>
    <mergeCell ref="K153:N153"/>
    <mergeCell ref="O153:P153"/>
    <mergeCell ref="Q153:X153"/>
    <mergeCell ref="AC153:AF153"/>
    <mergeCell ref="AG153:AH153"/>
    <mergeCell ref="AI153:AP153"/>
    <mergeCell ref="G63:J63"/>
    <mergeCell ref="Y63:AB63"/>
    <mergeCell ref="G54:J54"/>
    <mergeCell ref="Y54:AB54"/>
    <mergeCell ref="G62:X62"/>
    <mergeCell ref="Y62:AP62"/>
    <mergeCell ref="K63:N63"/>
    <mergeCell ref="O63:P63"/>
    <mergeCell ref="Q63:X63"/>
    <mergeCell ref="AC63:AF63"/>
    <mergeCell ref="AG63:AH63"/>
    <mergeCell ref="AI63:AP63"/>
    <mergeCell ref="G819:J819"/>
    <mergeCell ref="Y819:AB819"/>
    <mergeCell ref="G810:J810"/>
    <mergeCell ref="Y810:AB810"/>
    <mergeCell ref="G818:X818"/>
    <mergeCell ref="Y818:AP818"/>
    <mergeCell ref="K819:N819"/>
    <mergeCell ref="O819:P819"/>
    <mergeCell ref="Q819:X819"/>
    <mergeCell ref="AC819:AF819"/>
    <mergeCell ref="AG819:AH819"/>
    <mergeCell ref="AI819:AP819"/>
    <mergeCell ref="AI9:AP9"/>
    <mergeCell ref="G8:X8"/>
    <mergeCell ref="Y8:AP8"/>
    <mergeCell ref="G17:X17"/>
    <mergeCell ref="Y17:AP17"/>
    <mergeCell ref="K18:N18"/>
    <mergeCell ref="O18:P18"/>
    <mergeCell ref="Q18:X18"/>
    <mergeCell ref="AC18:AF18"/>
    <mergeCell ref="AG18:AH18"/>
    <mergeCell ref="AI18:AP18"/>
    <mergeCell ref="G18:J18"/>
    <mergeCell ref="Y18:AB18"/>
    <mergeCell ref="Y9:AB9"/>
    <mergeCell ref="G9:J9"/>
    <mergeCell ref="K9:N9"/>
    <mergeCell ref="Q9:X9"/>
    <mergeCell ref="O9:P9"/>
    <mergeCell ref="AC9:AF9"/>
    <mergeCell ref="AG9:AH9"/>
    <mergeCell ref="G35:X35"/>
    <mergeCell ref="Y35:AP35"/>
    <mergeCell ref="K36:N36"/>
    <mergeCell ref="O36:P36"/>
    <mergeCell ref="Q36:X36"/>
    <mergeCell ref="AC36:AF36"/>
    <mergeCell ref="AG36:AH36"/>
    <mergeCell ref="AI36:AP36"/>
    <mergeCell ref="G44:X44"/>
    <mergeCell ref="Y44:AP44"/>
    <mergeCell ref="G36:J36"/>
    <mergeCell ref="Y36:AB36"/>
    <mergeCell ref="K45:N45"/>
    <mergeCell ref="O45:P45"/>
    <mergeCell ref="Q45:X45"/>
    <mergeCell ref="AC45:AF45"/>
    <mergeCell ref="AG45:AH45"/>
    <mergeCell ref="AI45:AP45"/>
    <mergeCell ref="G53:X53"/>
    <mergeCell ref="Y53:AP53"/>
    <mergeCell ref="K54:N54"/>
    <mergeCell ref="O54:P54"/>
    <mergeCell ref="Q54:X54"/>
    <mergeCell ref="AC54:AF54"/>
    <mergeCell ref="AG54:AH54"/>
    <mergeCell ref="AI54:AP54"/>
    <mergeCell ref="G45:J45"/>
    <mergeCell ref="Y45:AB45"/>
    <mergeCell ref="G71:X71"/>
    <mergeCell ref="Y71:AP71"/>
    <mergeCell ref="K72:N72"/>
    <mergeCell ref="O72:P72"/>
    <mergeCell ref="Q72:X72"/>
    <mergeCell ref="AC72:AF72"/>
    <mergeCell ref="AG72:AH72"/>
    <mergeCell ref="AI72:AP72"/>
    <mergeCell ref="G80:X80"/>
    <mergeCell ref="Y80:AP80"/>
    <mergeCell ref="G72:J72"/>
    <mergeCell ref="Y72:AB72"/>
    <mergeCell ref="K81:N81"/>
    <mergeCell ref="O81:P81"/>
    <mergeCell ref="Q81:X81"/>
    <mergeCell ref="AC81:AF81"/>
    <mergeCell ref="AG81:AH81"/>
    <mergeCell ref="AI81:AP81"/>
    <mergeCell ref="G89:X89"/>
    <mergeCell ref="Y89:AP89"/>
    <mergeCell ref="K90:N90"/>
    <mergeCell ref="O90:P90"/>
    <mergeCell ref="Q90:X90"/>
    <mergeCell ref="AC90:AF90"/>
    <mergeCell ref="AG90:AH90"/>
    <mergeCell ref="AI90:AP90"/>
    <mergeCell ref="G90:J90"/>
    <mergeCell ref="Y90:AB90"/>
    <mergeCell ref="G81:J81"/>
    <mergeCell ref="Y81:AB81"/>
    <mergeCell ref="G98:X98"/>
    <mergeCell ref="Y98:AP98"/>
    <mergeCell ref="K99:N99"/>
    <mergeCell ref="O99:P99"/>
    <mergeCell ref="Q99:X99"/>
    <mergeCell ref="AC99:AF99"/>
    <mergeCell ref="AG99:AH99"/>
    <mergeCell ref="AI99:AP99"/>
    <mergeCell ref="G107:X107"/>
    <mergeCell ref="Y107:AP107"/>
    <mergeCell ref="G99:J99"/>
    <mergeCell ref="Y99:AB99"/>
    <mergeCell ref="K108:N108"/>
    <mergeCell ref="O108:P108"/>
    <mergeCell ref="Q108:X108"/>
    <mergeCell ref="AC108:AF108"/>
    <mergeCell ref="AG108:AH108"/>
    <mergeCell ref="AI108:AP108"/>
    <mergeCell ref="G116:X116"/>
    <mergeCell ref="Y116:AP116"/>
    <mergeCell ref="K117:N117"/>
    <mergeCell ref="O117:P117"/>
    <mergeCell ref="Q117:X117"/>
    <mergeCell ref="AC117:AF117"/>
    <mergeCell ref="AG117:AH117"/>
    <mergeCell ref="AI117:AP117"/>
    <mergeCell ref="G108:J108"/>
    <mergeCell ref="Y108:AB108"/>
    <mergeCell ref="G117:J117"/>
    <mergeCell ref="Y117:AB117"/>
    <mergeCell ref="G125:X125"/>
    <mergeCell ref="Y125:AP125"/>
    <mergeCell ref="K126:N126"/>
    <mergeCell ref="O126:P126"/>
    <mergeCell ref="Q126:X126"/>
    <mergeCell ref="AC126:AF126"/>
    <mergeCell ref="AG126:AH126"/>
    <mergeCell ref="AI126:AP126"/>
    <mergeCell ref="G134:X134"/>
    <mergeCell ref="Y134:AP134"/>
    <mergeCell ref="G126:J126"/>
    <mergeCell ref="Y126:AB126"/>
    <mergeCell ref="AI135:AP135"/>
    <mergeCell ref="G143:X143"/>
    <mergeCell ref="Y143:AP143"/>
    <mergeCell ref="K144:N144"/>
    <mergeCell ref="O144:P144"/>
    <mergeCell ref="Q144:X144"/>
    <mergeCell ref="AC144:AF144"/>
    <mergeCell ref="AG144:AH144"/>
    <mergeCell ref="AI144:AP144"/>
    <mergeCell ref="G144:J144"/>
    <mergeCell ref="Y144:AB144"/>
    <mergeCell ref="G135:J135"/>
    <mergeCell ref="Y135:AB135"/>
    <mergeCell ref="K135:N135"/>
    <mergeCell ref="O135:P135"/>
    <mergeCell ref="Q135:X135"/>
    <mergeCell ref="AC135:AF135"/>
    <mergeCell ref="AG135:AH135"/>
    <mergeCell ref="AG162:AH162"/>
    <mergeCell ref="AI162:AP162"/>
    <mergeCell ref="G170:X170"/>
    <mergeCell ref="Y170:AP170"/>
    <mergeCell ref="K171:N171"/>
    <mergeCell ref="O171:P171"/>
    <mergeCell ref="Q171:X171"/>
    <mergeCell ref="AC171:AF171"/>
    <mergeCell ref="AG171:AH171"/>
    <mergeCell ref="AI171:AP171"/>
    <mergeCell ref="G171:J171"/>
    <mergeCell ref="Y171:AB171"/>
    <mergeCell ref="G162:J162"/>
    <mergeCell ref="Y162:AB162"/>
    <mergeCell ref="G179:X179"/>
    <mergeCell ref="Y179:AP179"/>
    <mergeCell ref="K180:N180"/>
    <mergeCell ref="O180:P180"/>
    <mergeCell ref="Q180:X180"/>
    <mergeCell ref="AC180:AF180"/>
    <mergeCell ref="AG180:AH180"/>
    <mergeCell ref="AI180:AP180"/>
    <mergeCell ref="G188:X188"/>
    <mergeCell ref="Y188:AP188"/>
    <mergeCell ref="G180:J180"/>
    <mergeCell ref="Y180:AB180"/>
    <mergeCell ref="AI189:AP189"/>
    <mergeCell ref="G197:X197"/>
    <mergeCell ref="Y197:AP197"/>
    <mergeCell ref="K198:N198"/>
    <mergeCell ref="O198:P198"/>
    <mergeCell ref="Q198:X198"/>
    <mergeCell ref="AC198:AF198"/>
    <mergeCell ref="AG198:AH198"/>
    <mergeCell ref="AI198:AP198"/>
    <mergeCell ref="Q189:X189"/>
    <mergeCell ref="AC189:AF189"/>
    <mergeCell ref="AG189:AH189"/>
    <mergeCell ref="G215:X215"/>
    <mergeCell ref="Y215:AP215"/>
    <mergeCell ref="K216:N216"/>
    <mergeCell ref="O216:P216"/>
    <mergeCell ref="Q216:X216"/>
    <mergeCell ref="AC216:AF216"/>
    <mergeCell ref="AG216:AH216"/>
    <mergeCell ref="AI216:AP216"/>
    <mergeCell ref="G224:X224"/>
    <mergeCell ref="Y224:AP224"/>
    <mergeCell ref="AI225:AP225"/>
    <mergeCell ref="G233:X233"/>
    <mergeCell ref="Y233:AP233"/>
    <mergeCell ref="K234:N234"/>
    <mergeCell ref="O234:P234"/>
    <mergeCell ref="Q234:X234"/>
    <mergeCell ref="AC234:AF234"/>
    <mergeCell ref="AG234:AH234"/>
    <mergeCell ref="AI234:AP234"/>
    <mergeCell ref="G234:J234"/>
    <mergeCell ref="Y234:AB234"/>
    <mergeCell ref="G225:J225"/>
    <mergeCell ref="Y225:AB225"/>
    <mergeCell ref="K225:N225"/>
    <mergeCell ref="O225:P225"/>
    <mergeCell ref="Q225:X225"/>
    <mergeCell ref="AC225:AF225"/>
    <mergeCell ref="AG225:AH225"/>
    <mergeCell ref="G251:X251"/>
    <mergeCell ref="Y251:AP251"/>
    <mergeCell ref="K252:N252"/>
    <mergeCell ref="O252:P252"/>
    <mergeCell ref="Q252:X252"/>
    <mergeCell ref="AC252:AF252"/>
    <mergeCell ref="AG252:AH252"/>
    <mergeCell ref="AI252:AP252"/>
    <mergeCell ref="G260:X260"/>
    <mergeCell ref="Y260:AP260"/>
    <mergeCell ref="G252:J252"/>
    <mergeCell ref="Y252:AB252"/>
    <mergeCell ref="AI261:AP261"/>
    <mergeCell ref="G269:X269"/>
    <mergeCell ref="Y269:AP269"/>
    <mergeCell ref="K270:N270"/>
    <mergeCell ref="O270:P270"/>
    <mergeCell ref="Q270:X270"/>
    <mergeCell ref="AC270:AF270"/>
    <mergeCell ref="AG270:AH270"/>
    <mergeCell ref="AI270:AP270"/>
    <mergeCell ref="G270:J270"/>
    <mergeCell ref="Y270:AB270"/>
    <mergeCell ref="G261:J261"/>
    <mergeCell ref="Y261:AB261"/>
    <mergeCell ref="K261:N261"/>
    <mergeCell ref="O261:P261"/>
    <mergeCell ref="Q261:X261"/>
    <mergeCell ref="AC261:AF261"/>
    <mergeCell ref="AG261:AH261"/>
    <mergeCell ref="G287:X287"/>
    <mergeCell ref="Y287:AP287"/>
    <mergeCell ref="K288:N288"/>
    <mergeCell ref="O288:P288"/>
    <mergeCell ref="Q288:X288"/>
    <mergeCell ref="AC288:AF288"/>
    <mergeCell ref="AG288:AH288"/>
    <mergeCell ref="AI288:AP288"/>
    <mergeCell ref="G296:X296"/>
    <mergeCell ref="Y296:AP296"/>
    <mergeCell ref="G288:J288"/>
    <mergeCell ref="Y288:AB288"/>
    <mergeCell ref="AI297:AP297"/>
    <mergeCell ref="G305:X305"/>
    <mergeCell ref="Y305:AP305"/>
    <mergeCell ref="K306:N306"/>
    <mergeCell ref="O306:P306"/>
    <mergeCell ref="Q306:X306"/>
    <mergeCell ref="AC306:AF306"/>
    <mergeCell ref="AG306:AH306"/>
    <mergeCell ref="AI306:AP306"/>
    <mergeCell ref="G306:J306"/>
    <mergeCell ref="Y306:AB306"/>
    <mergeCell ref="G297:J297"/>
    <mergeCell ref="Y297:AB297"/>
    <mergeCell ref="K297:N297"/>
    <mergeCell ref="O297:P297"/>
    <mergeCell ref="Q297:X297"/>
    <mergeCell ref="AC297:AF297"/>
    <mergeCell ref="AG297:AH297"/>
    <mergeCell ref="G323:X323"/>
    <mergeCell ref="Y323:AP323"/>
    <mergeCell ref="K324:N324"/>
    <mergeCell ref="O324:P324"/>
    <mergeCell ref="Q324:X324"/>
    <mergeCell ref="AC324:AF324"/>
    <mergeCell ref="AG324:AH324"/>
    <mergeCell ref="AI324:AP324"/>
    <mergeCell ref="G332:X332"/>
    <mergeCell ref="Y332:AP332"/>
    <mergeCell ref="G324:J324"/>
    <mergeCell ref="Y324:AB324"/>
    <mergeCell ref="AI333:AP333"/>
    <mergeCell ref="G341:X341"/>
    <mergeCell ref="Y341:AP341"/>
    <mergeCell ref="K342:N342"/>
    <mergeCell ref="O342:P342"/>
    <mergeCell ref="Q342:X342"/>
    <mergeCell ref="AC342:AF342"/>
    <mergeCell ref="AG342:AH342"/>
    <mergeCell ref="AI342:AP342"/>
    <mergeCell ref="G342:J342"/>
    <mergeCell ref="Y342:AB342"/>
    <mergeCell ref="G333:J333"/>
    <mergeCell ref="Y333:AB333"/>
    <mergeCell ref="K333:N333"/>
    <mergeCell ref="O333:P333"/>
    <mergeCell ref="Q333:X333"/>
    <mergeCell ref="AC333:AF333"/>
    <mergeCell ref="AG333:AH333"/>
    <mergeCell ref="G359:X359"/>
    <mergeCell ref="Y359:AP359"/>
    <mergeCell ref="K360:N360"/>
    <mergeCell ref="O360:P360"/>
    <mergeCell ref="Q360:X360"/>
    <mergeCell ref="AC360:AF360"/>
    <mergeCell ref="AG360:AH360"/>
    <mergeCell ref="AI360:AP360"/>
    <mergeCell ref="G368:X368"/>
    <mergeCell ref="Y368:AP368"/>
    <mergeCell ref="G360:J360"/>
    <mergeCell ref="Y360:AB360"/>
    <mergeCell ref="AI369:AP369"/>
    <mergeCell ref="G377:X377"/>
    <mergeCell ref="Y377:AP377"/>
    <mergeCell ref="K378:N378"/>
    <mergeCell ref="O378:P378"/>
    <mergeCell ref="Q378:X378"/>
    <mergeCell ref="AC378:AF378"/>
    <mergeCell ref="AG378:AH378"/>
    <mergeCell ref="AI378:AP378"/>
    <mergeCell ref="G378:J378"/>
    <mergeCell ref="Y378:AB378"/>
    <mergeCell ref="G369:J369"/>
    <mergeCell ref="Y369:AB369"/>
    <mergeCell ref="K369:N369"/>
    <mergeCell ref="O369:P369"/>
    <mergeCell ref="Q369:X369"/>
    <mergeCell ref="AC369:AF369"/>
    <mergeCell ref="AG369:AH369"/>
    <mergeCell ref="G395:X395"/>
    <mergeCell ref="Y395:AP395"/>
    <mergeCell ref="K396:N396"/>
    <mergeCell ref="O396:P396"/>
    <mergeCell ref="Q396:X396"/>
    <mergeCell ref="AC396:AF396"/>
    <mergeCell ref="AG396:AH396"/>
    <mergeCell ref="AI396:AP396"/>
    <mergeCell ref="G404:X404"/>
    <mergeCell ref="Y404:AP404"/>
    <mergeCell ref="G396:J396"/>
    <mergeCell ref="Y396:AB396"/>
    <mergeCell ref="AI405:AP405"/>
    <mergeCell ref="G413:X413"/>
    <mergeCell ref="Y413:AP413"/>
    <mergeCell ref="K414:N414"/>
    <mergeCell ref="O414:P414"/>
    <mergeCell ref="Q414:X414"/>
    <mergeCell ref="AC414:AF414"/>
    <mergeCell ref="AG414:AH414"/>
    <mergeCell ref="AI414:AP414"/>
    <mergeCell ref="G414:J414"/>
    <mergeCell ref="Y414:AB414"/>
    <mergeCell ref="G405:J405"/>
    <mergeCell ref="Y405:AB405"/>
    <mergeCell ref="K405:N405"/>
    <mergeCell ref="O405:P405"/>
    <mergeCell ref="Q405:X405"/>
    <mergeCell ref="AC405:AF405"/>
    <mergeCell ref="AG405:AH405"/>
    <mergeCell ref="G431:X431"/>
    <mergeCell ref="Y431:AP431"/>
    <mergeCell ref="K432:N432"/>
    <mergeCell ref="O432:P432"/>
    <mergeCell ref="Q432:X432"/>
    <mergeCell ref="AC432:AF432"/>
    <mergeCell ref="AG432:AH432"/>
    <mergeCell ref="AI432:AP432"/>
    <mergeCell ref="G440:X440"/>
    <mergeCell ref="Y440:AP440"/>
    <mergeCell ref="G432:J432"/>
    <mergeCell ref="Y432:AB432"/>
    <mergeCell ref="AI441:AP441"/>
    <mergeCell ref="G449:X449"/>
    <mergeCell ref="Y449:AP449"/>
    <mergeCell ref="K450:N450"/>
    <mergeCell ref="O450:P450"/>
    <mergeCell ref="Q450:X450"/>
    <mergeCell ref="AC450:AF450"/>
    <mergeCell ref="AG450:AH450"/>
    <mergeCell ref="AI450:AP450"/>
    <mergeCell ref="G450:J450"/>
    <mergeCell ref="Y450:AB450"/>
    <mergeCell ref="G441:J441"/>
    <mergeCell ref="Y441:AB441"/>
    <mergeCell ref="K441:N441"/>
    <mergeCell ref="O441:P441"/>
    <mergeCell ref="Q441:X441"/>
    <mergeCell ref="AC441:AF441"/>
    <mergeCell ref="AG441:AH441"/>
    <mergeCell ref="G467:X467"/>
    <mergeCell ref="Y467:AP467"/>
    <mergeCell ref="K468:N468"/>
    <mergeCell ref="O468:P468"/>
    <mergeCell ref="Q468:X468"/>
    <mergeCell ref="AC468:AF468"/>
    <mergeCell ref="AG468:AH468"/>
    <mergeCell ref="AI468:AP468"/>
    <mergeCell ref="G476:X476"/>
    <mergeCell ref="Y476:AP476"/>
    <mergeCell ref="G468:J468"/>
    <mergeCell ref="Y468:AB468"/>
    <mergeCell ref="AI477:AP477"/>
    <mergeCell ref="G485:X485"/>
    <mergeCell ref="Y485:AP485"/>
    <mergeCell ref="K486:N486"/>
    <mergeCell ref="O486:P486"/>
    <mergeCell ref="Q486:X486"/>
    <mergeCell ref="AC486:AF486"/>
    <mergeCell ref="AG486:AH486"/>
    <mergeCell ref="AI486:AP486"/>
    <mergeCell ref="G486:J486"/>
    <mergeCell ref="Y486:AB486"/>
    <mergeCell ref="G477:J477"/>
    <mergeCell ref="Y477:AB477"/>
    <mergeCell ref="K477:N477"/>
    <mergeCell ref="O477:P477"/>
    <mergeCell ref="Q477:X477"/>
    <mergeCell ref="AC477:AF477"/>
    <mergeCell ref="AG477:AH477"/>
    <mergeCell ref="G503:X503"/>
    <mergeCell ref="Y503:AP503"/>
    <mergeCell ref="K504:N504"/>
    <mergeCell ref="O504:P504"/>
    <mergeCell ref="Q504:X504"/>
    <mergeCell ref="AC504:AF504"/>
    <mergeCell ref="AG504:AH504"/>
    <mergeCell ref="AI504:AP504"/>
    <mergeCell ref="G512:X512"/>
    <mergeCell ref="Y512:AP512"/>
    <mergeCell ref="G504:J504"/>
    <mergeCell ref="Y504:AB504"/>
    <mergeCell ref="AI513:AP513"/>
    <mergeCell ref="G521:X521"/>
    <mergeCell ref="Y521:AP521"/>
    <mergeCell ref="K522:N522"/>
    <mergeCell ref="O522:P522"/>
    <mergeCell ref="Q522:X522"/>
    <mergeCell ref="AC522:AF522"/>
    <mergeCell ref="AG522:AH522"/>
    <mergeCell ref="AI522:AP522"/>
    <mergeCell ref="G522:J522"/>
    <mergeCell ref="Y522:AB522"/>
    <mergeCell ref="G513:J513"/>
    <mergeCell ref="Y513:AB513"/>
    <mergeCell ref="K513:N513"/>
    <mergeCell ref="O513:P513"/>
    <mergeCell ref="Q513:X513"/>
    <mergeCell ref="AC513:AF513"/>
    <mergeCell ref="AG513:AH513"/>
    <mergeCell ref="G539:X539"/>
    <mergeCell ref="Y539:AP539"/>
    <mergeCell ref="K540:N540"/>
    <mergeCell ref="O540:P540"/>
    <mergeCell ref="Q540:X540"/>
    <mergeCell ref="AC540:AF540"/>
    <mergeCell ref="AG540:AH540"/>
    <mergeCell ref="AI540:AP540"/>
    <mergeCell ref="G548:X548"/>
    <mergeCell ref="Y548:AP548"/>
    <mergeCell ref="G540:J540"/>
    <mergeCell ref="Y540:AB540"/>
    <mergeCell ref="AI549:AP549"/>
    <mergeCell ref="G557:X557"/>
    <mergeCell ref="Y557:AP557"/>
    <mergeCell ref="K558:N558"/>
    <mergeCell ref="O558:P558"/>
    <mergeCell ref="Q558:X558"/>
    <mergeCell ref="AC558:AF558"/>
    <mergeCell ref="AG558:AH558"/>
    <mergeCell ref="AI558:AP558"/>
    <mergeCell ref="G558:J558"/>
    <mergeCell ref="Y558:AB558"/>
    <mergeCell ref="G549:J549"/>
    <mergeCell ref="Y549:AB549"/>
    <mergeCell ref="K549:N549"/>
    <mergeCell ref="O549:P549"/>
    <mergeCell ref="Q549:X549"/>
    <mergeCell ref="AC549:AF549"/>
    <mergeCell ref="AG549:AH549"/>
    <mergeCell ref="G575:X575"/>
    <mergeCell ref="Y575:AP575"/>
    <mergeCell ref="K576:N576"/>
    <mergeCell ref="O576:P576"/>
    <mergeCell ref="Q576:X576"/>
    <mergeCell ref="AC576:AF576"/>
    <mergeCell ref="AG576:AH576"/>
    <mergeCell ref="AI576:AP576"/>
    <mergeCell ref="G584:X584"/>
    <mergeCell ref="Y584:AP584"/>
    <mergeCell ref="G576:J576"/>
    <mergeCell ref="Y576:AB576"/>
    <mergeCell ref="AI585:AP585"/>
    <mergeCell ref="G593:X593"/>
    <mergeCell ref="Y593:AP593"/>
    <mergeCell ref="K594:N594"/>
    <mergeCell ref="O594:P594"/>
    <mergeCell ref="Q594:X594"/>
    <mergeCell ref="AC594:AF594"/>
    <mergeCell ref="AG594:AH594"/>
    <mergeCell ref="AI594:AP594"/>
    <mergeCell ref="G594:J594"/>
    <mergeCell ref="Y594:AB594"/>
    <mergeCell ref="G585:J585"/>
    <mergeCell ref="Y585:AB585"/>
    <mergeCell ref="K585:N585"/>
    <mergeCell ref="O585:P585"/>
    <mergeCell ref="Q585:X585"/>
    <mergeCell ref="AC585:AF585"/>
    <mergeCell ref="AG585:AH585"/>
    <mergeCell ref="G611:X611"/>
    <mergeCell ref="Y611:AP611"/>
    <mergeCell ref="K612:N612"/>
    <mergeCell ref="O612:P612"/>
    <mergeCell ref="Q612:X612"/>
    <mergeCell ref="AC612:AF612"/>
    <mergeCell ref="AG612:AH612"/>
    <mergeCell ref="AI612:AP612"/>
    <mergeCell ref="G620:X620"/>
    <mergeCell ref="Y620:AP620"/>
    <mergeCell ref="G612:J612"/>
    <mergeCell ref="Y612:AB612"/>
    <mergeCell ref="AI621:AP621"/>
    <mergeCell ref="G629:X629"/>
    <mergeCell ref="Y629:AP629"/>
    <mergeCell ref="K630:N630"/>
    <mergeCell ref="O630:P630"/>
    <mergeCell ref="Q630:X630"/>
    <mergeCell ref="AC630:AF630"/>
    <mergeCell ref="AG630:AH630"/>
    <mergeCell ref="AI630:AP630"/>
    <mergeCell ref="G630:J630"/>
    <mergeCell ref="Y630:AB630"/>
    <mergeCell ref="G621:J621"/>
    <mergeCell ref="Y621:AB621"/>
    <mergeCell ref="K621:N621"/>
    <mergeCell ref="O621:P621"/>
    <mergeCell ref="Q621:X621"/>
    <mergeCell ref="AC621:AF621"/>
    <mergeCell ref="AG621:AH621"/>
    <mergeCell ref="G647:X647"/>
    <mergeCell ref="Y647:AP647"/>
    <mergeCell ref="K648:N648"/>
    <mergeCell ref="O648:P648"/>
    <mergeCell ref="Q648:X648"/>
    <mergeCell ref="AC648:AF648"/>
    <mergeCell ref="AG648:AH648"/>
    <mergeCell ref="AI648:AP648"/>
    <mergeCell ref="G656:X656"/>
    <mergeCell ref="Y656:AP656"/>
    <mergeCell ref="G648:J648"/>
    <mergeCell ref="Y648:AB648"/>
    <mergeCell ref="AI657:AP657"/>
    <mergeCell ref="G665:X665"/>
    <mergeCell ref="Y665:AP665"/>
    <mergeCell ref="K666:N666"/>
    <mergeCell ref="O666:P666"/>
    <mergeCell ref="Q666:X666"/>
    <mergeCell ref="AC666:AF666"/>
    <mergeCell ref="AG666:AH666"/>
    <mergeCell ref="AI666:AP666"/>
    <mergeCell ref="G666:J666"/>
    <mergeCell ref="Y666:AB666"/>
    <mergeCell ref="G657:J657"/>
    <mergeCell ref="Y657:AB657"/>
    <mergeCell ref="K657:N657"/>
    <mergeCell ref="O657:P657"/>
    <mergeCell ref="Q657:X657"/>
    <mergeCell ref="AC657:AF657"/>
    <mergeCell ref="AG657:AH657"/>
    <mergeCell ref="G683:X683"/>
    <mergeCell ref="Y683:AP683"/>
    <mergeCell ref="K684:N684"/>
    <mergeCell ref="O684:P684"/>
    <mergeCell ref="Q684:X684"/>
    <mergeCell ref="AC684:AF684"/>
    <mergeCell ref="AG684:AH684"/>
    <mergeCell ref="AI684:AP684"/>
    <mergeCell ref="G692:X692"/>
    <mergeCell ref="Y692:AP692"/>
    <mergeCell ref="G684:J684"/>
    <mergeCell ref="Y684:AB684"/>
    <mergeCell ref="AI693:AP693"/>
    <mergeCell ref="G701:X701"/>
    <mergeCell ref="Y701:AP701"/>
    <mergeCell ref="K702:N702"/>
    <mergeCell ref="O702:P702"/>
    <mergeCell ref="Q702:X702"/>
    <mergeCell ref="AC702:AF702"/>
    <mergeCell ref="AG702:AH702"/>
    <mergeCell ref="AI702:AP702"/>
    <mergeCell ref="G702:J702"/>
    <mergeCell ref="Y702:AB702"/>
    <mergeCell ref="G693:J693"/>
    <mergeCell ref="Y693:AB693"/>
    <mergeCell ref="K693:N693"/>
    <mergeCell ref="O693:P693"/>
    <mergeCell ref="Q693:X693"/>
    <mergeCell ref="AC693:AF693"/>
    <mergeCell ref="AG693:AH693"/>
    <mergeCell ref="G719:X719"/>
    <mergeCell ref="Y719:AP719"/>
    <mergeCell ref="K720:N720"/>
    <mergeCell ref="O720:P720"/>
    <mergeCell ref="Q720:X720"/>
    <mergeCell ref="AC720:AF720"/>
    <mergeCell ref="AG720:AH720"/>
    <mergeCell ref="AI720:AP720"/>
    <mergeCell ref="G728:X728"/>
    <mergeCell ref="Y728:AP728"/>
    <mergeCell ref="G720:J720"/>
    <mergeCell ref="Y720:AB720"/>
    <mergeCell ref="AI729:AP729"/>
    <mergeCell ref="G737:X737"/>
    <mergeCell ref="Y737:AP737"/>
    <mergeCell ref="K738:N738"/>
    <mergeCell ref="O738:P738"/>
    <mergeCell ref="Q738:X738"/>
    <mergeCell ref="AC738:AF738"/>
    <mergeCell ref="AG738:AH738"/>
    <mergeCell ref="AI738:AP738"/>
    <mergeCell ref="G738:J738"/>
    <mergeCell ref="Y738:AB738"/>
    <mergeCell ref="G729:J729"/>
    <mergeCell ref="Y729:AB729"/>
    <mergeCell ref="K729:N729"/>
    <mergeCell ref="O729:P729"/>
    <mergeCell ref="Q729:X729"/>
    <mergeCell ref="AC729:AF729"/>
    <mergeCell ref="AG729:AH729"/>
    <mergeCell ref="G755:X755"/>
    <mergeCell ref="Y755:AP755"/>
    <mergeCell ref="K756:N756"/>
    <mergeCell ref="O756:P756"/>
    <mergeCell ref="Q756:X756"/>
    <mergeCell ref="AC756:AF756"/>
    <mergeCell ref="AG756:AH756"/>
    <mergeCell ref="AI756:AP756"/>
    <mergeCell ref="G764:X764"/>
    <mergeCell ref="Y764:AP764"/>
    <mergeCell ref="G756:J756"/>
    <mergeCell ref="Y756:AB756"/>
    <mergeCell ref="AI765:AP765"/>
    <mergeCell ref="G773:X773"/>
    <mergeCell ref="Y773:AP773"/>
    <mergeCell ref="K774:N774"/>
    <mergeCell ref="O774:P774"/>
    <mergeCell ref="Q774:X774"/>
    <mergeCell ref="AC774:AF774"/>
    <mergeCell ref="AG774:AH774"/>
    <mergeCell ref="AI774:AP774"/>
    <mergeCell ref="G774:J774"/>
    <mergeCell ref="Y774:AB774"/>
    <mergeCell ref="G765:J765"/>
    <mergeCell ref="Y765:AB765"/>
    <mergeCell ref="K765:N765"/>
    <mergeCell ref="O765:P765"/>
    <mergeCell ref="Q765:X765"/>
    <mergeCell ref="AC765:AF765"/>
    <mergeCell ref="AG765:AH765"/>
    <mergeCell ref="G791:X791"/>
    <mergeCell ref="Y791:AP791"/>
    <mergeCell ref="K792:N792"/>
    <mergeCell ref="O792:P792"/>
    <mergeCell ref="Q792:X792"/>
    <mergeCell ref="AC792:AF792"/>
    <mergeCell ref="AG792:AH792"/>
    <mergeCell ref="AI792:AP792"/>
    <mergeCell ref="G800:X800"/>
    <mergeCell ref="Y800:AP800"/>
    <mergeCell ref="G792:J792"/>
    <mergeCell ref="Y792:AB792"/>
    <mergeCell ref="K801:N801"/>
    <mergeCell ref="O801:P801"/>
    <mergeCell ref="Q801:X801"/>
    <mergeCell ref="AC801:AF801"/>
    <mergeCell ref="AG801:AH801"/>
    <mergeCell ref="AI801:AP801"/>
    <mergeCell ref="G809:X809"/>
    <mergeCell ref="Y809:AP809"/>
    <mergeCell ref="K810:N810"/>
    <mergeCell ref="O810:P810"/>
    <mergeCell ref="Q810:X810"/>
    <mergeCell ref="AC810:AF810"/>
    <mergeCell ref="AG810:AH810"/>
    <mergeCell ref="AI810:AP810"/>
    <mergeCell ref="G801:J801"/>
    <mergeCell ref="Y801:AB801"/>
    <mergeCell ref="G827:X827"/>
    <mergeCell ref="Y827:AP827"/>
    <mergeCell ref="G828:J828"/>
    <mergeCell ref="K828:N828"/>
    <mergeCell ref="O828:P828"/>
    <mergeCell ref="Q828:X828"/>
    <mergeCell ref="Y828:AB828"/>
    <mergeCell ref="AC828:AF828"/>
    <mergeCell ref="AG828:AH828"/>
    <mergeCell ref="AI828:AP828"/>
    <mergeCell ref="G836:X836"/>
    <mergeCell ref="Y836:AP836"/>
    <mergeCell ref="K837:N837"/>
    <mergeCell ref="O837:P837"/>
    <mergeCell ref="Q837:X837"/>
    <mergeCell ref="AC837:AF837"/>
    <mergeCell ref="AG837:AH837"/>
    <mergeCell ref="AI837:AP837"/>
    <mergeCell ref="G845:X845"/>
    <mergeCell ref="Y845:AP845"/>
    <mergeCell ref="G837:J837"/>
    <mergeCell ref="Y837:AB837"/>
    <mergeCell ref="K846:N846"/>
    <mergeCell ref="O846:P846"/>
    <mergeCell ref="Q846:X846"/>
    <mergeCell ref="AC846:AF846"/>
    <mergeCell ref="AG846:AH846"/>
    <mergeCell ref="AI846:AP846"/>
    <mergeCell ref="G854:X854"/>
    <mergeCell ref="Y854:AP854"/>
    <mergeCell ref="K855:N855"/>
    <mergeCell ref="O855:P855"/>
    <mergeCell ref="Q855:X855"/>
    <mergeCell ref="AC855:AF855"/>
    <mergeCell ref="AG855:AH855"/>
    <mergeCell ref="AI855:AP855"/>
    <mergeCell ref="G855:J855"/>
    <mergeCell ref="Y855:AB855"/>
    <mergeCell ref="G846:J846"/>
    <mergeCell ref="Y846:AB846"/>
    <mergeCell ref="G874:X874"/>
    <mergeCell ref="Y874:AP874"/>
    <mergeCell ref="K875:N875"/>
    <mergeCell ref="O875:P875"/>
    <mergeCell ref="Q875:X875"/>
    <mergeCell ref="AC875:AF875"/>
    <mergeCell ref="AG875:AH875"/>
    <mergeCell ref="AI875:AP875"/>
    <mergeCell ref="G863:X863"/>
    <mergeCell ref="Y863:AP863"/>
    <mergeCell ref="G864:J864"/>
    <mergeCell ref="K864:N864"/>
    <mergeCell ref="O864:P864"/>
    <mergeCell ref="Q864:X864"/>
    <mergeCell ref="Y864:AB864"/>
    <mergeCell ref="AC864:AF864"/>
    <mergeCell ref="AG864:AH864"/>
    <mergeCell ref="AI864:AP864"/>
    <mergeCell ref="G875:J875"/>
    <mergeCell ref="Y875:AB87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D756-E4A7-4ABB-9509-4129476BA802}">
  <dimension ref="B2:N100"/>
  <sheetViews>
    <sheetView zoomScale="85" zoomScaleNormal="85" workbookViewId="0">
      <selection activeCell="M32" sqref="M32"/>
    </sheetView>
  </sheetViews>
  <sheetFormatPr defaultRowHeight="15" x14ac:dyDescent="0.25"/>
  <cols>
    <col min="2" max="2" width="9.85546875" customWidth="1"/>
    <col min="3" max="3" width="11.7109375" customWidth="1"/>
    <col min="5" max="5" width="10.7109375" customWidth="1"/>
    <col min="7" max="7" width="12.85546875" customWidth="1"/>
    <col min="10" max="10" width="10.7109375" bestFit="1" customWidth="1"/>
    <col min="14" max="14" width="11.85546875" bestFit="1" customWidth="1"/>
  </cols>
  <sheetData>
    <row r="2" spans="2:14" x14ac:dyDescent="0.25">
      <c r="B2" t="s">
        <v>30</v>
      </c>
      <c r="I2" t="s">
        <v>31</v>
      </c>
    </row>
    <row r="3" spans="2:14" x14ac:dyDescent="0.25">
      <c r="B3" s="6" t="s">
        <v>7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32</v>
      </c>
      <c r="I3" s="6" t="s">
        <v>7</v>
      </c>
      <c r="J3" s="6" t="s">
        <v>0</v>
      </c>
      <c r="K3" s="6" t="s">
        <v>1</v>
      </c>
      <c r="L3" s="6" t="s">
        <v>2</v>
      </c>
      <c r="M3" s="6" t="s">
        <v>3</v>
      </c>
      <c r="N3" s="6" t="s">
        <v>11</v>
      </c>
    </row>
    <row r="4" spans="2:14" x14ac:dyDescent="0.25">
      <c r="B4" s="5">
        <v>0</v>
      </c>
      <c r="C4" s="33">
        <f>'Hourly Bike-Ped Counts'!D11</f>
        <v>0</v>
      </c>
      <c r="D4" s="33">
        <f>'Hourly Bike-Ped Counts'!D12</f>
        <v>0</v>
      </c>
      <c r="E4" s="33">
        <f>'Hourly Bike-Ped Counts'!D13</f>
        <v>0</v>
      </c>
      <c r="F4" s="33">
        <f>'Hourly Bike-Ped Counts'!D14</f>
        <v>0</v>
      </c>
      <c r="G4" s="34">
        <f>SUM(C4:F4)</f>
        <v>0</v>
      </c>
      <c r="I4" s="5">
        <v>0</v>
      </c>
      <c r="J4">
        <f>SUM(C4:C7)</f>
        <v>0</v>
      </c>
      <c r="K4">
        <f t="shared" ref="K4:M4" si="0">SUM(D4:D7)</f>
        <v>0</v>
      </c>
      <c r="L4">
        <f t="shared" si="0"/>
        <v>0</v>
      </c>
      <c r="M4">
        <f t="shared" si="0"/>
        <v>0</v>
      </c>
      <c r="N4" s="4">
        <f>SUM(J4:M4)</f>
        <v>0</v>
      </c>
    </row>
    <row r="5" spans="2:14" x14ac:dyDescent="0.25">
      <c r="B5" s="5">
        <v>1.0416666666666666E-2</v>
      </c>
      <c r="C5" s="33">
        <f>'Hourly Bike-Ped Counts'!D20</f>
        <v>0</v>
      </c>
      <c r="D5" s="33">
        <f>'Hourly Bike-Ped Counts'!D21</f>
        <v>0</v>
      </c>
      <c r="E5" s="33">
        <f>'Hourly Bike-Ped Counts'!D22</f>
        <v>0</v>
      </c>
      <c r="F5" s="33">
        <f>'Hourly Bike-Ped Counts'!D23</f>
        <v>0</v>
      </c>
      <c r="G5" s="34">
        <f t="shared" ref="G5:G68" si="1">SUM(C5:F5)</f>
        <v>0</v>
      </c>
      <c r="I5" s="5">
        <v>4.1666666666666699E-2</v>
      </c>
      <c r="J5">
        <f>SUM(C8:C11)</f>
        <v>0</v>
      </c>
      <c r="K5">
        <f t="shared" ref="K5:M5" si="2">SUM(D8:D11)</f>
        <v>0</v>
      </c>
      <c r="L5">
        <f t="shared" si="2"/>
        <v>0</v>
      </c>
      <c r="M5">
        <f t="shared" si="2"/>
        <v>0</v>
      </c>
      <c r="N5" s="4">
        <f t="shared" ref="N5:N27" si="3">SUM(J5:M5)</f>
        <v>0</v>
      </c>
    </row>
    <row r="6" spans="2:14" x14ac:dyDescent="0.25">
      <c r="B6" s="5">
        <v>2.0833333333333301E-2</v>
      </c>
      <c r="C6" s="33">
        <f>'Hourly Bike-Ped Counts'!D29</f>
        <v>0</v>
      </c>
      <c r="D6" s="33">
        <f>'Hourly Bike-Ped Counts'!D30</f>
        <v>0</v>
      </c>
      <c r="E6" s="33">
        <f>'Hourly Bike-Ped Counts'!D31</f>
        <v>0</v>
      </c>
      <c r="F6" s="33">
        <f>'Hourly Bike-Ped Counts'!D32</f>
        <v>0</v>
      </c>
      <c r="G6" s="34">
        <f t="shared" si="1"/>
        <v>0</v>
      </c>
      <c r="I6" s="5">
        <v>8.3333333333333301E-2</v>
      </c>
      <c r="J6">
        <f>SUM(C12:C15)</f>
        <v>0</v>
      </c>
      <c r="K6">
        <f t="shared" ref="K6:M6" si="4">SUM(D12:D15)</f>
        <v>0</v>
      </c>
      <c r="L6">
        <f t="shared" si="4"/>
        <v>0</v>
      </c>
      <c r="M6">
        <f t="shared" si="4"/>
        <v>0</v>
      </c>
      <c r="N6" s="4">
        <f t="shared" si="3"/>
        <v>0</v>
      </c>
    </row>
    <row r="7" spans="2:14" x14ac:dyDescent="0.25">
      <c r="B7" s="5">
        <v>3.125E-2</v>
      </c>
      <c r="C7" s="33">
        <f>'Hourly Bike-Ped Counts'!D38</f>
        <v>0</v>
      </c>
      <c r="D7" s="33">
        <f>'Hourly Bike-Ped Counts'!D39</f>
        <v>0</v>
      </c>
      <c r="E7" s="33">
        <f>'Hourly Bike-Ped Counts'!D40</f>
        <v>0</v>
      </c>
      <c r="F7" s="33">
        <f>'Hourly Bike-Ped Counts'!D42</f>
        <v>0</v>
      </c>
      <c r="G7" s="34">
        <f t="shared" si="1"/>
        <v>0</v>
      </c>
      <c r="I7" s="5">
        <v>0.125</v>
      </c>
      <c r="J7">
        <f>SUM(C16:C19)</f>
        <v>0</v>
      </c>
      <c r="K7">
        <f t="shared" ref="K7:M7" si="5">SUM(D16:D19)</f>
        <v>0</v>
      </c>
      <c r="L7">
        <f t="shared" si="5"/>
        <v>0</v>
      </c>
      <c r="M7">
        <f t="shared" si="5"/>
        <v>0</v>
      </c>
      <c r="N7" s="4">
        <f t="shared" si="3"/>
        <v>0</v>
      </c>
    </row>
    <row r="8" spans="2:14" x14ac:dyDescent="0.25">
      <c r="B8" s="5">
        <v>4.1666666666666699E-2</v>
      </c>
      <c r="C8" s="33">
        <f>'Hourly Bike-Ped Counts'!D47</f>
        <v>0</v>
      </c>
      <c r="D8" s="33">
        <f>'Hourly Bike-Ped Counts'!D48</f>
        <v>0</v>
      </c>
      <c r="E8" s="33">
        <f>'Hourly Bike-Ped Counts'!D49</f>
        <v>0</v>
      </c>
      <c r="F8" s="33">
        <f>'Hourly Bike-Ped Counts'!D50</f>
        <v>0</v>
      </c>
      <c r="G8" s="34">
        <f t="shared" si="1"/>
        <v>0</v>
      </c>
      <c r="I8" s="5">
        <v>0.16666666666666699</v>
      </c>
      <c r="J8">
        <f>SUM(C20:C23)</f>
        <v>0</v>
      </c>
      <c r="K8">
        <f t="shared" ref="K8:M8" si="6">SUM(D20:D23)</f>
        <v>0</v>
      </c>
      <c r="L8">
        <f t="shared" si="6"/>
        <v>0</v>
      </c>
      <c r="M8">
        <f t="shared" si="6"/>
        <v>0</v>
      </c>
      <c r="N8" s="4">
        <f t="shared" si="3"/>
        <v>0</v>
      </c>
    </row>
    <row r="9" spans="2:14" x14ac:dyDescent="0.25">
      <c r="B9" s="5">
        <v>5.2083333333333301E-2</v>
      </c>
      <c r="C9" s="33">
        <f>'Hourly Bike-Ped Counts'!D56</f>
        <v>0</v>
      </c>
      <c r="D9" s="33">
        <f>'Hourly Bike-Ped Counts'!D57</f>
        <v>0</v>
      </c>
      <c r="E9" s="33">
        <f>'Hourly Bike-Ped Counts'!D58</f>
        <v>0</v>
      </c>
      <c r="F9" s="33">
        <f>'Hourly Bike-Ped Counts'!D59</f>
        <v>0</v>
      </c>
      <c r="G9" s="34">
        <f t="shared" si="1"/>
        <v>0</v>
      </c>
      <c r="I9" s="5">
        <v>0.20833333333333301</v>
      </c>
      <c r="J9">
        <f>SUM(C24:C27)</f>
        <v>2</v>
      </c>
      <c r="K9">
        <f t="shared" ref="K9:M9" si="7">SUM(D24:D27)</f>
        <v>1</v>
      </c>
      <c r="L9">
        <f t="shared" si="7"/>
        <v>0</v>
      </c>
      <c r="M9">
        <f t="shared" si="7"/>
        <v>0</v>
      </c>
      <c r="N9" s="4">
        <f t="shared" si="3"/>
        <v>3</v>
      </c>
    </row>
    <row r="10" spans="2:14" x14ac:dyDescent="0.25">
      <c r="B10" s="5">
        <v>6.25E-2</v>
      </c>
      <c r="C10" s="33">
        <f>'Hourly Bike-Ped Counts'!D565</f>
        <v>0</v>
      </c>
      <c r="D10" s="33">
        <f>'Hourly Bike-Ped Counts'!D66</f>
        <v>0</v>
      </c>
      <c r="E10" s="33">
        <f>'Hourly Bike-Ped Counts'!D67</f>
        <v>0</v>
      </c>
      <c r="F10" s="33">
        <f>'Hourly Bike-Ped Counts'!D68</f>
        <v>0</v>
      </c>
      <c r="G10" s="34">
        <f t="shared" si="1"/>
        <v>0</v>
      </c>
      <c r="I10" s="5">
        <v>0.25</v>
      </c>
      <c r="J10">
        <f>SUM(C28:C31)</f>
        <v>36</v>
      </c>
      <c r="K10">
        <f t="shared" ref="K10:M10" si="8">SUM(D28:D31)</f>
        <v>0</v>
      </c>
      <c r="L10">
        <f t="shared" si="8"/>
        <v>0</v>
      </c>
      <c r="M10">
        <f t="shared" si="8"/>
        <v>0</v>
      </c>
      <c r="N10" s="4">
        <f t="shared" si="3"/>
        <v>36</v>
      </c>
    </row>
    <row r="11" spans="2:14" x14ac:dyDescent="0.25">
      <c r="B11" s="5">
        <v>7.2916666666666699E-2</v>
      </c>
      <c r="C11" s="33">
        <f>'Hourly Bike-Ped Counts'!D74</f>
        <v>0</v>
      </c>
      <c r="D11" s="33">
        <f>'Hourly Bike-Ped Counts'!D75</f>
        <v>0</v>
      </c>
      <c r="E11" s="33">
        <f>'Hourly Bike-Ped Counts'!D76</f>
        <v>0</v>
      </c>
      <c r="F11" s="33">
        <f>'Hourly Bike-Ped Counts'!D77</f>
        <v>0</v>
      </c>
      <c r="G11" s="34">
        <f t="shared" si="1"/>
        <v>0</v>
      </c>
      <c r="I11" s="5">
        <v>0.29166666666666702</v>
      </c>
      <c r="J11">
        <f>SUM(C32:C35)</f>
        <v>19</v>
      </c>
      <c r="K11">
        <f t="shared" ref="K11:M11" si="9">SUM(D32:D35)</f>
        <v>9</v>
      </c>
      <c r="L11">
        <f t="shared" si="9"/>
        <v>1</v>
      </c>
      <c r="M11">
        <f t="shared" si="9"/>
        <v>0</v>
      </c>
      <c r="N11" s="4">
        <f t="shared" si="3"/>
        <v>29</v>
      </c>
    </row>
    <row r="12" spans="2:14" x14ac:dyDescent="0.25">
      <c r="B12" s="5">
        <v>8.3333333333333301E-2</v>
      </c>
      <c r="C12" s="33">
        <f>'Hourly Bike-Ped Counts'!D83</f>
        <v>0</v>
      </c>
      <c r="D12" s="33">
        <f>'Hourly Bike-Ped Counts'!D84</f>
        <v>0</v>
      </c>
      <c r="E12" s="33">
        <f>'Hourly Bike-Ped Counts'!D85</f>
        <v>0</v>
      </c>
      <c r="F12" s="33">
        <f>'Hourly Bike-Ped Counts'!D86</f>
        <v>0</v>
      </c>
      <c r="G12" s="34">
        <f t="shared" si="1"/>
        <v>0</v>
      </c>
      <c r="I12" s="5">
        <v>0.33333333333333298</v>
      </c>
      <c r="J12">
        <f>SUM(C36:C39)</f>
        <v>75</v>
      </c>
      <c r="K12">
        <f t="shared" ref="K12:M12" si="10">SUM(D36:D39)</f>
        <v>70</v>
      </c>
      <c r="L12">
        <f t="shared" si="10"/>
        <v>37</v>
      </c>
      <c r="M12">
        <f t="shared" si="10"/>
        <v>0</v>
      </c>
      <c r="N12" s="4">
        <f t="shared" si="3"/>
        <v>182</v>
      </c>
    </row>
    <row r="13" spans="2:14" x14ac:dyDescent="0.25">
      <c r="B13" s="5">
        <v>9.375E-2</v>
      </c>
      <c r="C13" s="33">
        <f>'Hourly Bike-Ped Counts'!D92</f>
        <v>0</v>
      </c>
      <c r="D13" s="33">
        <f>'Hourly Bike-Ped Counts'!D93</f>
        <v>0</v>
      </c>
      <c r="E13" s="33">
        <f>'Hourly Bike-Ped Counts'!D94</f>
        <v>0</v>
      </c>
      <c r="F13" s="33">
        <f>'Hourly Bike-Ped Counts'!D95</f>
        <v>0</v>
      </c>
      <c r="G13" s="34">
        <f t="shared" si="1"/>
        <v>0</v>
      </c>
      <c r="I13" s="5">
        <v>0.375</v>
      </c>
      <c r="J13">
        <f>SUM(C40:C43)</f>
        <v>82</v>
      </c>
      <c r="K13">
        <f t="shared" ref="K13:M13" si="11">SUM(D40:D43)</f>
        <v>35</v>
      </c>
      <c r="L13">
        <f t="shared" si="11"/>
        <v>19</v>
      </c>
      <c r="M13">
        <f t="shared" si="11"/>
        <v>1</v>
      </c>
      <c r="N13" s="4">
        <f t="shared" si="3"/>
        <v>137</v>
      </c>
    </row>
    <row r="14" spans="2:14" x14ac:dyDescent="0.25">
      <c r="B14" s="5">
        <v>0.104166666666667</v>
      </c>
      <c r="C14" s="33">
        <f>'Hourly Bike-Ped Counts'!D101</f>
        <v>0</v>
      </c>
      <c r="D14" s="33">
        <f>'Hourly Bike-Ped Counts'!D102</f>
        <v>0</v>
      </c>
      <c r="E14" s="33">
        <f>'Hourly Bike-Ped Counts'!D103</f>
        <v>0</v>
      </c>
      <c r="F14" s="33">
        <f>'Hourly Bike-Ped Counts'!D104</f>
        <v>0</v>
      </c>
      <c r="G14" s="34">
        <f t="shared" si="1"/>
        <v>0</v>
      </c>
      <c r="I14" s="5">
        <v>0.41666666666666702</v>
      </c>
      <c r="J14">
        <f>SUM(C44:C47)</f>
        <v>4</v>
      </c>
      <c r="K14">
        <f t="shared" ref="K14:M14" si="12">SUM(D44:D47)</f>
        <v>6</v>
      </c>
      <c r="L14">
        <f t="shared" si="12"/>
        <v>0</v>
      </c>
      <c r="M14">
        <f t="shared" si="12"/>
        <v>0</v>
      </c>
      <c r="N14" s="4">
        <f t="shared" si="3"/>
        <v>10</v>
      </c>
    </row>
    <row r="15" spans="2:14" x14ac:dyDescent="0.25">
      <c r="B15" s="5">
        <v>0.114583333333333</v>
      </c>
      <c r="C15" s="33">
        <f>'Hourly Bike-Ped Counts'!D110</f>
        <v>0</v>
      </c>
      <c r="D15" s="33">
        <f>'Hourly Bike-Ped Counts'!D111</f>
        <v>0</v>
      </c>
      <c r="E15" s="33">
        <f>'Hourly Bike-Ped Counts'!D112</f>
        <v>0</v>
      </c>
      <c r="F15" s="33">
        <f>'Hourly Bike-Ped Counts'!D113</f>
        <v>0</v>
      </c>
      <c r="G15" s="34">
        <f t="shared" si="1"/>
        <v>0</v>
      </c>
      <c r="I15" s="5">
        <v>0.45833333333333298</v>
      </c>
      <c r="J15">
        <f>SUM(C48:C51)</f>
        <v>6</v>
      </c>
      <c r="K15">
        <f t="shared" ref="K15:M15" si="13">SUM(D48:D51)</f>
        <v>9</v>
      </c>
      <c r="L15">
        <f t="shared" si="13"/>
        <v>0</v>
      </c>
      <c r="M15">
        <f t="shared" si="13"/>
        <v>0</v>
      </c>
      <c r="N15" s="4">
        <f t="shared" si="3"/>
        <v>15</v>
      </c>
    </row>
    <row r="16" spans="2:14" x14ac:dyDescent="0.25">
      <c r="B16" s="5">
        <v>0.125</v>
      </c>
      <c r="C16" s="33">
        <f>'Hourly Bike-Ped Counts'!D119</f>
        <v>0</v>
      </c>
      <c r="D16" s="33">
        <f>'Hourly Bike-Ped Counts'!D120</f>
        <v>0</v>
      </c>
      <c r="E16" s="33">
        <f>'Hourly Bike-Ped Counts'!D121</f>
        <v>0</v>
      </c>
      <c r="F16" s="33">
        <f>'Hourly Bike-Ped Counts'!D122</f>
        <v>0</v>
      </c>
      <c r="G16" s="34">
        <f t="shared" si="1"/>
        <v>0</v>
      </c>
      <c r="I16" s="5">
        <v>0.5</v>
      </c>
      <c r="J16">
        <f>SUM(C52:C55)</f>
        <v>6</v>
      </c>
      <c r="K16">
        <f t="shared" ref="K16:M16" si="14">SUM(D52:D55)</f>
        <v>3</v>
      </c>
      <c r="L16">
        <f t="shared" si="14"/>
        <v>0</v>
      </c>
      <c r="M16">
        <f t="shared" si="14"/>
        <v>0</v>
      </c>
      <c r="N16" s="4">
        <f t="shared" si="3"/>
        <v>9</v>
      </c>
    </row>
    <row r="17" spans="2:14" x14ac:dyDescent="0.25">
      <c r="B17" s="5">
        <v>0.13541666666666699</v>
      </c>
      <c r="C17" s="33">
        <f>'Hourly Bike-Ped Counts'!D128</f>
        <v>0</v>
      </c>
      <c r="D17" s="33">
        <f>'Hourly Bike-Ped Counts'!D129</f>
        <v>0</v>
      </c>
      <c r="E17" s="33">
        <f>'Hourly Bike-Ped Counts'!D130</f>
        <v>0</v>
      </c>
      <c r="F17" s="33">
        <f>'Hourly Bike-Ped Counts'!D131</f>
        <v>0</v>
      </c>
      <c r="G17" s="34">
        <f t="shared" si="1"/>
        <v>0</v>
      </c>
      <c r="I17" s="5">
        <v>0.54166666666666696</v>
      </c>
      <c r="J17">
        <f>SUM(C56:C59)</f>
        <v>4</v>
      </c>
      <c r="K17">
        <f t="shared" ref="K17:M17" si="15">SUM(D56:D59)</f>
        <v>0</v>
      </c>
      <c r="L17">
        <f t="shared" si="15"/>
        <v>0</v>
      </c>
      <c r="M17">
        <f t="shared" si="15"/>
        <v>0</v>
      </c>
      <c r="N17" s="4">
        <f t="shared" si="3"/>
        <v>4</v>
      </c>
    </row>
    <row r="18" spans="2:14" x14ac:dyDescent="0.25">
      <c r="B18" s="5">
        <v>0.14583333333333301</v>
      </c>
      <c r="C18" s="33">
        <f>'Hourly Bike-Ped Counts'!D137</f>
        <v>0</v>
      </c>
      <c r="D18" s="33">
        <f>'Hourly Bike-Ped Counts'!D138</f>
        <v>0</v>
      </c>
      <c r="E18" s="33">
        <f>'Hourly Bike-Ped Counts'!D139</f>
        <v>0</v>
      </c>
      <c r="F18" s="33">
        <f>'Hourly Bike-Ped Counts'!D140</f>
        <v>0</v>
      </c>
      <c r="G18" s="34">
        <f t="shared" si="1"/>
        <v>0</v>
      </c>
      <c r="I18" s="5">
        <v>0.58333333333333304</v>
      </c>
      <c r="J18">
        <f>SUM(C60:C63)</f>
        <v>7</v>
      </c>
      <c r="K18">
        <f t="shared" ref="K18:M18" si="16">SUM(D60:D63)</f>
        <v>2</v>
      </c>
      <c r="L18">
        <f t="shared" si="16"/>
        <v>0</v>
      </c>
      <c r="M18">
        <f t="shared" si="16"/>
        <v>0</v>
      </c>
      <c r="N18" s="4">
        <f t="shared" si="3"/>
        <v>9</v>
      </c>
    </row>
    <row r="19" spans="2:14" x14ac:dyDescent="0.25">
      <c r="B19" s="5">
        <v>0.15625</v>
      </c>
      <c r="C19" s="33">
        <f>'Hourly Bike-Ped Counts'!D146</f>
        <v>0</v>
      </c>
      <c r="D19" s="33">
        <f>'Hourly Bike-Ped Counts'!D147</f>
        <v>0</v>
      </c>
      <c r="E19" s="33">
        <f>'Hourly Bike-Ped Counts'!D148</f>
        <v>0</v>
      </c>
      <c r="F19" s="33">
        <f>'Hourly Bike-Ped Counts'!D149</f>
        <v>0</v>
      </c>
      <c r="G19" s="34">
        <f t="shared" si="1"/>
        <v>0</v>
      </c>
      <c r="I19" s="5">
        <v>0.625</v>
      </c>
      <c r="J19">
        <f>SUM(C64:C67)</f>
        <v>122</v>
      </c>
      <c r="K19">
        <f t="shared" ref="K19:M19" si="17">SUM(D64:D67)</f>
        <v>108</v>
      </c>
      <c r="L19">
        <f t="shared" si="17"/>
        <v>42</v>
      </c>
      <c r="M19">
        <f t="shared" si="17"/>
        <v>1</v>
      </c>
      <c r="N19" s="4">
        <f t="shared" si="3"/>
        <v>273</v>
      </c>
    </row>
    <row r="20" spans="2:14" x14ac:dyDescent="0.25">
      <c r="B20" s="5">
        <v>0.16666666666666699</v>
      </c>
      <c r="C20" s="33">
        <f>'Hourly Bike-Ped Counts'!D155</f>
        <v>0</v>
      </c>
      <c r="D20" s="33">
        <f>'Hourly Bike-Ped Counts'!D156</f>
        <v>0</v>
      </c>
      <c r="E20" s="33">
        <f>'Hourly Bike-Ped Counts'!D157</f>
        <v>0</v>
      </c>
      <c r="F20" s="33">
        <f>'Hourly Bike-Ped Counts'!D158</f>
        <v>0</v>
      </c>
      <c r="G20" s="34">
        <f t="shared" si="1"/>
        <v>0</v>
      </c>
      <c r="I20" s="5">
        <v>0.66666666666666696</v>
      </c>
      <c r="J20">
        <f>SUM(C68:C71)</f>
        <v>6</v>
      </c>
      <c r="K20">
        <f t="shared" ref="K20:M20" si="18">SUM(D68:D71)</f>
        <v>4</v>
      </c>
      <c r="L20">
        <f t="shared" si="18"/>
        <v>5</v>
      </c>
      <c r="M20">
        <f t="shared" si="18"/>
        <v>0</v>
      </c>
      <c r="N20" s="4">
        <f t="shared" si="3"/>
        <v>15</v>
      </c>
    </row>
    <row r="21" spans="2:14" x14ac:dyDescent="0.25">
      <c r="B21" s="5">
        <v>0.17708333333333301</v>
      </c>
      <c r="C21" s="33">
        <f>'Hourly Bike-Ped Counts'!D164</f>
        <v>0</v>
      </c>
      <c r="D21" s="33">
        <f>'Hourly Bike-Ped Counts'!D165</f>
        <v>0</v>
      </c>
      <c r="E21" s="33">
        <f>'Hourly Bike-Ped Counts'!D166</f>
        <v>0</v>
      </c>
      <c r="F21" s="33">
        <f>'Hourly Bike-Ped Counts'!D167</f>
        <v>0</v>
      </c>
      <c r="G21" s="34">
        <f t="shared" si="1"/>
        <v>0</v>
      </c>
      <c r="I21" s="5">
        <v>0.70833333333333304</v>
      </c>
      <c r="J21">
        <f>SUM(C72:C75)</f>
        <v>5</v>
      </c>
      <c r="K21">
        <f t="shared" ref="K21:M21" si="19">SUM(D72:D75)</f>
        <v>4</v>
      </c>
      <c r="L21">
        <f t="shared" si="19"/>
        <v>1</v>
      </c>
      <c r="M21">
        <f t="shared" si="19"/>
        <v>0</v>
      </c>
      <c r="N21" s="4">
        <f t="shared" si="3"/>
        <v>10</v>
      </c>
    </row>
    <row r="22" spans="2:14" x14ac:dyDescent="0.25">
      <c r="B22" s="5">
        <v>0.1875</v>
      </c>
      <c r="C22" s="33">
        <f>'Hourly Bike-Ped Counts'!D173</f>
        <v>0</v>
      </c>
      <c r="D22" s="33">
        <f>'Hourly Bike-Ped Counts'!D174</f>
        <v>0</v>
      </c>
      <c r="E22" s="33">
        <f>'Hourly Bike-Ped Counts'!D175</f>
        <v>0</v>
      </c>
      <c r="F22" s="33">
        <f>'Hourly Bike-Ped Counts'!D176</f>
        <v>0</v>
      </c>
      <c r="G22" s="34">
        <f t="shared" si="1"/>
        <v>0</v>
      </c>
      <c r="I22" s="5">
        <v>0.75</v>
      </c>
      <c r="J22">
        <f>SUM(C76:C79)</f>
        <v>0</v>
      </c>
      <c r="K22">
        <f t="shared" ref="K22:M22" si="20">SUM(D76:D79)</f>
        <v>5</v>
      </c>
      <c r="L22">
        <f t="shared" si="20"/>
        <v>3</v>
      </c>
      <c r="M22">
        <f t="shared" si="20"/>
        <v>0</v>
      </c>
      <c r="N22" s="4">
        <f t="shared" si="3"/>
        <v>8</v>
      </c>
    </row>
    <row r="23" spans="2:14" x14ac:dyDescent="0.25">
      <c r="B23" s="5">
        <v>0.19791666666666699</v>
      </c>
      <c r="C23" s="33">
        <f>'Hourly Bike-Ped Counts'!D182</f>
        <v>0</v>
      </c>
      <c r="D23" s="33">
        <f>'Hourly Bike-Ped Counts'!D183</f>
        <v>0</v>
      </c>
      <c r="E23" s="33">
        <f>'Hourly Bike-Ped Counts'!D184</f>
        <v>0</v>
      </c>
      <c r="F23" s="33">
        <f>'Hourly Bike-Ped Counts'!D185</f>
        <v>0</v>
      </c>
      <c r="G23" s="34">
        <f t="shared" si="1"/>
        <v>0</v>
      </c>
      <c r="I23" s="5">
        <v>0.79166666666666696</v>
      </c>
      <c r="J23">
        <f>SUM(C80:C83)</f>
        <v>15</v>
      </c>
      <c r="K23">
        <f t="shared" ref="K23:M23" si="21">SUM(D80:D83)</f>
        <v>6</v>
      </c>
      <c r="L23">
        <f t="shared" si="21"/>
        <v>0</v>
      </c>
      <c r="M23">
        <f t="shared" si="21"/>
        <v>0</v>
      </c>
      <c r="N23" s="4">
        <f t="shared" si="3"/>
        <v>21</v>
      </c>
    </row>
    <row r="24" spans="2:14" x14ac:dyDescent="0.25">
      <c r="B24" s="5">
        <v>0.20833333333333301</v>
      </c>
      <c r="C24" s="33">
        <f>'Hourly Bike-Ped Counts'!D191</f>
        <v>0</v>
      </c>
      <c r="D24" s="33">
        <f>'Hourly Bike-Ped Counts'!D192</f>
        <v>0</v>
      </c>
      <c r="E24" s="33">
        <f>'Hourly Bike-Ped Counts'!D193</f>
        <v>0</v>
      </c>
      <c r="F24" s="33">
        <f>'Hourly Bike-Ped Counts'!D194</f>
        <v>0</v>
      </c>
      <c r="G24" s="34">
        <f t="shared" si="1"/>
        <v>0</v>
      </c>
      <c r="I24" s="5">
        <v>0.83333333333333304</v>
      </c>
      <c r="J24">
        <f>SUM(C84:C87)</f>
        <v>21</v>
      </c>
      <c r="K24">
        <f t="shared" ref="K24:M24" si="22">SUM(D84:D87)</f>
        <v>8</v>
      </c>
      <c r="L24">
        <f t="shared" si="22"/>
        <v>0</v>
      </c>
      <c r="M24">
        <f t="shared" si="22"/>
        <v>0</v>
      </c>
      <c r="N24" s="4">
        <f t="shared" si="3"/>
        <v>29</v>
      </c>
    </row>
    <row r="25" spans="2:14" x14ac:dyDescent="0.25">
      <c r="B25" s="5">
        <v>0.21875</v>
      </c>
      <c r="C25" s="33">
        <f>'Hourly Bike-Ped Counts'!D200</f>
        <v>0</v>
      </c>
      <c r="D25" s="33">
        <f>'Hourly Bike-Ped Counts'!D201</f>
        <v>0</v>
      </c>
      <c r="E25" s="33">
        <f>'Hourly Bike-Ped Counts'!D202</f>
        <v>0</v>
      </c>
      <c r="F25" s="33">
        <f>'Hourly Bike-Ped Counts'!D203</f>
        <v>0</v>
      </c>
      <c r="G25" s="34">
        <f t="shared" si="1"/>
        <v>0</v>
      </c>
      <c r="I25" s="5">
        <v>0.875</v>
      </c>
      <c r="J25">
        <f>SUM(C88:C91)</f>
        <v>6</v>
      </c>
      <c r="K25">
        <f t="shared" ref="K25:M25" si="23">SUM(D88:D91)</f>
        <v>2</v>
      </c>
      <c r="L25">
        <f t="shared" si="23"/>
        <v>0</v>
      </c>
      <c r="M25">
        <f t="shared" si="23"/>
        <v>0</v>
      </c>
      <c r="N25" s="4">
        <f t="shared" si="3"/>
        <v>8</v>
      </c>
    </row>
    <row r="26" spans="2:14" x14ac:dyDescent="0.25">
      <c r="B26" s="5">
        <v>0.22916666666666699</v>
      </c>
      <c r="C26" s="33">
        <f>'Hourly Bike-Ped Counts'!D209</f>
        <v>0</v>
      </c>
      <c r="D26" s="33">
        <f>'Hourly Bike-Ped Counts'!D210</f>
        <v>0</v>
      </c>
      <c r="E26" s="33">
        <f>'Hourly Bike-Ped Counts'!D211</f>
        <v>0</v>
      </c>
      <c r="F26" s="33">
        <f>'Hourly Bike-Ped Counts'!D212</f>
        <v>0</v>
      </c>
      <c r="G26" s="34">
        <f t="shared" si="1"/>
        <v>0</v>
      </c>
      <c r="I26" s="5">
        <v>0.91666666666666696</v>
      </c>
      <c r="J26">
        <f>SUM(C92:C95)</f>
        <v>2</v>
      </c>
      <c r="K26">
        <f t="shared" ref="K26:M26" si="24">SUM(D92:D95)</f>
        <v>0</v>
      </c>
      <c r="L26">
        <f t="shared" si="24"/>
        <v>0</v>
      </c>
      <c r="M26">
        <f t="shared" si="24"/>
        <v>0</v>
      </c>
      <c r="N26" s="4">
        <f t="shared" si="3"/>
        <v>2</v>
      </c>
    </row>
    <row r="27" spans="2:14" ht="15.75" thickBot="1" x14ac:dyDescent="0.3">
      <c r="B27" s="5">
        <v>0.23958333333333301</v>
      </c>
      <c r="C27" s="33">
        <f>'Hourly Bike-Ped Counts'!D218</f>
        <v>2</v>
      </c>
      <c r="D27" s="33">
        <f>'Hourly Bike-Ped Counts'!D219</f>
        <v>1</v>
      </c>
      <c r="E27" s="33">
        <f>'Hourly Bike-Ped Counts'!D220</f>
        <v>0</v>
      </c>
      <c r="F27" s="33">
        <f>'Hourly Bike-Ped Counts'!D221</f>
        <v>0</v>
      </c>
      <c r="G27" s="34">
        <f t="shared" si="1"/>
        <v>3</v>
      </c>
      <c r="I27" s="31">
        <v>0.95833333333333304</v>
      </c>
      <c r="J27" s="15">
        <f>SUM(C96:C99)</f>
        <v>1</v>
      </c>
      <c r="K27" s="15">
        <f t="shared" ref="K27:M27" si="25">SUM(D96:D99)</f>
        <v>0</v>
      </c>
      <c r="L27" s="15">
        <f t="shared" si="25"/>
        <v>0</v>
      </c>
      <c r="M27" s="15">
        <f t="shared" si="25"/>
        <v>0</v>
      </c>
      <c r="N27" s="32">
        <f t="shared" si="3"/>
        <v>1</v>
      </c>
    </row>
    <row r="28" spans="2:14" x14ac:dyDescent="0.25">
      <c r="B28" s="5">
        <v>0.25</v>
      </c>
      <c r="C28" s="33">
        <f>'Hourly Bike-Ped Counts'!D227</f>
        <v>4</v>
      </c>
      <c r="D28" s="33">
        <f>'Hourly Bike-Ped Counts'!D228</f>
        <v>0</v>
      </c>
      <c r="E28" s="33">
        <f>'Hourly Bike-Ped Counts'!D229</f>
        <v>0</v>
      </c>
      <c r="F28" s="33">
        <f>'Hourly Bike-Ped Counts'!D230</f>
        <v>0</v>
      </c>
      <c r="G28" s="34">
        <f t="shared" si="1"/>
        <v>4</v>
      </c>
      <c r="I28" s="4" t="s">
        <v>5</v>
      </c>
      <c r="J28" s="4">
        <f>SUM(J4:J27)</f>
        <v>419</v>
      </c>
      <c r="K28" s="4">
        <f t="shared" ref="K28:N28" si="26">SUM(K4:K27)</f>
        <v>272</v>
      </c>
      <c r="L28" s="4">
        <f t="shared" si="26"/>
        <v>108</v>
      </c>
      <c r="M28" s="4">
        <f t="shared" si="26"/>
        <v>2</v>
      </c>
      <c r="N28" s="4">
        <f t="shared" si="26"/>
        <v>801</v>
      </c>
    </row>
    <row r="29" spans="2:14" x14ac:dyDescent="0.25">
      <c r="B29" s="5">
        <v>0.26041666666666702</v>
      </c>
      <c r="C29" s="33">
        <f>'Hourly Bike-Ped Counts'!D236</f>
        <v>12</v>
      </c>
      <c r="D29" s="33">
        <f>'Hourly Bike-Ped Counts'!D237</f>
        <v>0</v>
      </c>
      <c r="E29" s="33">
        <f>'Hourly Bike-Ped Counts'!D238</f>
        <v>0</v>
      </c>
      <c r="F29" s="33">
        <f>'Hourly Bike-Ped Counts'!D239</f>
        <v>0</v>
      </c>
      <c r="G29" s="34">
        <f t="shared" si="1"/>
        <v>12</v>
      </c>
    </row>
    <row r="30" spans="2:14" x14ac:dyDescent="0.25">
      <c r="B30" s="5">
        <v>0.27083333333333298</v>
      </c>
      <c r="C30" s="33">
        <f>'Hourly Bike-Ped Counts'!D245</f>
        <v>8</v>
      </c>
      <c r="D30" s="33">
        <f>'Hourly Bike-Ped Counts'!D246</f>
        <v>0</v>
      </c>
      <c r="E30" s="33">
        <f>'Hourly Bike-Ped Counts'!D247</f>
        <v>0</v>
      </c>
      <c r="F30" s="33">
        <f>'Hourly Bike-Ped Counts'!D248</f>
        <v>0</v>
      </c>
      <c r="G30" s="34">
        <f t="shared" si="1"/>
        <v>8</v>
      </c>
    </row>
    <row r="31" spans="2:14" x14ac:dyDescent="0.25">
      <c r="B31" s="5">
        <v>0.28125</v>
      </c>
      <c r="C31" s="33">
        <f>'Hourly Bike-Ped Counts'!D254</f>
        <v>12</v>
      </c>
      <c r="D31" s="33">
        <f>'Hourly Bike-Ped Counts'!D255</f>
        <v>0</v>
      </c>
      <c r="E31" s="33">
        <f>'Hourly Bike-Ped Counts'!D256</f>
        <v>0</v>
      </c>
      <c r="F31" s="33">
        <f>'Hourly Bike-Ped Counts'!D257</f>
        <v>0</v>
      </c>
      <c r="G31" s="34">
        <f t="shared" si="1"/>
        <v>12</v>
      </c>
    </row>
    <row r="32" spans="2:14" x14ac:dyDescent="0.25">
      <c r="B32" s="5">
        <v>0.29166666666666702</v>
      </c>
      <c r="C32" s="33">
        <f>'Hourly Bike-Ped Counts'!D263</f>
        <v>6</v>
      </c>
      <c r="D32" s="33">
        <f>'Hourly Bike-Ped Counts'!D264</f>
        <v>2</v>
      </c>
      <c r="E32" s="33">
        <f>'Hourly Bike-Ped Counts'!D265</f>
        <v>1</v>
      </c>
      <c r="F32" s="33">
        <f>'Hourly Bike-Ped Counts'!D266</f>
        <v>0</v>
      </c>
      <c r="G32" s="34">
        <f t="shared" si="1"/>
        <v>9</v>
      </c>
    </row>
    <row r="33" spans="2:7" x14ac:dyDescent="0.25">
      <c r="B33" s="5">
        <v>0.30208333333333298</v>
      </c>
      <c r="C33" s="33">
        <f>'Hourly Bike-Ped Counts'!D272</f>
        <v>5</v>
      </c>
      <c r="D33" s="33">
        <f>'Hourly Bike-Ped Counts'!D273</f>
        <v>3</v>
      </c>
      <c r="E33" s="33">
        <f>'Hourly Bike-Ped Counts'!D274</f>
        <v>0</v>
      </c>
      <c r="F33" s="33">
        <f>'Hourly Bike-Ped Counts'!D275</f>
        <v>0</v>
      </c>
      <c r="G33" s="34">
        <f t="shared" si="1"/>
        <v>8</v>
      </c>
    </row>
    <row r="34" spans="2:7" x14ac:dyDescent="0.25">
      <c r="B34" s="5">
        <v>0.3125</v>
      </c>
      <c r="C34" s="33">
        <f>'Hourly Bike-Ped Counts'!D281</f>
        <v>3</v>
      </c>
      <c r="D34" s="33">
        <f>'Hourly Bike-Ped Counts'!D282</f>
        <v>1</v>
      </c>
      <c r="E34" s="33">
        <f>'Hourly Bike-Ped Counts'!D283</f>
        <v>0</v>
      </c>
      <c r="F34" s="33">
        <f>'Hourly Bike-Ped Counts'!D284</f>
        <v>0</v>
      </c>
      <c r="G34" s="34">
        <f t="shared" si="1"/>
        <v>4</v>
      </c>
    </row>
    <row r="35" spans="2:7" x14ac:dyDescent="0.25">
      <c r="B35" s="5">
        <v>0.32291666666666702</v>
      </c>
      <c r="C35" s="33">
        <f>'Hourly Bike-Ped Counts'!D290</f>
        <v>5</v>
      </c>
      <c r="D35" s="33">
        <f>'Hourly Bike-Ped Counts'!D291</f>
        <v>3</v>
      </c>
      <c r="E35" s="33">
        <f>'Hourly Bike-Ped Counts'!D292</f>
        <v>0</v>
      </c>
      <c r="F35" s="33">
        <f>'Hourly Bike-Ped Counts'!D293</f>
        <v>0</v>
      </c>
      <c r="G35" s="34">
        <f t="shared" si="1"/>
        <v>8</v>
      </c>
    </row>
    <row r="36" spans="2:7" x14ac:dyDescent="0.25">
      <c r="B36" s="5">
        <v>0.33333333333333298</v>
      </c>
      <c r="C36" s="33">
        <f>'Hourly Bike-Ped Counts'!D299</f>
        <v>4</v>
      </c>
      <c r="D36" s="33">
        <f>'Hourly Bike-Ped Counts'!D300</f>
        <v>2</v>
      </c>
      <c r="E36" s="33">
        <f>'Hourly Bike-Ped Counts'!D301</f>
        <v>0</v>
      </c>
      <c r="F36" s="33">
        <f>'Hourly Bike-Ped Counts'!D302</f>
        <v>0</v>
      </c>
      <c r="G36" s="34">
        <f t="shared" si="1"/>
        <v>6</v>
      </c>
    </row>
    <row r="37" spans="2:7" x14ac:dyDescent="0.25">
      <c r="B37" s="5">
        <v>0.34375</v>
      </c>
      <c r="C37" s="33">
        <f>'Hourly Bike-Ped Counts'!D308</f>
        <v>5</v>
      </c>
      <c r="D37" s="33">
        <f>'Hourly Bike-Ped Counts'!D309</f>
        <v>2</v>
      </c>
      <c r="E37" s="33">
        <f>'Hourly Bike-Ped Counts'!D310</f>
        <v>0</v>
      </c>
      <c r="F37" s="33">
        <f>'Hourly Bike-Ped Counts'!D311</f>
        <v>0</v>
      </c>
      <c r="G37" s="34">
        <f t="shared" si="1"/>
        <v>7</v>
      </c>
    </row>
    <row r="38" spans="2:7" x14ac:dyDescent="0.25">
      <c r="B38" s="5">
        <v>0.35416666666666702</v>
      </c>
      <c r="C38" s="33">
        <f>'Hourly Bike-Ped Counts'!D317</f>
        <v>9</v>
      </c>
      <c r="D38" s="33">
        <f>'Hourly Bike-Ped Counts'!D318</f>
        <v>6</v>
      </c>
      <c r="E38" s="33">
        <f>'Hourly Bike-Ped Counts'!D319</f>
        <v>2</v>
      </c>
      <c r="F38" s="33">
        <f>'Hourly Bike-Ped Counts'!D320</f>
        <v>0</v>
      </c>
      <c r="G38" s="34">
        <f t="shared" si="1"/>
        <v>17</v>
      </c>
    </row>
    <row r="39" spans="2:7" x14ac:dyDescent="0.25">
      <c r="B39" s="5">
        <v>0.36458333333333298</v>
      </c>
      <c r="C39" s="33">
        <f>'Hourly Bike-Ped Counts'!D326</f>
        <v>57</v>
      </c>
      <c r="D39" s="33">
        <f>'Hourly Bike-Ped Counts'!D327</f>
        <v>60</v>
      </c>
      <c r="E39" s="33">
        <f>'Hourly Bike-Ped Counts'!D328</f>
        <v>35</v>
      </c>
      <c r="F39" s="33">
        <f>'Hourly Bike-Ped Counts'!D329</f>
        <v>0</v>
      </c>
      <c r="G39" s="34">
        <f t="shared" si="1"/>
        <v>152</v>
      </c>
    </row>
    <row r="40" spans="2:7" x14ac:dyDescent="0.25">
      <c r="B40" s="5">
        <v>0.375</v>
      </c>
      <c r="C40" s="33">
        <f>'Hourly Bike-Ped Counts'!D335</f>
        <v>41</v>
      </c>
      <c r="D40" s="33">
        <f>'Hourly Bike-Ped Counts'!D336</f>
        <v>23</v>
      </c>
      <c r="E40" s="33">
        <f>'Hourly Bike-Ped Counts'!D337</f>
        <v>17</v>
      </c>
      <c r="F40" s="33">
        <f>'Hourly Bike-Ped Counts'!D338</f>
        <v>1</v>
      </c>
      <c r="G40" s="34">
        <f t="shared" si="1"/>
        <v>82</v>
      </c>
    </row>
    <row r="41" spans="2:7" x14ac:dyDescent="0.25">
      <c r="B41" s="5">
        <v>0.38541666666666702</v>
      </c>
      <c r="C41" s="33">
        <f>'Hourly Bike-Ped Counts'!D344</f>
        <v>34</v>
      </c>
      <c r="D41" s="33">
        <f>'Hourly Bike-Ped Counts'!D345</f>
        <v>12</v>
      </c>
      <c r="E41" s="33">
        <f>'Hourly Bike-Ped Counts'!D346</f>
        <v>2</v>
      </c>
      <c r="F41" s="33">
        <f>'Hourly Bike-Ped Counts'!D347</f>
        <v>0</v>
      </c>
      <c r="G41" s="34">
        <f t="shared" si="1"/>
        <v>48</v>
      </c>
    </row>
    <row r="42" spans="2:7" x14ac:dyDescent="0.25">
      <c r="B42" s="5">
        <v>0.39583333333333298</v>
      </c>
      <c r="C42" s="33">
        <f>'Hourly Bike-Ped Counts'!D353</f>
        <v>6</v>
      </c>
      <c r="D42" s="33">
        <f>'Hourly Bike-Ped Counts'!D354</f>
        <v>0</v>
      </c>
      <c r="E42" s="33">
        <f>'Hourly Bike-Ped Counts'!D355</f>
        <v>0</v>
      </c>
      <c r="F42" s="33">
        <f>'Hourly Bike-Ped Counts'!D356</f>
        <v>0</v>
      </c>
      <c r="G42" s="34">
        <f t="shared" si="1"/>
        <v>6</v>
      </c>
    </row>
    <row r="43" spans="2:7" x14ac:dyDescent="0.25">
      <c r="B43" s="5">
        <v>0.40625</v>
      </c>
      <c r="C43" s="33">
        <f>'Hourly Bike-Ped Counts'!D362</f>
        <v>1</v>
      </c>
      <c r="D43" s="33">
        <f>'Hourly Bike-Ped Counts'!D363</f>
        <v>0</v>
      </c>
      <c r="E43" s="33">
        <f>'Hourly Bike-Ped Counts'!D364</f>
        <v>0</v>
      </c>
      <c r="F43" s="33">
        <f>'Hourly Bike-Ped Counts'!D365</f>
        <v>0</v>
      </c>
      <c r="G43" s="34">
        <f t="shared" si="1"/>
        <v>1</v>
      </c>
    </row>
    <row r="44" spans="2:7" x14ac:dyDescent="0.25">
      <c r="B44" s="5">
        <v>0.41666666666666702</v>
      </c>
      <c r="C44" s="33">
        <f>'Hourly Bike-Ped Counts'!D371</f>
        <v>0</v>
      </c>
      <c r="D44" s="33">
        <f>'Hourly Bike-Ped Counts'!D372</f>
        <v>0</v>
      </c>
      <c r="E44" s="33">
        <f>'Hourly Bike-Ped Counts'!D373</f>
        <v>0</v>
      </c>
      <c r="F44" s="33">
        <f>'Hourly Bike-Ped Counts'!D374</f>
        <v>0</v>
      </c>
      <c r="G44" s="34">
        <f t="shared" si="1"/>
        <v>0</v>
      </c>
    </row>
    <row r="45" spans="2:7" x14ac:dyDescent="0.25">
      <c r="B45" s="5">
        <v>0.42708333333333298</v>
      </c>
      <c r="C45" s="33">
        <f>'Hourly Bike-Ped Counts'!D380</f>
        <v>3</v>
      </c>
      <c r="D45" s="33">
        <f>'Hourly Bike-Ped Counts'!D381</f>
        <v>2</v>
      </c>
      <c r="E45" s="33">
        <f>'Hourly Bike-Ped Counts'!D382</f>
        <v>0</v>
      </c>
      <c r="F45" s="33">
        <f>'Hourly Bike-Ped Counts'!D383</f>
        <v>0</v>
      </c>
      <c r="G45" s="34">
        <f t="shared" si="1"/>
        <v>5</v>
      </c>
    </row>
    <row r="46" spans="2:7" x14ac:dyDescent="0.25">
      <c r="B46" s="5">
        <v>0.4375</v>
      </c>
      <c r="C46" s="33">
        <f>'Hourly Bike-Ped Counts'!D389</f>
        <v>1</v>
      </c>
      <c r="D46" s="33">
        <f>'Hourly Bike-Ped Counts'!D390</f>
        <v>2</v>
      </c>
      <c r="E46" s="33">
        <f>'Hourly Bike-Ped Counts'!D391</f>
        <v>0</v>
      </c>
      <c r="F46" s="33">
        <f>'Hourly Bike-Ped Counts'!D392</f>
        <v>0</v>
      </c>
      <c r="G46" s="34">
        <f t="shared" si="1"/>
        <v>3</v>
      </c>
    </row>
    <row r="47" spans="2:7" x14ac:dyDescent="0.25">
      <c r="B47" s="5">
        <v>0.44791666666666702</v>
      </c>
      <c r="C47" s="33">
        <f>'Hourly Bike-Ped Counts'!D398</f>
        <v>0</v>
      </c>
      <c r="D47" s="33">
        <f>'Hourly Bike-Ped Counts'!D399</f>
        <v>2</v>
      </c>
      <c r="E47" s="33">
        <f>'Hourly Bike-Ped Counts'!D400</f>
        <v>0</v>
      </c>
      <c r="F47" s="33">
        <f>'Hourly Bike-Ped Counts'!D401</f>
        <v>0</v>
      </c>
      <c r="G47" s="34">
        <f t="shared" si="1"/>
        <v>2</v>
      </c>
    </row>
    <row r="48" spans="2:7" x14ac:dyDescent="0.25">
      <c r="B48" s="5">
        <v>0.45833333333333298</v>
      </c>
      <c r="C48" s="33">
        <f>'Hourly Bike-Ped Counts'!D407</f>
        <v>1</v>
      </c>
      <c r="D48" s="33">
        <f>'Hourly Bike-Ped Counts'!D408</f>
        <v>0</v>
      </c>
      <c r="E48" s="33">
        <f>'Hourly Bike-Ped Counts'!D409</f>
        <v>0</v>
      </c>
      <c r="F48" s="33">
        <f>'Hourly Bike-Ped Counts'!D410</f>
        <v>0</v>
      </c>
      <c r="G48" s="34">
        <f t="shared" si="1"/>
        <v>1</v>
      </c>
    </row>
    <row r="49" spans="2:7" x14ac:dyDescent="0.25">
      <c r="B49" s="5">
        <v>0.46875</v>
      </c>
      <c r="C49" s="33">
        <f>'Hourly Bike-Ped Counts'!D416</f>
        <v>2</v>
      </c>
      <c r="D49" s="33">
        <f>'Hourly Bike-Ped Counts'!D417</f>
        <v>4</v>
      </c>
      <c r="E49" s="33">
        <f>'Hourly Bike-Ped Counts'!D418</f>
        <v>0</v>
      </c>
      <c r="F49" s="33">
        <f>'Hourly Bike-Ped Counts'!D419</f>
        <v>0</v>
      </c>
      <c r="G49" s="34">
        <f t="shared" si="1"/>
        <v>6</v>
      </c>
    </row>
    <row r="50" spans="2:7" x14ac:dyDescent="0.25">
      <c r="B50" s="5">
        <v>0.47916666666666702</v>
      </c>
      <c r="C50" s="33">
        <f>'Hourly Bike-Ped Counts'!D425</f>
        <v>3</v>
      </c>
      <c r="D50" s="33">
        <f>'Hourly Bike-Ped Counts'!D426</f>
        <v>0</v>
      </c>
      <c r="E50" s="33">
        <f>'Hourly Bike-Ped Counts'!D427</f>
        <v>0</v>
      </c>
      <c r="F50" s="33">
        <f>'Hourly Bike-Ped Counts'!D428</f>
        <v>0</v>
      </c>
      <c r="G50" s="34">
        <f t="shared" si="1"/>
        <v>3</v>
      </c>
    </row>
    <row r="51" spans="2:7" x14ac:dyDescent="0.25">
      <c r="B51" s="5">
        <v>0.48958333333333298</v>
      </c>
      <c r="C51" s="33">
        <f>'Hourly Bike-Ped Counts'!D434</f>
        <v>0</v>
      </c>
      <c r="D51" s="33">
        <f>'Hourly Bike-Ped Counts'!D435</f>
        <v>5</v>
      </c>
      <c r="E51" s="33">
        <f>'Hourly Bike-Ped Counts'!D436</f>
        <v>0</v>
      </c>
      <c r="F51" s="33">
        <f>'Hourly Bike-Ped Counts'!D437</f>
        <v>0</v>
      </c>
      <c r="G51" s="34">
        <f t="shared" si="1"/>
        <v>5</v>
      </c>
    </row>
    <row r="52" spans="2:7" x14ac:dyDescent="0.25">
      <c r="B52" s="5">
        <v>0.5</v>
      </c>
      <c r="C52" s="33">
        <f>'Hourly Bike-Ped Counts'!D443</f>
        <v>3</v>
      </c>
      <c r="D52" s="33">
        <f>'Hourly Bike-Ped Counts'!D444</f>
        <v>0</v>
      </c>
      <c r="E52" s="33">
        <f>'Hourly Bike-Ped Counts'!D445</f>
        <v>0</v>
      </c>
      <c r="F52" s="33">
        <f>'Hourly Bike-Ped Counts'!D446</f>
        <v>0</v>
      </c>
      <c r="G52" s="34">
        <f t="shared" si="1"/>
        <v>3</v>
      </c>
    </row>
    <row r="53" spans="2:7" x14ac:dyDescent="0.25">
      <c r="B53" s="5">
        <v>0.51041666666666696</v>
      </c>
      <c r="C53" s="33">
        <f>'Hourly Bike-Ped Counts'!D452</f>
        <v>0</v>
      </c>
      <c r="D53" s="33">
        <f>'Hourly Bike-Ped Counts'!D453</f>
        <v>3</v>
      </c>
      <c r="E53" s="33">
        <f>'Hourly Bike-Ped Counts'!D454</f>
        <v>0</v>
      </c>
      <c r="F53" s="33">
        <f>'Hourly Bike-Ped Counts'!D455</f>
        <v>0</v>
      </c>
      <c r="G53" s="34">
        <f t="shared" si="1"/>
        <v>3</v>
      </c>
    </row>
    <row r="54" spans="2:7" x14ac:dyDescent="0.25">
      <c r="B54" s="5">
        <v>0.52083333333333304</v>
      </c>
      <c r="C54" s="33">
        <f>'Hourly Bike-Ped Counts'!D461</f>
        <v>1</v>
      </c>
      <c r="D54" s="33">
        <f>'Hourly Bike-Ped Counts'!D462</f>
        <v>0</v>
      </c>
      <c r="E54" s="33">
        <f>'Hourly Bike-Ped Counts'!D463</f>
        <v>0</v>
      </c>
      <c r="F54" s="33">
        <f>'Hourly Bike-Ped Counts'!D464</f>
        <v>0</v>
      </c>
      <c r="G54" s="34">
        <f t="shared" si="1"/>
        <v>1</v>
      </c>
    </row>
    <row r="55" spans="2:7" x14ac:dyDescent="0.25">
      <c r="B55" s="5">
        <v>0.53125</v>
      </c>
      <c r="C55" s="33">
        <f>'Hourly Bike-Ped Counts'!D470</f>
        <v>2</v>
      </c>
      <c r="D55" s="33">
        <f>'Hourly Bike-Ped Counts'!D471</f>
        <v>0</v>
      </c>
      <c r="E55" s="33">
        <f>'Hourly Bike-Ped Counts'!D472</f>
        <v>0</v>
      </c>
      <c r="F55" s="33">
        <f>'Hourly Bike-Ped Counts'!D473</f>
        <v>0</v>
      </c>
      <c r="G55" s="34">
        <f t="shared" si="1"/>
        <v>2</v>
      </c>
    </row>
    <row r="56" spans="2:7" x14ac:dyDescent="0.25">
      <c r="B56" s="5">
        <v>0.54166666666666696</v>
      </c>
      <c r="C56" s="33">
        <f>'Hourly Bike-Ped Counts'!D479</f>
        <v>1</v>
      </c>
      <c r="D56" s="33">
        <f>'Hourly Bike-Ped Counts'!D480</f>
        <v>0</v>
      </c>
      <c r="E56" s="33">
        <f>'Hourly Bike-Ped Counts'!D481</f>
        <v>0</v>
      </c>
      <c r="F56" s="33">
        <f>'Hourly Bike-Ped Counts'!D482</f>
        <v>0</v>
      </c>
      <c r="G56" s="34">
        <f t="shared" si="1"/>
        <v>1</v>
      </c>
    </row>
    <row r="57" spans="2:7" x14ac:dyDescent="0.25">
      <c r="B57" s="5">
        <v>0.55208333333333304</v>
      </c>
      <c r="C57" s="33">
        <f>'Hourly Bike-Ped Counts'!D488</f>
        <v>2</v>
      </c>
      <c r="D57" s="33">
        <f>'Hourly Bike-Ped Counts'!D489</f>
        <v>0</v>
      </c>
      <c r="E57" s="33">
        <f>'Hourly Bike-Ped Counts'!D490</f>
        <v>0</v>
      </c>
      <c r="F57" s="33">
        <f>'Hourly Bike-Ped Counts'!D491</f>
        <v>0</v>
      </c>
      <c r="G57" s="34">
        <f t="shared" si="1"/>
        <v>2</v>
      </c>
    </row>
    <row r="58" spans="2:7" x14ac:dyDescent="0.25">
      <c r="B58" s="5">
        <v>0.5625</v>
      </c>
      <c r="C58" s="33">
        <f>'Hourly Bike-Ped Counts'!D497</f>
        <v>0</v>
      </c>
      <c r="D58" s="33">
        <f>'Hourly Bike-Ped Counts'!D498</f>
        <v>0</v>
      </c>
      <c r="E58" s="33">
        <f>'Hourly Bike-Ped Counts'!D499</f>
        <v>0</v>
      </c>
      <c r="F58" s="33">
        <f>'Hourly Bike-Ped Counts'!D500</f>
        <v>0</v>
      </c>
      <c r="G58" s="34">
        <f t="shared" si="1"/>
        <v>0</v>
      </c>
    </row>
    <row r="59" spans="2:7" x14ac:dyDescent="0.25">
      <c r="B59" s="5">
        <v>0.57291666666666696</v>
      </c>
      <c r="C59" s="33">
        <f>'Hourly Bike-Ped Counts'!D506</f>
        <v>1</v>
      </c>
      <c r="D59" s="33">
        <f>'Hourly Bike-Ped Counts'!D507</f>
        <v>0</v>
      </c>
      <c r="E59" s="33">
        <f>'Hourly Bike-Ped Counts'!D508</f>
        <v>0</v>
      </c>
      <c r="F59" s="33">
        <f>'Hourly Bike-Ped Counts'!D509</f>
        <v>0</v>
      </c>
      <c r="G59" s="34">
        <f t="shared" si="1"/>
        <v>1</v>
      </c>
    </row>
    <row r="60" spans="2:7" x14ac:dyDescent="0.25">
      <c r="B60" s="5">
        <v>0.58333333333333304</v>
      </c>
      <c r="C60" s="33">
        <f>'Hourly Bike-Ped Counts'!D515</f>
        <v>0</v>
      </c>
      <c r="D60" s="33">
        <f>'Hourly Bike-Ped Counts'!D516</f>
        <v>2</v>
      </c>
      <c r="E60" s="33">
        <f>'Hourly Bike-Ped Counts'!D517</f>
        <v>0</v>
      </c>
      <c r="F60" s="33">
        <f>'Hourly Bike-Ped Counts'!D518</f>
        <v>0</v>
      </c>
      <c r="G60" s="34">
        <f t="shared" si="1"/>
        <v>2</v>
      </c>
    </row>
    <row r="61" spans="2:7" x14ac:dyDescent="0.25">
      <c r="B61" s="5">
        <v>0.59375</v>
      </c>
      <c r="C61" s="33">
        <f>'Hourly Bike-Ped Counts'!D524</f>
        <v>1</v>
      </c>
      <c r="D61" s="33">
        <f>'Hourly Bike-Ped Counts'!D525</f>
        <v>0</v>
      </c>
      <c r="E61" s="33">
        <f>'Hourly Bike-Ped Counts'!D526</f>
        <v>0</v>
      </c>
      <c r="F61" s="33">
        <f>'Hourly Bike-Ped Counts'!D527</f>
        <v>0</v>
      </c>
      <c r="G61" s="34">
        <f t="shared" si="1"/>
        <v>1</v>
      </c>
    </row>
    <row r="62" spans="2:7" x14ac:dyDescent="0.25">
      <c r="B62" s="5">
        <v>0.60416666666666696</v>
      </c>
      <c r="C62" s="33">
        <f>'Hourly Bike-Ped Counts'!D533</f>
        <v>0</v>
      </c>
      <c r="D62" s="33">
        <f>'Hourly Bike-Ped Counts'!D534</f>
        <v>0</v>
      </c>
      <c r="E62" s="33">
        <f>'Hourly Bike-Ped Counts'!D535</f>
        <v>0</v>
      </c>
      <c r="F62" s="33">
        <f>'Hourly Bike-Ped Counts'!D536</f>
        <v>0</v>
      </c>
      <c r="G62" s="34">
        <f t="shared" si="1"/>
        <v>0</v>
      </c>
    </row>
    <row r="63" spans="2:7" x14ac:dyDescent="0.25">
      <c r="B63" s="5">
        <v>0.61458333333333304</v>
      </c>
      <c r="C63" s="33">
        <f>'Hourly Bike-Ped Counts'!D542</f>
        <v>6</v>
      </c>
      <c r="D63" s="33">
        <f>'Hourly Bike-Ped Counts'!D543</f>
        <v>0</v>
      </c>
      <c r="E63" s="33">
        <f>'Hourly Bike-Ped Counts'!D544</f>
        <v>0</v>
      </c>
      <c r="F63" s="33">
        <f>'Hourly Bike-Ped Counts'!D545</f>
        <v>0</v>
      </c>
      <c r="G63" s="34">
        <f t="shared" si="1"/>
        <v>6</v>
      </c>
    </row>
    <row r="64" spans="2:7" x14ac:dyDescent="0.25">
      <c r="B64" s="5">
        <v>0.625</v>
      </c>
      <c r="C64" s="33">
        <f>'Hourly Bike-Ped Counts'!D551</f>
        <v>3</v>
      </c>
      <c r="D64" s="33">
        <f>'Hourly Bike-Ped Counts'!D552</f>
        <v>8</v>
      </c>
      <c r="E64" s="33">
        <f>'Hourly Bike-Ped Counts'!D553</f>
        <v>0</v>
      </c>
      <c r="F64" s="33">
        <f>'Hourly Bike-Ped Counts'!D554</f>
        <v>0</v>
      </c>
      <c r="G64" s="34">
        <f t="shared" si="1"/>
        <v>11</v>
      </c>
    </row>
    <row r="65" spans="2:7" x14ac:dyDescent="0.25">
      <c r="B65" s="5">
        <v>0.63541666666666696</v>
      </c>
      <c r="C65" s="33">
        <f>'Hourly Bike-Ped Counts'!D560</f>
        <v>16</v>
      </c>
      <c r="D65" s="33">
        <f>'Hourly Bike-Ped Counts'!D561</f>
        <v>10</v>
      </c>
      <c r="E65" s="33">
        <f>'Hourly Bike-Ped Counts'!D562</f>
        <v>3</v>
      </c>
      <c r="F65" s="33">
        <f>'Hourly Bike-Ped Counts'!D563</f>
        <v>0</v>
      </c>
      <c r="G65" s="34">
        <f t="shared" si="1"/>
        <v>29</v>
      </c>
    </row>
    <row r="66" spans="2:7" x14ac:dyDescent="0.25">
      <c r="B66" s="5">
        <v>0.64583333333333304</v>
      </c>
      <c r="C66" s="33">
        <f>'Hourly Bike-Ped Counts'!D569</f>
        <v>101</v>
      </c>
      <c r="D66" s="33">
        <f>'Hourly Bike-Ped Counts'!D570</f>
        <v>85</v>
      </c>
      <c r="E66" s="33">
        <f>'Hourly Bike-Ped Counts'!D571</f>
        <v>39</v>
      </c>
      <c r="F66" s="33">
        <f>'Hourly Bike-Ped Counts'!D572</f>
        <v>1</v>
      </c>
      <c r="G66" s="34">
        <f t="shared" si="1"/>
        <v>226</v>
      </c>
    </row>
    <row r="67" spans="2:7" x14ac:dyDescent="0.25">
      <c r="B67" s="5">
        <v>0.65625</v>
      </c>
      <c r="C67" s="33">
        <f>'Hourly Bike-Ped Counts'!D578</f>
        <v>2</v>
      </c>
      <c r="D67" s="33">
        <f>'Hourly Bike-Ped Counts'!D579</f>
        <v>5</v>
      </c>
      <c r="E67" s="33">
        <f>'Hourly Bike-Ped Counts'!D580</f>
        <v>0</v>
      </c>
      <c r="F67" s="33">
        <f>'Hourly Bike-Ped Counts'!D581</f>
        <v>0</v>
      </c>
      <c r="G67" s="34">
        <f t="shared" si="1"/>
        <v>7</v>
      </c>
    </row>
    <row r="68" spans="2:7" x14ac:dyDescent="0.25">
      <c r="B68" s="5">
        <v>0.66666666666666696</v>
      </c>
      <c r="C68" s="33">
        <f>'Hourly Bike-Ped Counts'!D587</f>
        <v>0</v>
      </c>
      <c r="D68" s="33">
        <f>'Hourly Bike-Ped Counts'!D588</f>
        <v>0</v>
      </c>
      <c r="E68" s="33">
        <f>'Hourly Bike-Ped Counts'!D589</f>
        <v>0</v>
      </c>
      <c r="F68" s="33">
        <f>'Hourly Bike-Ped Counts'!D590</f>
        <v>0</v>
      </c>
      <c r="G68" s="34">
        <f t="shared" si="1"/>
        <v>0</v>
      </c>
    </row>
    <row r="69" spans="2:7" x14ac:dyDescent="0.25">
      <c r="B69" s="5">
        <v>0.67708333333333304</v>
      </c>
      <c r="C69" s="33">
        <f>'Hourly Bike-Ped Counts'!D596</f>
        <v>1</v>
      </c>
      <c r="D69" s="33">
        <f>'Hourly Bike-Ped Counts'!D597</f>
        <v>0</v>
      </c>
      <c r="E69" s="33">
        <f>'Hourly Bike-Ped Counts'!D598</f>
        <v>3</v>
      </c>
      <c r="F69" s="33">
        <f>'Hourly Bike-Ped Counts'!D599</f>
        <v>0</v>
      </c>
      <c r="G69" s="34">
        <f t="shared" ref="G69:G99" si="27">SUM(C69:F69)</f>
        <v>4</v>
      </c>
    </row>
    <row r="70" spans="2:7" x14ac:dyDescent="0.25">
      <c r="B70" s="5">
        <v>0.6875</v>
      </c>
      <c r="C70" s="33">
        <f>'Hourly Bike-Ped Counts'!D605</f>
        <v>5</v>
      </c>
      <c r="D70" s="33">
        <f>'Hourly Bike-Ped Counts'!D606</f>
        <v>4</v>
      </c>
      <c r="E70" s="33">
        <f>'Hourly Bike-Ped Counts'!D607</f>
        <v>1</v>
      </c>
      <c r="F70" s="33">
        <f>'Hourly Bike-Ped Counts'!D608</f>
        <v>0</v>
      </c>
      <c r="G70" s="34">
        <f t="shared" si="27"/>
        <v>10</v>
      </c>
    </row>
    <row r="71" spans="2:7" x14ac:dyDescent="0.25">
      <c r="B71" s="5">
        <v>0.69791666666666696</v>
      </c>
      <c r="C71" s="33">
        <f>'Hourly Bike-Ped Counts'!D614</f>
        <v>0</v>
      </c>
      <c r="D71" s="33">
        <f>'Hourly Bike-Ped Counts'!D615</f>
        <v>0</v>
      </c>
      <c r="E71" s="33">
        <f>'Hourly Bike-Ped Counts'!D616</f>
        <v>1</v>
      </c>
      <c r="F71" s="33">
        <f>'Hourly Bike-Ped Counts'!D617</f>
        <v>0</v>
      </c>
      <c r="G71" s="34">
        <f t="shared" si="27"/>
        <v>1</v>
      </c>
    </row>
    <row r="72" spans="2:7" x14ac:dyDescent="0.25">
      <c r="B72" s="5">
        <v>0.70833333333333304</v>
      </c>
      <c r="C72" s="33">
        <f>'Hourly Bike-Ped Counts'!D623</f>
        <v>5</v>
      </c>
      <c r="D72" s="33">
        <f>'Hourly Bike-Ped Counts'!D624</f>
        <v>0</v>
      </c>
      <c r="E72" s="33">
        <f>'Hourly Bike-Ped Counts'!D625</f>
        <v>0</v>
      </c>
      <c r="F72" s="33">
        <f>'Hourly Bike-Ped Counts'!D626</f>
        <v>0</v>
      </c>
      <c r="G72" s="34">
        <f t="shared" si="27"/>
        <v>5</v>
      </c>
    </row>
    <row r="73" spans="2:7" x14ac:dyDescent="0.25">
      <c r="B73" s="5">
        <v>0.71875</v>
      </c>
      <c r="C73" s="33">
        <f>'Hourly Bike-Ped Counts'!D632</f>
        <v>0</v>
      </c>
      <c r="D73" s="33">
        <f>'Hourly Bike-Ped Counts'!D633</f>
        <v>2</v>
      </c>
      <c r="E73" s="33">
        <f>'Hourly Bike-Ped Counts'!D634</f>
        <v>0</v>
      </c>
      <c r="F73" s="33">
        <f>'Hourly Bike-Ped Counts'!D635</f>
        <v>0</v>
      </c>
      <c r="G73" s="34">
        <f t="shared" si="27"/>
        <v>2</v>
      </c>
    </row>
    <row r="74" spans="2:7" x14ac:dyDescent="0.25">
      <c r="B74" s="5">
        <v>0.72916666666666696</v>
      </c>
      <c r="C74" s="33">
        <f>'Hourly Bike-Ped Counts'!D641</f>
        <v>0</v>
      </c>
      <c r="D74" s="33">
        <f>'Hourly Bike-Ped Counts'!D642</f>
        <v>1</v>
      </c>
      <c r="E74" s="33">
        <f>'Hourly Bike-Ped Counts'!D643</f>
        <v>1</v>
      </c>
      <c r="F74" s="33">
        <f>'Hourly Bike-Ped Counts'!D644</f>
        <v>0</v>
      </c>
      <c r="G74" s="34">
        <f t="shared" si="27"/>
        <v>2</v>
      </c>
    </row>
    <row r="75" spans="2:7" x14ac:dyDescent="0.25">
      <c r="B75" s="5">
        <v>0.73958333333333304</v>
      </c>
      <c r="C75" s="33">
        <f>'Hourly Bike-Ped Counts'!D650</f>
        <v>0</v>
      </c>
      <c r="D75" s="33">
        <f>'Hourly Bike-Ped Counts'!D651</f>
        <v>1</v>
      </c>
      <c r="E75" s="33">
        <f>'Hourly Bike-Ped Counts'!D652</f>
        <v>0</v>
      </c>
      <c r="F75" s="33">
        <f>'Hourly Bike-Ped Counts'!D653</f>
        <v>0</v>
      </c>
      <c r="G75" s="34">
        <f t="shared" si="27"/>
        <v>1</v>
      </c>
    </row>
    <row r="76" spans="2:7" x14ac:dyDescent="0.25">
      <c r="B76" s="5">
        <v>0.75</v>
      </c>
      <c r="C76" s="33">
        <f>'Hourly Bike-Ped Counts'!D659</f>
        <v>0</v>
      </c>
      <c r="D76" s="33">
        <f>'Hourly Bike-Ped Counts'!D660</f>
        <v>1</v>
      </c>
      <c r="E76" s="33">
        <f>'Hourly Bike-Ped Counts'!D661</f>
        <v>0</v>
      </c>
      <c r="F76" s="33">
        <f>'Hourly Bike-Ped Counts'!D662</f>
        <v>0</v>
      </c>
      <c r="G76" s="34">
        <f t="shared" si="27"/>
        <v>1</v>
      </c>
    </row>
    <row r="77" spans="2:7" x14ac:dyDescent="0.25">
      <c r="B77" s="5">
        <v>0.76041666666666696</v>
      </c>
      <c r="C77" s="33">
        <f>'Hourly Bike-Ped Counts'!D668</f>
        <v>0</v>
      </c>
      <c r="D77" s="33">
        <f>'Hourly Bike-Ped Counts'!D669</f>
        <v>0</v>
      </c>
      <c r="E77" s="33">
        <f>'Hourly Bike-Ped Counts'!D670</f>
        <v>1</v>
      </c>
      <c r="F77" s="33">
        <f>'Hourly Bike-Ped Counts'!D671</f>
        <v>0</v>
      </c>
      <c r="G77" s="34">
        <f t="shared" si="27"/>
        <v>1</v>
      </c>
    </row>
    <row r="78" spans="2:7" x14ac:dyDescent="0.25">
      <c r="B78" s="5">
        <v>0.77083333333333304</v>
      </c>
      <c r="C78" s="33">
        <f>'Hourly Bike-Ped Counts'!D677</f>
        <v>0</v>
      </c>
      <c r="D78" s="33">
        <f>'Hourly Bike-Ped Counts'!D678</f>
        <v>2</v>
      </c>
      <c r="E78" s="33">
        <f>'Hourly Bike-Ped Counts'!D679</f>
        <v>2</v>
      </c>
      <c r="F78" s="33">
        <f>'Hourly Bike-Ped Counts'!D680</f>
        <v>0</v>
      </c>
      <c r="G78" s="34">
        <f t="shared" si="27"/>
        <v>4</v>
      </c>
    </row>
    <row r="79" spans="2:7" x14ac:dyDescent="0.25">
      <c r="B79" s="5">
        <v>0.78125</v>
      </c>
      <c r="C79" s="33">
        <f>'Hourly Bike-Ped Counts'!D686</f>
        <v>0</v>
      </c>
      <c r="D79" s="33">
        <f>'Hourly Bike-Ped Counts'!D687</f>
        <v>2</v>
      </c>
      <c r="E79" s="33">
        <f>'Hourly Bike-Ped Counts'!D688</f>
        <v>0</v>
      </c>
      <c r="F79" s="33">
        <f>'Hourly Bike-Ped Counts'!D689</f>
        <v>0</v>
      </c>
      <c r="G79" s="34">
        <f t="shared" si="27"/>
        <v>2</v>
      </c>
    </row>
    <row r="80" spans="2:7" x14ac:dyDescent="0.25">
      <c r="B80" s="5">
        <v>0.79166666666666696</v>
      </c>
      <c r="C80" s="33">
        <f>'Hourly Bike-Ped Counts'!D695</f>
        <v>1</v>
      </c>
      <c r="D80" s="33">
        <f>'Hourly Bike-Ped Counts'!D696</f>
        <v>0</v>
      </c>
      <c r="E80" s="33">
        <f>'Hourly Bike-Ped Counts'!D697</f>
        <v>0</v>
      </c>
      <c r="F80" s="33">
        <f>'Hourly Bike-Ped Counts'!D698</f>
        <v>0</v>
      </c>
      <c r="G80" s="34">
        <f t="shared" si="27"/>
        <v>1</v>
      </c>
    </row>
    <row r="81" spans="2:7" x14ac:dyDescent="0.25">
      <c r="B81" s="5">
        <v>0.80208333333333304</v>
      </c>
      <c r="C81" s="33">
        <f>'Hourly Bike-Ped Counts'!D704</f>
        <v>7</v>
      </c>
      <c r="D81" s="33">
        <f>'Hourly Bike-Ped Counts'!D705</f>
        <v>1</v>
      </c>
      <c r="E81" s="33">
        <f>'Hourly Bike-Ped Counts'!D706</f>
        <v>0</v>
      </c>
      <c r="F81" s="33">
        <f>'Hourly Bike-Ped Counts'!D707</f>
        <v>0</v>
      </c>
      <c r="G81" s="34">
        <f t="shared" si="27"/>
        <v>8</v>
      </c>
    </row>
    <row r="82" spans="2:7" x14ac:dyDescent="0.25">
      <c r="B82" s="5">
        <v>0.8125</v>
      </c>
      <c r="C82" s="33">
        <f>'Hourly Bike-Ped Counts'!D713</f>
        <v>5</v>
      </c>
      <c r="D82" s="33">
        <f>'Hourly Bike-Ped Counts'!D714</f>
        <v>3</v>
      </c>
      <c r="E82" s="33">
        <f>'Hourly Bike-Ped Counts'!D715</f>
        <v>0</v>
      </c>
      <c r="F82" s="33">
        <f>'Hourly Bike-Ped Counts'!D716</f>
        <v>0</v>
      </c>
      <c r="G82" s="34">
        <f t="shared" si="27"/>
        <v>8</v>
      </c>
    </row>
    <row r="83" spans="2:7" x14ac:dyDescent="0.25">
      <c r="B83" s="5">
        <v>0.82291666666666696</v>
      </c>
      <c r="C83" s="33">
        <f>'Hourly Bike-Ped Counts'!D722</f>
        <v>2</v>
      </c>
      <c r="D83" s="33">
        <f>'Hourly Bike-Ped Counts'!D723</f>
        <v>2</v>
      </c>
      <c r="E83" s="33">
        <f>'Hourly Bike-Ped Counts'!D724</f>
        <v>0</v>
      </c>
      <c r="F83" s="33">
        <f>'Hourly Bike-Ped Counts'!D725</f>
        <v>0</v>
      </c>
      <c r="G83" s="34">
        <f t="shared" si="27"/>
        <v>4</v>
      </c>
    </row>
    <row r="84" spans="2:7" x14ac:dyDescent="0.25">
      <c r="B84" s="5">
        <v>0.83333333333333304</v>
      </c>
      <c r="C84" s="33">
        <f>'Hourly Bike-Ped Counts'!D731</f>
        <v>3</v>
      </c>
      <c r="D84" s="33">
        <f>'Hourly Bike-Ped Counts'!D732</f>
        <v>5</v>
      </c>
      <c r="E84" s="33">
        <f>'Hourly Bike-Ped Counts'!D733</f>
        <v>0</v>
      </c>
      <c r="F84" s="33">
        <f>'Hourly Bike-Ped Counts'!D734</f>
        <v>0</v>
      </c>
      <c r="G84" s="34">
        <f t="shared" si="27"/>
        <v>8</v>
      </c>
    </row>
    <row r="85" spans="2:7" x14ac:dyDescent="0.25">
      <c r="B85" s="5">
        <v>0.84375</v>
      </c>
      <c r="C85" s="33">
        <f>'Hourly Bike-Ped Counts'!D740</f>
        <v>3</v>
      </c>
      <c r="D85" s="33">
        <f>'Hourly Bike-Ped Counts'!D741</f>
        <v>0</v>
      </c>
      <c r="E85" s="33">
        <f>'Hourly Bike-Ped Counts'!D742</f>
        <v>0</v>
      </c>
      <c r="F85" s="33">
        <f>'Hourly Bike-Ped Counts'!D743</f>
        <v>0</v>
      </c>
      <c r="G85" s="34">
        <f t="shared" si="27"/>
        <v>3</v>
      </c>
    </row>
    <row r="86" spans="2:7" x14ac:dyDescent="0.25">
      <c r="B86" s="5">
        <v>0.85416666666666696</v>
      </c>
      <c r="C86" s="33">
        <f>'Hourly Bike-Ped Counts'!D749</f>
        <v>10</v>
      </c>
      <c r="D86" s="33">
        <f>'Hourly Bike-Ped Counts'!D750</f>
        <v>2</v>
      </c>
      <c r="E86" s="33">
        <f>'Hourly Bike-Ped Counts'!D751</f>
        <v>0</v>
      </c>
      <c r="F86" s="33">
        <f>'Hourly Bike-Ped Counts'!D752</f>
        <v>0</v>
      </c>
      <c r="G86" s="34">
        <f t="shared" si="27"/>
        <v>12</v>
      </c>
    </row>
    <row r="87" spans="2:7" x14ac:dyDescent="0.25">
      <c r="B87" s="5">
        <v>0.86458333333333304</v>
      </c>
      <c r="C87" s="33">
        <f>'Hourly Bike-Ped Counts'!D758</f>
        <v>5</v>
      </c>
      <c r="D87" s="33">
        <f>'Hourly Bike-Ped Counts'!D759</f>
        <v>1</v>
      </c>
      <c r="E87" s="33">
        <f>'Hourly Bike-Ped Counts'!D760</f>
        <v>0</v>
      </c>
      <c r="F87" s="33">
        <f>'Hourly Bike-Ped Counts'!D761</f>
        <v>0</v>
      </c>
      <c r="G87" s="34">
        <f t="shared" si="27"/>
        <v>6</v>
      </c>
    </row>
    <row r="88" spans="2:7" x14ac:dyDescent="0.25">
      <c r="B88" s="5">
        <v>0.875</v>
      </c>
      <c r="C88" s="33">
        <f>'Hourly Bike-Ped Counts'!D767</f>
        <v>0</v>
      </c>
      <c r="D88" s="33">
        <f>'Hourly Bike-Ped Counts'!D768</f>
        <v>0</v>
      </c>
      <c r="E88" s="33">
        <f>'Hourly Bike-Ped Counts'!D769</f>
        <v>0</v>
      </c>
      <c r="F88" s="33">
        <f>'Hourly Bike-Ped Counts'!D770</f>
        <v>0</v>
      </c>
      <c r="G88" s="34">
        <f t="shared" si="27"/>
        <v>0</v>
      </c>
    </row>
    <row r="89" spans="2:7" x14ac:dyDescent="0.25">
      <c r="B89" s="5">
        <v>0.88541666666666696</v>
      </c>
      <c r="C89" s="33">
        <f>'Hourly Bike-Ped Counts'!D776</f>
        <v>0</v>
      </c>
      <c r="D89" s="33">
        <f>'Hourly Bike-Ped Counts'!D777</f>
        <v>0</v>
      </c>
      <c r="E89" s="33">
        <f>'Hourly Bike-Ped Counts'!D778</f>
        <v>0</v>
      </c>
      <c r="F89" s="33">
        <f>'Hourly Bike-Ped Counts'!D779</f>
        <v>0</v>
      </c>
      <c r="G89" s="34">
        <f t="shared" si="27"/>
        <v>0</v>
      </c>
    </row>
    <row r="90" spans="2:7" x14ac:dyDescent="0.25">
      <c r="B90" s="5">
        <v>0.89583333333333304</v>
      </c>
      <c r="C90" s="33">
        <f>'Hourly Bike-Ped Counts'!D785</f>
        <v>2</v>
      </c>
      <c r="D90" s="33">
        <f>'Hourly Bike-Ped Counts'!D786</f>
        <v>2</v>
      </c>
      <c r="E90" s="33">
        <f>'Hourly Bike-Ped Counts'!D787</f>
        <v>0</v>
      </c>
      <c r="F90" s="33">
        <f>'Hourly Bike-Ped Counts'!D788</f>
        <v>0</v>
      </c>
      <c r="G90" s="34">
        <f t="shared" si="27"/>
        <v>4</v>
      </c>
    </row>
    <row r="91" spans="2:7" x14ac:dyDescent="0.25">
      <c r="B91" s="5">
        <v>0.90625</v>
      </c>
      <c r="C91" s="33">
        <f>'Hourly Bike-Ped Counts'!D794</f>
        <v>4</v>
      </c>
      <c r="D91" s="33">
        <f>'Hourly Bike-Ped Counts'!D795</f>
        <v>0</v>
      </c>
      <c r="E91" s="33">
        <f>'Hourly Bike-Ped Counts'!D796</f>
        <v>0</v>
      </c>
      <c r="F91" s="33">
        <f>'Hourly Bike-Ped Counts'!D797</f>
        <v>0</v>
      </c>
      <c r="G91" s="34">
        <f t="shared" si="27"/>
        <v>4</v>
      </c>
    </row>
    <row r="92" spans="2:7" x14ac:dyDescent="0.25">
      <c r="B92" s="5">
        <v>0.91666666666666696</v>
      </c>
      <c r="C92" s="33">
        <f>'Hourly Bike-Ped Counts'!D803</f>
        <v>0</v>
      </c>
      <c r="D92" s="33">
        <f>'Hourly Bike-Ped Counts'!D804</f>
        <v>0</v>
      </c>
      <c r="E92" s="33">
        <f>'Hourly Bike-Ped Counts'!D805</f>
        <v>0</v>
      </c>
      <c r="F92" s="33">
        <f>'Hourly Bike-Ped Counts'!D806</f>
        <v>0</v>
      </c>
      <c r="G92" s="34">
        <f t="shared" si="27"/>
        <v>0</v>
      </c>
    </row>
    <row r="93" spans="2:7" x14ac:dyDescent="0.25">
      <c r="B93" s="5">
        <v>0.92708333333333304</v>
      </c>
      <c r="C93" s="33">
        <f>'Hourly Bike-Ped Counts'!D812</f>
        <v>2</v>
      </c>
      <c r="D93" s="33">
        <f>'Hourly Bike-Ped Counts'!D813</f>
        <v>0</v>
      </c>
      <c r="E93" s="33">
        <f>'Hourly Bike-Ped Counts'!D814</f>
        <v>0</v>
      </c>
      <c r="F93" s="33">
        <f>'Hourly Bike-Ped Counts'!D815</f>
        <v>0</v>
      </c>
      <c r="G93" s="34">
        <f t="shared" si="27"/>
        <v>2</v>
      </c>
    </row>
    <row r="94" spans="2:7" x14ac:dyDescent="0.25">
      <c r="B94" s="5">
        <v>0.9375</v>
      </c>
      <c r="C94" s="33">
        <f>'Hourly Bike-Ped Counts'!D821</f>
        <v>0</v>
      </c>
      <c r="D94" s="33">
        <f>'Hourly Bike-Ped Counts'!D822</f>
        <v>0</v>
      </c>
      <c r="E94" s="33">
        <f>'Hourly Bike-Ped Counts'!D823</f>
        <v>0</v>
      </c>
      <c r="F94" s="33">
        <f>'Hourly Bike-Ped Counts'!D824</f>
        <v>0</v>
      </c>
      <c r="G94" s="34">
        <f t="shared" si="27"/>
        <v>0</v>
      </c>
    </row>
    <row r="95" spans="2:7" x14ac:dyDescent="0.25">
      <c r="B95" s="5">
        <v>0.94791666666666696</v>
      </c>
      <c r="C95" s="33">
        <f>'Hourly Bike-Ped Counts'!D830</f>
        <v>0</v>
      </c>
      <c r="D95" s="33">
        <f>'Hourly Bike-Ped Counts'!D831</f>
        <v>0</v>
      </c>
      <c r="E95" s="33">
        <f>'Hourly Bike-Ped Counts'!D832</f>
        <v>0</v>
      </c>
      <c r="F95" s="33">
        <f>'Hourly Bike-Ped Counts'!D833</f>
        <v>0</v>
      </c>
      <c r="G95" s="34">
        <f t="shared" si="27"/>
        <v>0</v>
      </c>
    </row>
    <row r="96" spans="2:7" x14ac:dyDescent="0.25">
      <c r="B96" s="5">
        <v>0.95833333333333304</v>
      </c>
      <c r="C96" s="33">
        <f>'Hourly Bike-Ped Counts'!D839</f>
        <v>1</v>
      </c>
      <c r="D96" s="33">
        <f>'Hourly Bike-Ped Counts'!D840</f>
        <v>0</v>
      </c>
      <c r="E96" s="33">
        <f>'Hourly Bike-Ped Counts'!D841</f>
        <v>0</v>
      </c>
      <c r="F96" s="33">
        <f>'Hourly Bike-Ped Counts'!D842</f>
        <v>0</v>
      </c>
      <c r="G96" s="34">
        <f t="shared" si="27"/>
        <v>1</v>
      </c>
    </row>
    <row r="97" spans="2:7" x14ac:dyDescent="0.25">
      <c r="B97" s="5">
        <v>0.96875</v>
      </c>
      <c r="C97" s="33">
        <f>'Hourly Bike-Ped Counts'!D848</f>
        <v>0</v>
      </c>
      <c r="D97" s="33">
        <f>'Hourly Bike-Ped Counts'!D849</f>
        <v>0</v>
      </c>
      <c r="E97" s="33">
        <f>'Hourly Bike-Ped Counts'!D850</f>
        <v>0</v>
      </c>
      <c r="F97" s="33">
        <f>'Hourly Bike-Ped Counts'!D851</f>
        <v>0</v>
      </c>
      <c r="G97" s="34">
        <f t="shared" si="27"/>
        <v>0</v>
      </c>
    </row>
    <row r="98" spans="2:7" x14ac:dyDescent="0.25">
      <c r="B98" s="5">
        <v>0.97916666666666696</v>
      </c>
      <c r="C98" s="33">
        <f>'Hourly Bike-Ped Counts'!D857</f>
        <v>0</v>
      </c>
      <c r="D98" s="33">
        <f>'Hourly Bike-Ped Counts'!D858</f>
        <v>0</v>
      </c>
      <c r="E98" s="33">
        <f>'Hourly Bike-Ped Counts'!D859</f>
        <v>0</v>
      </c>
      <c r="F98" s="33">
        <f>'Hourly Bike-Ped Counts'!D860</f>
        <v>0</v>
      </c>
      <c r="G98" s="34">
        <f t="shared" si="27"/>
        <v>0</v>
      </c>
    </row>
    <row r="99" spans="2:7" ht="15.75" thickBot="1" x14ac:dyDescent="0.3">
      <c r="B99" s="31">
        <v>0.98958333333333304</v>
      </c>
      <c r="C99" s="35">
        <f>'Hourly Bike-Ped Counts'!D866</f>
        <v>0</v>
      </c>
      <c r="D99" s="35">
        <f>'Hourly Bike-Ped Counts'!D867</f>
        <v>0</v>
      </c>
      <c r="E99" s="35">
        <f>'Hourly Bike-Ped Counts'!D868</f>
        <v>0</v>
      </c>
      <c r="F99" s="35">
        <f>'Hourly Bike-Ped Counts'!D869</f>
        <v>0</v>
      </c>
      <c r="G99" s="36">
        <f t="shared" si="27"/>
        <v>0</v>
      </c>
    </row>
    <row r="100" spans="2:7" x14ac:dyDescent="0.25">
      <c r="B100" s="4" t="s">
        <v>5</v>
      </c>
      <c r="C100" s="4">
        <f>SUM(C4:C99)</f>
        <v>419</v>
      </c>
      <c r="D100" s="4">
        <f t="shared" ref="D100:G100" si="28">SUM(D4:D99)</f>
        <v>272</v>
      </c>
      <c r="E100" s="4">
        <f t="shared" si="28"/>
        <v>108</v>
      </c>
      <c r="F100" s="4">
        <f t="shared" si="28"/>
        <v>2</v>
      </c>
      <c r="G100" s="4">
        <f t="shared" si="28"/>
        <v>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4800-ED71-436C-915C-5C94EACD1D68}">
  <dimension ref="B14:AN36"/>
  <sheetViews>
    <sheetView zoomScaleNormal="100" workbookViewId="0">
      <selection activeCell="AV30" sqref="AV30"/>
    </sheetView>
  </sheetViews>
  <sheetFormatPr defaultRowHeight="15" x14ac:dyDescent="0.25"/>
  <cols>
    <col min="1" max="1" width="8.7109375" customWidth="1"/>
    <col min="2" max="2" width="12.85546875" customWidth="1"/>
    <col min="3" max="3" width="7.140625" customWidth="1"/>
    <col min="4" max="4" width="5.7109375" customWidth="1"/>
    <col min="5" max="7" width="2.85546875" customWidth="1"/>
    <col min="8" max="8" width="4.28515625" customWidth="1"/>
    <col min="9" max="17" width="2.85546875" customWidth="1"/>
    <col min="18" max="18" width="5.7109375" customWidth="1"/>
    <col min="19" max="19" width="7.5703125" customWidth="1"/>
    <col min="20" max="20" width="12.28515625" customWidth="1"/>
    <col min="22" max="22" width="13.28515625" customWidth="1"/>
    <col min="23" max="23" width="7.7109375" customWidth="1"/>
    <col min="24" max="24" width="5.7109375" customWidth="1"/>
    <col min="25" max="27" width="2.85546875" customWidth="1"/>
    <col min="28" max="28" width="4.42578125" customWidth="1"/>
    <col min="29" max="33" width="2.85546875" customWidth="1"/>
    <col min="34" max="34" width="3.85546875" customWidth="1"/>
    <col min="35" max="37" width="2.85546875" customWidth="1"/>
    <col min="38" max="38" width="4.5703125" customWidth="1"/>
    <col min="39" max="39" width="8.28515625" customWidth="1"/>
    <col min="40" max="40" width="13.140625" customWidth="1"/>
  </cols>
  <sheetData>
    <row r="14" spans="2:22" ht="15.75" x14ac:dyDescent="0.25">
      <c r="B14" s="112" t="s">
        <v>22</v>
      </c>
      <c r="V14" s="113" t="s">
        <v>21</v>
      </c>
    </row>
    <row r="17" spans="2:40" ht="72" x14ac:dyDescent="0.25">
      <c r="H17" s="40" t="s">
        <v>40</v>
      </c>
      <c r="I17" s="40" t="s">
        <v>47</v>
      </c>
      <c r="J17" s="111" t="s">
        <v>33</v>
      </c>
      <c r="K17" s="111"/>
      <c r="L17" s="111"/>
      <c r="M17" s="40" t="s">
        <v>48</v>
      </c>
      <c r="N17" s="40" t="s">
        <v>43</v>
      </c>
      <c r="AB17" s="40" t="s">
        <v>40</v>
      </c>
      <c r="AC17" s="40" t="s">
        <v>47</v>
      </c>
      <c r="AD17" s="111" t="s">
        <v>33</v>
      </c>
      <c r="AE17" s="111"/>
      <c r="AF17" s="111"/>
      <c r="AG17" s="40" t="s">
        <v>48</v>
      </c>
      <c r="AH17" s="40" t="s">
        <v>43</v>
      </c>
    </row>
    <row r="18" spans="2:40" x14ac:dyDescent="0.25">
      <c r="H18" s="39"/>
      <c r="I18" s="39"/>
      <c r="J18" s="47"/>
      <c r="K18" s="47"/>
      <c r="L18" s="47"/>
      <c r="M18" s="39"/>
      <c r="AB18" s="39"/>
      <c r="AC18" s="39"/>
      <c r="AD18" s="47"/>
      <c r="AE18" s="47"/>
      <c r="AF18" s="47"/>
      <c r="AG18" s="39"/>
    </row>
    <row r="19" spans="2:40" ht="41.45" customHeight="1" x14ac:dyDescent="0.25">
      <c r="H19" s="44">
        <f>H20/'Hourly Bike-Ped Counts'!$G$883</f>
        <v>0.1198501872659176</v>
      </c>
      <c r="I19" s="44">
        <f>I20/'Hourly Bike-Ped Counts'!$G$883</f>
        <v>1.6229712858926344E-2</v>
      </c>
      <c r="J19" s="109">
        <f>J20/'Hourly Bike-Ped Counts'!$G$883</f>
        <v>1.2484394506866417E-3</v>
      </c>
      <c r="K19" s="109"/>
      <c r="L19" s="109"/>
      <c r="M19" s="44">
        <f>M20/'Hourly Bike-Ped Counts'!$G$883</f>
        <v>0</v>
      </c>
      <c r="N19" s="44">
        <f>N20/'Hourly Bike-Ped Counts'!$G$883</f>
        <v>7.2409488139825215E-2</v>
      </c>
      <c r="AB19" s="44">
        <f>AB20/'Hourly Bike-Ped Counts'!$Y$883</f>
        <v>0.14481897627965043</v>
      </c>
      <c r="AC19" s="44">
        <f>AC20/'Hourly Bike-Ped Counts'!$Y$883</f>
        <v>8.7390761548064924E-3</v>
      </c>
      <c r="AD19" s="109">
        <f>AD20/'Hourly Bike-Ped Counts'!$Y$883</f>
        <v>1.2484394506866417E-3</v>
      </c>
      <c r="AE19" s="109"/>
      <c r="AF19" s="109"/>
      <c r="AG19" s="44">
        <f>AG20/'Hourly Bike-Ped Counts'!$Y$883</f>
        <v>9.9875156054931337E-3</v>
      </c>
      <c r="AH19" s="44">
        <f>AH20/'Hourly Bike-Ped Counts'!$Y$883</f>
        <v>8.1148564294631714E-2</v>
      </c>
    </row>
    <row r="20" spans="2:40" x14ac:dyDescent="0.25">
      <c r="H20">
        <f>'Hourly Bike-Ped Counts'!S881</f>
        <v>96</v>
      </c>
      <c r="I20">
        <f>'Hourly Bike-Ped Counts'!K881</f>
        <v>13</v>
      </c>
      <c r="J20" s="110">
        <f>'Hourly Bike-Ped Counts'!H881</f>
        <v>1</v>
      </c>
      <c r="K20" s="110"/>
      <c r="L20" s="110"/>
      <c r="M20">
        <f>'Hourly Bike-Ped Counts'!L881</f>
        <v>0</v>
      </c>
      <c r="N20">
        <f>'Hourly Bike-Ped Counts'!T881</f>
        <v>58</v>
      </c>
      <c r="AB20">
        <f>'Hourly Bike-Ped Counts'!AK881</f>
        <v>116</v>
      </c>
      <c r="AC20">
        <f>'Hourly Bike-Ped Counts'!AC881</f>
        <v>7</v>
      </c>
      <c r="AD20" s="110">
        <f>'Hourly Bike-Ped Counts'!Z881</f>
        <v>1</v>
      </c>
      <c r="AE20" s="110"/>
      <c r="AF20" s="110"/>
      <c r="AG20">
        <f>'Hourly Bike-Ped Counts'!AD881</f>
        <v>8</v>
      </c>
      <c r="AH20">
        <f>'Hourly Bike-Ped Counts'!AL881</f>
        <v>65</v>
      </c>
    </row>
    <row r="21" spans="2:40" x14ac:dyDescent="0.25">
      <c r="H21" s="37"/>
      <c r="I21" s="38"/>
      <c r="J21" s="49"/>
      <c r="K21" s="52"/>
      <c r="L21" s="49"/>
      <c r="M21" s="38"/>
      <c r="N21" s="37"/>
      <c r="AB21" s="37"/>
      <c r="AC21" s="38"/>
      <c r="AD21" s="49"/>
      <c r="AE21" s="52"/>
      <c r="AF21" s="49"/>
      <c r="AG21" s="38"/>
      <c r="AH21" s="37"/>
    </row>
    <row r="22" spans="2:40" x14ac:dyDescent="0.25">
      <c r="H22" s="37"/>
      <c r="I22" s="38"/>
      <c r="J22" s="49"/>
      <c r="K22" s="52"/>
      <c r="L22" s="49"/>
      <c r="M22" s="38"/>
      <c r="N22" s="37"/>
      <c r="AB22" s="37"/>
      <c r="AC22" s="38"/>
      <c r="AD22" s="49"/>
      <c r="AE22" s="52"/>
      <c r="AF22" s="49"/>
      <c r="AG22" s="38"/>
      <c r="AH22" s="37"/>
    </row>
    <row r="23" spans="2:40" x14ac:dyDescent="0.25">
      <c r="H23" s="37"/>
      <c r="I23" s="38"/>
      <c r="J23" s="49"/>
      <c r="K23" s="52"/>
      <c r="L23" s="49"/>
      <c r="M23" s="38"/>
      <c r="N23" s="37"/>
      <c r="AB23" s="37"/>
      <c r="AC23" s="38"/>
      <c r="AD23" s="49"/>
      <c r="AE23" s="52"/>
      <c r="AF23" s="49"/>
      <c r="AG23" s="38"/>
      <c r="AH23" s="37"/>
    </row>
    <row r="24" spans="2:40" ht="15.75" thickBot="1" x14ac:dyDescent="0.3">
      <c r="B24" s="42" t="s">
        <v>37</v>
      </c>
      <c r="C24" s="57">
        <f>D24/'Hourly Bike-Ped Counts'!$G$883</f>
        <v>5.742821473158552E-2</v>
      </c>
      <c r="D24" s="46">
        <f>'Hourly Bike-Ped Counts'!R881</f>
        <v>46</v>
      </c>
      <c r="E24" s="37"/>
      <c r="F24" s="37"/>
      <c r="G24" s="37"/>
      <c r="H24" s="61"/>
      <c r="I24" s="38"/>
      <c r="J24" s="49"/>
      <c r="K24" s="52"/>
      <c r="L24" s="49"/>
      <c r="M24" s="38"/>
      <c r="N24" s="60"/>
      <c r="O24" s="37"/>
      <c r="P24" s="37"/>
      <c r="Q24" s="37"/>
      <c r="R24" s="58">
        <f>'Hourly Bike-Ped Counts'!U881</f>
        <v>52</v>
      </c>
      <c r="S24" s="57">
        <f>R24/'Hourly Bike-Ped Counts'!$G$883</f>
        <v>6.4918851435705374E-2</v>
      </c>
      <c r="T24" s="41" t="s">
        <v>39</v>
      </c>
      <c r="V24" s="42" t="s">
        <v>37</v>
      </c>
      <c r="W24" s="57">
        <f>X24/'Hourly Bike-Ped Counts'!$Y$883</f>
        <v>6.4918851435705374E-2</v>
      </c>
      <c r="X24" s="46">
        <f>'Hourly Bike-Ped Counts'!AJ881</f>
        <v>52</v>
      </c>
      <c r="Y24" s="37"/>
      <c r="Z24" s="37"/>
      <c r="AA24" s="37"/>
      <c r="AB24" s="61"/>
      <c r="AC24" s="38"/>
      <c r="AD24" s="49"/>
      <c r="AE24" s="52"/>
      <c r="AF24" s="49"/>
      <c r="AG24" s="38"/>
      <c r="AH24" s="60"/>
      <c r="AI24" s="37"/>
      <c r="AJ24" s="37"/>
      <c r="AK24" s="37"/>
      <c r="AL24" s="58">
        <f>'Hourly Bike-Ped Counts'!AM881</f>
        <v>44</v>
      </c>
      <c r="AM24" s="57">
        <f>AL24/'Hourly Bike-Ped Counts'!$Y$883</f>
        <v>5.4931335830212237E-2</v>
      </c>
      <c r="AN24" s="41" t="s">
        <v>39</v>
      </c>
    </row>
    <row r="25" spans="2:40" ht="9.6" customHeight="1" thickTop="1" x14ac:dyDescent="0.25">
      <c r="B25" s="106" t="s">
        <v>45</v>
      </c>
      <c r="C25" s="107">
        <f>D25/'Hourly Bike-Ped Counts'!$G$883</f>
        <v>6.3670411985018729E-2</v>
      </c>
      <c r="D25" s="103">
        <f>'Hourly Bike-Ped Counts'!O881</f>
        <v>51</v>
      </c>
      <c r="E25" s="48"/>
      <c r="F25" s="38"/>
      <c r="G25" s="48"/>
      <c r="H25" s="38"/>
      <c r="I25" s="48"/>
      <c r="J25" s="56"/>
      <c r="K25" s="56"/>
      <c r="L25" s="56"/>
      <c r="M25" s="48"/>
      <c r="N25" s="38"/>
      <c r="O25" s="48"/>
      <c r="P25" s="38"/>
      <c r="Q25" s="48"/>
      <c r="R25" s="103">
        <f>'Hourly Bike-Ped Counts'!P881</f>
        <v>86</v>
      </c>
      <c r="S25" s="104">
        <f>R25/'Hourly Bike-Ped Counts'!$G$883</f>
        <v>0.10736579275905118</v>
      </c>
      <c r="T25" s="105" t="s">
        <v>46</v>
      </c>
      <c r="V25" s="106" t="s">
        <v>45</v>
      </c>
      <c r="W25" s="107">
        <f>X25/'Hourly Bike-Ped Counts'!$Y$883</f>
        <v>7.2409488139825215E-2</v>
      </c>
      <c r="X25" s="103">
        <f>'Hourly Bike-Ped Counts'!AG881</f>
        <v>58</v>
      </c>
      <c r="Y25" s="48"/>
      <c r="Z25" s="38"/>
      <c r="AA25" s="48"/>
      <c r="AB25" s="38"/>
      <c r="AC25" s="48"/>
      <c r="AD25" s="56"/>
      <c r="AE25" s="56"/>
      <c r="AF25" s="56"/>
      <c r="AG25" s="48"/>
      <c r="AH25" s="38"/>
      <c r="AI25" s="48"/>
      <c r="AJ25" s="38"/>
      <c r="AK25" s="48"/>
      <c r="AL25" s="103">
        <f>'Hourly Bike-Ped Counts'!AH881</f>
        <v>76</v>
      </c>
      <c r="AM25" s="104">
        <f>AL25/'Hourly Bike-Ped Counts'!$Y$883</f>
        <v>9.4881398252184765E-2</v>
      </c>
      <c r="AN25" s="105" t="s">
        <v>46</v>
      </c>
    </row>
    <row r="26" spans="2:40" ht="9.6" customHeight="1" x14ac:dyDescent="0.25">
      <c r="B26" s="106"/>
      <c r="C26" s="107"/>
      <c r="D26" s="103"/>
      <c r="E26" s="38"/>
      <c r="F26" s="38"/>
      <c r="G26" s="38"/>
      <c r="H26" s="38"/>
      <c r="I26" s="38"/>
      <c r="J26" s="45"/>
      <c r="K26" s="45"/>
      <c r="L26" s="45"/>
      <c r="M26" s="38"/>
      <c r="N26" s="38"/>
      <c r="O26" s="38"/>
      <c r="P26" s="38"/>
      <c r="Q26" s="38"/>
      <c r="R26" s="103"/>
      <c r="S26" s="104"/>
      <c r="T26" s="105"/>
      <c r="V26" s="106"/>
      <c r="W26" s="107"/>
      <c r="X26" s="103"/>
      <c r="Y26" s="38"/>
      <c r="Z26" s="38"/>
      <c r="AA26" s="38"/>
      <c r="AB26" s="38"/>
      <c r="AC26" s="38"/>
      <c r="AD26" s="45"/>
      <c r="AE26" s="45"/>
      <c r="AF26" s="45"/>
      <c r="AG26" s="38"/>
      <c r="AH26" s="38"/>
      <c r="AI26" s="38"/>
      <c r="AJ26" s="38"/>
      <c r="AK26" s="38"/>
      <c r="AL26" s="103"/>
      <c r="AM26" s="104"/>
      <c r="AN26" s="105"/>
    </row>
    <row r="27" spans="2:40" ht="15.75" thickBot="1" x14ac:dyDescent="0.3">
      <c r="B27" s="106" t="s">
        <v>35</v>
      </c>
      <c r="C27" s="107">
        <f>D27/'Hourly Bike-Ped Counts'!$G$883</f>
        <v>6.2421972534332081E-3</v>
      </c>
      <c r="D27" s="103">
        <f>'Hourly Bike-Ped Counts'!G881</f>
        <v>5</v>
      </c>
      <c r="E27" s="50"/>
      <c r="F27" s="50"/>
      <c r="G27" s="50"/>
      <c r="H27" s="50"/>
      <c r="I27" s="53"/>
      <c r="J27" s="49"/>
      <c r="K27" s="49"/>
      <c r="L27" s="49"/>
      <c r="M27" s="53"/>
      <c r="N27" s="50"/>
      <c r="O27" s="50"/>
      <c r="P27" s="50"/>
      <c r="Q27" s="50"/>
      <c r="R27" s="103">
        <f>'Hourly Bike-Ped Counts'!I881</f>
        <v>6</v>
      </c>
      <c r="S27" s="104">
        <f>R27/'Hourly Bike-Ped Counts'!$G$883</f>
        <v>7.4906367041198503E-3</v>
      </c>
      <c r="T27" s="105" t="s">
        <v>36</v>
      </c>
      <c r="V27" s="106" t="s">
        <v>35</v>
      </c>
      <c r="W27" s="107">
        <f>X27/'Hourly Bike-Ped Counts'!$Y$883</f>
        <v>8.7390761548064924E-3</v>
      </c>
      <c r="X27" s="103">
        <f>'Hourly Bike-Ped Counts'!Y881</f>
        <v>7</v>
      </c>
      <c r="Y27" s="50"/>
      <c r="Z27" s="50"/>
      <c r="AA27" s="50"/>
      <c r="AB27" s="50"/>
      <c r="AC27" s="53"/>
      <c r="AD27" s="49"/>
      <c r="AE27" s="49"/>
      <c r="AF27" s="49"/>
      <c r="AG27" s="53"/>
      <c r="AH27" s="50"/>
      <c r="AI27" s="50"/>
      <c r="AJ27" s="50"/>
      <c r="AK27" s="50"/>
      <c r="AL27" s="103">
        <f>'Hourly Bike-Ped Counts'!AA881</f>
        <v>4</v>
      </c>
      <c r="AM27" s="104">
        <f>AL27/'Hourly Bike-Ped Counts'!$Y$883</f>
        <v>4.9937578027465668E-3</v>
      </c>
      <c r="AN27" s="105" t="s">
        <v>36</v>
      </c>
    </row>
    <row r="28" spans="2:40" ht="16.5" thickTop="1" thickBot="1" x14ac:dyDescent="0.3">
      <c r="B28" s="106"/>
      <c r="C28" s="107"/>
      <c r="D28" s="103"/>
      <c r="E28" s="49"/>
      <c r="F28" s="49"/>
      <c r="G28" s="49"/>
      <c r="H28" s="49"/>
      <c r="I28" s="53"/>
      <c r="J28" s="49"/>
      <c r="K28" s="49"/>
      <c r="L28" s="49"/>
      <c r="M28" s="53"/>
      <c r="N28" s="49"/>
      <c r="O28" s="49"/>
      <c r="P28" s="49"/>
      <c r="Q28" s="49"/>
      <c r="R28" s="103"/>
      <c r="S28" s="104"/>
      <c r="T28" s="105"/>
      <c r="V28" s="106"/>
      <c r="W28" s="107"/>
      <c r="X28" s="103"/>
      <c r="Y28" s="49"/>
      <c r="Z28" s="49"/>
      <c r="AA28" s="49"/>
      <c r="AB28" s="49"/>
      <c r="AC28" s="53"/>
      <c r="AD28" s="49"/>
      <c r="AE28" s="49"/>
      <c r="AF28" s="49"/>
      <c r="AG28" s="53"/>
      <c r="AH28" s="49"/>
      <c r="AI28" s="49"/>
      <c r="AJ28" s="49"/>
      <c r="AK28" s="49"/>
      <c r="AL28" s="103"/>
      <c r="AM28" s="104"/>
      <c r="AN28" s="105"/>
    </row>
    <row r="29" spans="2:40" ht="15.75" thickTop="1" x14ac:dyDescent="0.25">
      <c r="B29" s="42" t="s">
        <v>38</v>
      </c>
      <c r="C29" s="57">
        <f>D29/'Hourly Bike-Ped Counts'!$G$883</f>
        <v>4.2446941323345817E-2</v>
      </c>
      <c r="D29" s="46">
        <f>'Hourly Bike-Ped Counts'!Q881</f>
        <v>34</v>
      </c>
      <c r="E29" s="37"/>
      <c r="F29" s="37"/>
      <c r="G29" s="37"/>
      <c r="H29" s="62"/>
      <c r="I29" s="38"/>
      <c r="J29" s="54"/>
      <c r="K29" s="54"/>
      <c r="L29" s="54"/>
      <c r="M29" s="38"/>
      <c r="N29" s="59"/>
      <c r="O29" s="55"/>
      <c r="P29" s="55"/>
      <c r="Q29" s="55"/>
      <c r="R29" s="58">
        <f>'Hourly Bike-Ped Counts'!V881</f>
        <v>55</v>
      </c>
      <c r="S29" s="57">
        <f>R29/'Hourly Bike-Ped Counts'!$G$883</f>
        <v>6.8664169787765295E-2</v>
      </c>
      <c r="T29" s="41" t="s">
        <v>44</v>
      </c>
      <c r="V29" s="42" t="s">
        <v>38</v>
      </c>
      <c r="W29" s="57">
        <f>X29/'Hourly Bike-Ped Counts'!$Y$883</f>
        <v>3.2459425717852687E-2</v>
      </c>
      <c r="X29" s="46">
        <f>'Hourly Bike-Ped Counts'!AI881</f>
        <v>26</v>
      </c>
      <c r="Y29" s="37"/>
      <c r="Z29" s="37"/>
      <c r="AA29" s="37"/>
      <c r="AB29" s="62"/>
      <c r="AC29" s="38"/>
      <c r="AD29" s="54"/>
      <c r="AE29" s="54"/>
      <c r="AF29" s="54"/>
      <c r="AG29" s="38"/>
      <c r="AH29" s="59"/>
      <c r="AI29" s="55"/>
      <c r="AJ29" s="55"/>
      <c r="AK29" s="55"/>
      <c r="AL29" s="58">
        <f>'Hourly Bike-Ped Counts'!AN881</f>
        <v>37</v>
      </c>
      <c r="AM29" s="57">
        <f>AL29/'Hourly Bike-Ped Counts'!$Y$883</f>
        <v>4.6192259675405745E-2</v>
      </c>
      <c r="AN29" s="41" t="s">
        <v>44</v>
      </c>
    </row>
    <row r="30" spans="2:40" x14ac:dyDescent="0.25">
      <c r="H30" s="37"/>
      <c r="I30" s="38"/>
      <c r="J30" s="49"/>
      <c r="K30" s="51"/>
      <c r="L30" s="49"/>
      <c r="M30" s="38"/>
      <c r="N30" s="37"/>
      <c r="AB30" s="37"/>
      <c r="AC30" s="38"/>
      <c r="AD30" s="49"/>
      <c r="AE30" s="51"/>
      <c r="AF30" s="49"/>
      <c r="AG30" s="38"/>
      <c r="AH30" s="37"/>
    </row>
    <row r="31" spans="2:40" x14ac:dyDescent="0.25">
      <c r="H31" s="37"/>
      <c r="I31" s="38"/>
      <c r="J31" s="49"/>
      <c r="K31" s="51"/>
      <c r="L31" s="49"/>
      <c r="M31" s="38"/>
      <c r="N31" s="37"/>
      <c r="AB31" s="37"/>
      <c r="AC31" s="38"/>
      <c r="AD31" s="49"/>
      <c r="AE31" s="51"/>
      <c r="AF31" s="49"/>
      <c r="AG31" s="38"/>
      <c r="AH31" s="37"/>
    </row>
    <row r="32" spans="2:40" x14ac:dyDescent="0.25">
      <c r="H32" s="37"/>
      <c r="I32" s="38"/>
      <c r="J32" s="49"/>
      <c r="K32" s="51"/>
      <c r="L32" s="49"/>
      <c r="M32" s="38"/>
      <c r="N32" s="37"/>
      <c r="AB32" s="37"/>
      <c r="AC32" s="38"/>
      <c r="AD32" s="49"/>
      <c r="AE32" s="51"/>
      <c r="AF32" s="49"/>
      <c r="AG32" s="38"/>
      <c r="AH32" s="37"/>
    </row>
    <row r="33" spans="8:34" x14ac:dyDescent="0.25">
      <c r="H33">
        <f>'Hourly Bike-Ped Counts'!X881</f>
        <v>252</v>
      </c>
      <c r="I33">
        <f>'Hourly Bike-Ped Counts'!N881</f>
        <v>1</v>
      </c>
      <c r="J33" s="110">
        <f>'Hourly Bike-Ped Counts'!J881</f>
        <v>1</v>
      </c>
      <c r="K33" s="110"/>
      <c r="L33" s="110"/>
      <c r="M33">
        <f>'Hourly Bike-Ped Counts'!M881</f>
        <v>7</v>
      </c>
      <c r="N33">
        <f>'Hourly Bike-Ped Counts'!W881</f>
        <v>37</v>
      </c>
      <c r="AB33">
        <f>'Hourly Bike-Ped Counts'!AP881</f>
        <v>252</v>
      </c>
      <c r="AC33">
        <f>'Hourly Bike-Ped Counts'!AF881</f>
        <v>4</v>
      </c>
      <c r="AD33" s="110">
        <f>'Hourly Bike-Ped Counts'!AB881</f>
        <v>0</v>
      </c>
      <c r="AE33" s="110"/>
      <c r="AF33" s="110"/>
      <c r="AG33">
        <f>'Hourly Bike-Ped Counts'!AE881</f>
        <v>0</v>
      </c>
      <c r="AH33">
        <f>'Hourly Bike-Ped Counts'!AO881</f>
        <v>44</v>
      </c>
    </row>
    <row r="34" spans="8:34" ht="43.15" customHeight="1" x14ac:dyDescent="0.25">
      <c r="H34" s="44">
        <f>H33/'Hourly Bike-Ped Counts'!$G$883</f>
        <v>0.3146067415730337</v>
      </c>
      <c r="I34" s="44">
        <f>I33/'Hourly Bike-Ped Counts'!$G$883</f>
        <v>1.2484394506866417E-3</v>
      </c>
      <c r="J34" s="109">
        <f>J33/'Hourly Bike-Ped Counts'!$G$883</f>
        <v>1.2484394506866417E-3</v>
      </c>
      <c r="K34" s="109"/>
      <c r="L34" s="109"/>
      <c r="M34" s="44">
        <f>M33/'Hourly Bike-Ped Counts'!$G$883</f>
        <v>8.7390761548064924E-3</v>
      </c>
      <c r="N34" s="44">
        <f>N33/'Hourly Bike-Ped Counts'!$G$883</f>
        <v>4.6192259675405745E-2</v>
      </c>
      <c r="AB34" s="44">
        <f>AB33/'Hourly Bike-Ped Counts'!$Y$883</f>
        <v>0.3146067415730337</v>
      </c>
      <c r="AC34" s="44">
        <f>AC33/'Hourly Bike-Ped Counts'!$Y$883</f>
        <v>4.9937578027465668E-3</v>
      </c>
      <c r="AD34" s="109">
        <f>AD33/'Hourly Bike-Ped Counts'!$Y$883</f>
        <v>0</v>
      </c>
      <c r="AE34" s="109"/>
      <c r="AF34" s="109"/>
      <c r="AG34" s="44">
        <f>AG33/'Hourly Bike-Ped Counts'!$Y$883</f>
        <v>0</v>
      </c>
      <c r="AH34" s="44">
        <f>AH33/'Hourly Bike-Ped Counts'!$Y$883</f>
        <v>5.4931335830212237E-2</v>
      </c>
    </row>
    <row r="35" spans="8:34" x14ac:dyDescent="0.25">
      <c r="H35" s="11"/>
      <c r="I35" s="11"/>
      <c r="J35" s="11"/>
      <c r="K35" s="11"/>
      <c r="L35" s="11"/>
      <c r="M35" s="11"/>
      <c r="N35" s="11"/>
      <c r="AB35" s="11"/>
      <c r="AC35" s="11"/>
      <c r="AD35" s="11"/>
      <c r="AE35" s="11"/>
      <c r="AF35" s="11"/>
      <c r="AG35" s="11"/>
      <c r="AH35" s="11"/>
    </row>
    <row r="36" spans="8:34" ht="67.150000000000006" customHeight="1" x14ac:dyDescent="0.25">
      <c r="H36" s="43" t="s">
        <v>41</v>
      </c>
      <c r="I36" s="43" t="s">
        <v>50</v>
      </c>
      <c r="J36" s="108" t="s">
        <v>34</v>
      </c>
      <c r="K36" s="108"/>
      <c r="L36" s="108"/>
      <c r="M36" s="43" t="s">
        <v>49</v>
      </c>
      <c r="N36" s="43" t="s">
        <v>42</v>
      </c>
      <c r="AB36" s="43" t="s">
        <v>41</v>
      </c>
      <c r="AC36" s="43" t="s">
        <v>50</v>
      </c>
      <c r="AD36" s="108" t="s">
        <v>34</v>
      </c>
      <c r="AE36" s="108"/>
      <c r="AF36" s="108"/>
      <c r="AG36" s="43" t="s">
        <v>49</v>
      </c>
      <c r="AH36" s="43" t="s">
        <v>42</v>
      </c>
    </row>
  </sheetData>
  <mergeCells count="36">
    <mergeCell ref="J20:L20"/>
    <mergeCell ref="J19:L19"/>
    <mergeCell ref="J17:L17"/>
    <mergeCell ref="AD33:AF33"/>
    <mergeCell ref="AD34:AF34"/>
    <mergeCell ref="AD17:AF17"/>
    <mergeCell ref="AD19:AF19"/>
    <mergeCell ref="AD20:AF20"/>
    <mergeCell ref="W25:W26"/>
    <mergeCell ref="X25:X26"/>
    <mergeCell ref="R25:R26"/>
    <mergeCell ref="AD36:AF36"/>
    <mergeCell ref="T25:T26"/>
    <mergeCell ref="S25:S26"/>
    <mergeCell ref="C25:C26"/>
    <mergeCell ref="B25:B26"/>
    <mergeCell ref="J36:L36"/>
    <mergeCell ref="J34:L34"/>
    <mergeCell ref="J33:L33"/>
    <mergeCell ref="B27:B28"/>
    <mergeCell ref="C27:C28"/>
    <mergeCell ref="D27:D28"/>
    <mergeCell ref="D25:D26"/>
    <mergeCell ref="R27:R28"/>
    <mergeCell ref="S27:S28"/>
    <mergeCell ref="T27:T28"/>
    <mergeCell ref="V25:V26"/>
    <mergeCell ref="AL25:AL26"/>
    <mergeCell ref="AM25:AM26"/>
    <mergeCell ref="AN25:AN26"/>
    <mergeCell ref="V27:V28"/>
    <mergeCell ref="W27:W28"/>
    <mergeCell ref="X27:X28"/>
    <mergeCell ref="AL27:AL28"/>
    <mergeCell ref="AM27:AM28"/>
    <mergeCell ref="AN27:A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 Bike-Ped Counts</vt:lpstr>
      <vt:lpstr>Count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Harriet Parkinson</dc:creator>
  <cp:lastModifiedBy>Mike E. West</cp:lastModifiedBy>
  <dcterms:created xsi:type="dcterms:W3CDTF">2025-03-05T16:40:40Z</dcterms:created>
  <dcterms:modified xsi:type="dcterms:W3CDTF">2026-03-17T20:06:55Z</dcterms:modified>
</cp:coreProperties>
</file>